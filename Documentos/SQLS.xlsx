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Usuarios\HECTORMANUELGARCIAES\Documents\proyectos\test.evaluaciones.umg.edu.mx\eva2027i\Documentos\"/>
    </mc:Choice>
  </mc:AlternateContent>
  <xr:revisionPtr revIDLastSave="0" documentId="8_{122A02D5-2BD6-48E4-B85C-4212504540EF}" xr6:coauthVersionLast="47" xr6:coauthVersionMax="47" xr10:uidLastSave="{00000000-0000-0000-0000-000000000000}"/>
  <bookViews>
    <workbookView xWindow="38280" yWindow="-120" windowWidth="29040" windowHeight="15720" firstSheet="4" activeTab="6" xr2:uid="{335589B9-D274-43D7-8847-13D48A00A18A}"/>
  </bookViews>
  <sheets>
    <sheet name="ALUMNOS-PARTICIPANTES" sheetId="1" r:id="rId1"/>
    <sheet name="DOCENTES-PARTICIPANTES" sheetId="4" r:id="rId2"/>
    <sheet name="MATERIAS" sheetId="2" r:id="rId3"/>
    <sheet name="GRUPOS" sheetId="3" r:id="rId4"/>
    <sheet name="DEPARTAMENTOS" sheetId="5" r:id="rId5"/>
    <sheet name="CARRERAS" sheetId="6" r:id="rId6"/>
    <sheet name="COORDINACIONES" sheetId="7" r:id="rId7"/>
  </sheets>
  <definedNames>
    <definedName name="_xlnm._FilterDatabase" localSheetId="1" hidden="1">'DOCENTES-PARTICIPANTES'!$A$1:$L$161</definedName>
    <definedName name="_xlnm._FilterDatabase" localSheetId="2" hidden="1">MATERIAS!$A$1:$I$295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7" l="1"/>
  <c r="L4" i="7"/>
  <c r="L5" i="7"/>
  <c r="L6" i="7"/>
  <c r="L7" i="7"/>
  <c r="L8" i="7"/>
  <c r="L9" i="7"/>
  <c r="L10" i="7"/>
  <c r="L11" i="7"/>
  <c r="L12" i="7"/>
  <c r="L13" i="7"/>
  <c r="L14" i="7"/>
  <c r="L15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2" i="7"/>
  <c r="L2" i="7" s="1"/>
  <c r="K1" i="7"/>
  <c r="H3" i="6"/>
  <c r="H4" i="6"/>
  <c r="H5" i="6"/>
  <c r="H6" i="6"/>
  <c r="H7" i="6"/>
  <c r="H8" i="6"/>
  <c r="H9" i="6"/>
  <c r="H10" i="6"/>
  <c r="H11" i="6"/>
  <c r="H12" i="6"/>
  <c r="H13" i="6"/>
  <c r="H14" i="6"/>
  <c r="H15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H2" i="6"/>
  <c r="G2" i="6"/>
  <c r="F3" i="5"/>
  <c r="F4" i="5"/>
  <c r="F2" i="5"/>
  <c r="E3" i="5"/>
  <c r="E4" i="5"/>
  <c r="E2" i="5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2" i="4"/>
  <c r="K3" i="1"/>
  <c r="K4" i="1"/>
  <c r="K5" i="1"/>
  <c r="K6" i="1"/>
  <c r="K7" i="1"/>
  <c r="K8" i="1"/>
  <c r="K9" i="1"/>
  <c r="K10" i="1"/>
  <c r="L10" i="1" s="1"/>
  <c r="K11" i="1"/>
  <c r="L11" i="1" s="1"/>
  <c r="K12" i="1"/>
  <c r="K13" i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K24" i="1"/>
  <c r="K25" i="1"/>
  <c r="K26" i="1"/>
  <c r="K27" i="1"/>
  <c r="K28" i="1"/>
  <c r="L28" i="1" s="1"/>
  <c r="K29" i="1"/>
  <c r="L29" i="1" s="1"/>
  <c r="K30" i="1"/>
  <c r="L30" i="1" s="1"/>
  <c r="K31" i="1"/>
  <c r="L31" i="1" s="1"/>
  <c r="K32" i="1"/>
  <c r="K33" i="1"/>
  <c r="K34" i="1"/>
  <c r="K35" i="1"/>
  <c r="K36" i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K44" i="1"/>
  <c r="K45" i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K53" i="1"/>
  <c r="K54" i="1"/>
  <c r="K55" i="1"/>
  <c r="K56" i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K64" i="1"/>
  <c r="K65" i="1"/>
  <c r="K66" i="1"/>
  <c r="K67" i="1"/>
  <c r="K68" i="1"/>
  <c r="K69" i="1"/>
  <c r="L69" i="1" s="1"/>
  <c r="K70" i="1"/>
  <c r="L70" i="1" s="1"/>
  <c r="K71" i="1"/>
  <c r="L71" i="1" s="1"/>
  <c r="K72" i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K84" i="1"/>
  <c r="K85" i="1"/>
  <c r="K86" i="1"/>
  <c r="K87" i="1"/>
  <c r="L87" i="1" s="1"/>
  <c r="K88" i="1"/>
  <c r="L88" i="1" s="1"/>
  <c r="K89" i="1"/>
  <c r="L89" i="1" s="1"/>
  <c r="K90" i="1"/>
  <c r="L90" i="1" s="1"/>
  <c r="K91" i="1"/>
  <c r="L91" i="1" s="1"/>
  <c r="K92" i="1"/>
  <c r="K93" i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K104" i="1"/>
  <c r="K105" i="1"/>
  <c r="K106" i="1"/>
  <c r="K107" i="1"/>
  <c r="K108" i="1"/>
  <c r="L108" i="1" s="1"/>
  <c r="K109" i="1"/>
  <c r="L109" i="1" s="1"/>
  <c r="K110" i="1"/>
  <c r="L110" i="1" s="1"/>
  <c r="K111" i="1"/>
  <c r="L111" i="1" s="1"/>
  <c r="K112" i="1"/>
  <c r="K113" i="1"/>
  <c r="K114" i="1"/>
  <c r="K115" i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K133" i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K144" i="1"/>
  <c r="K145" i="1"/>
  <c r="K146" i="1"/>
  <c r="K147" i="1"/>
  <c r="K148" i="1"/>
  <c r="K149" i="1"/>
  <c r="L149" i="1" s="1"/>
  <c r="K150" i="1"/>
  <c r="L150" i="1" s="1"/>
  <c r="K151" i="1"/>
  <c r="L151" i="1" s="1"/>
  <c r="K152" i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K160" i="1"/>
  <c r="L160" i="1" s="1"/>
  <c r="K161" i="1"/>
  <c r="L161" i="1" s="1"/>
  <c r="K162" i="1"/>
  <c r="L162" i="1" s="1"/>
  <c r="K163" i="1"/>
  <c r="K164" i="1"/>
  <c r="K165" i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K184" i="1"/>
  <c r="K185" i="1"/>
  <c r="K186" i="1"/>
  <c r="K187" i="1"/>
  <c r="L187" i="1" s="1"/>
  <c r="K188" i="1"/>
  <c r="K189" i="1"/>
  <c r="K190" i="1"/>
  <c r="K191" i="1"/>
  <c r="L191" i="1" s="1"/>
  <c r="K192" i="1"/>
  <c r="K193" i="1"/>
  <c r="K194" i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K204" i="1"/>
  <c r="K205" i="1"/>
  <c r="L205" i="1" s="1"/>
  <c r="K206" i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K213" i="1"/>
  <c r="K214" i="1"/>
  <c r="K215" i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K224" i="1"/>
  <c r="K225" i="1"/>
  <c r="K226" i="1"/>
  <c r="K227" i="1"/>
  <c r="K228" i="1"/>
  <c r="K229" i="1"/>
  <c r="K230" i="1"/>
  <c r="L230" i="1" s="1"/>
  <c r="K231" i="1"/>
  <c r="L231" i="1" s="1"/>
  <c r="K232" i="1"/>
  <c r="K233" i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K244" i="1"/>
  <c r="K245" i="1"/>
  <c r="K246" i="1"/>
  <c r="K247" i="1"/>
  <c r="K248" i="1"/>
  <c r="K249" i="1"/>
  <c r="L249" i="1" s="1"/>
  <c r="K250" i="1"/>
  <c r="L250" i="1" s="1"/>
  <c r="K251" i="1"/>
  <c r="L251" i="1" s="1"/>
  <c r="K252" i="1"/>
  <c r="K253" i="1"/>
  <c r="K254" i="1"/>
  <c r="K255" i="1"/>
  <c r="K256" i="1"/>
  <c r="K257" i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K273" i="1"/>
  <c r="K274" i="1"/>
  <c r="K275" i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K284" i="1"/>
  <c r="K285" i="1"/>
  <c r="K286" i="1"/>
  <c r="K287" i="1"/>
  <c r="K288" i="1"/>
  <c r="K289" i="1"/>
  <c r="L289" i="1" s="1"/>
  <c r="K290" i="1"/>
  <c r="L290" i="1" s="1"/>
  <c r="K291" i="1"/>
  <c r="L291" i="1" s="1"/>
  <c r="K292" i="1"/>
  <c r="K293" i="1"/>
  <c r="K294" i="1"/>
  <c r="K295" i="1"/>
  <c r="L295" i="1" s="1"/>
  <c r="K296" i="1"/>
  <c r="K297" i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K304" i="1"/>
  <c r="K305" i="1"/>
  <c r="K306" i="1"/>
  <c r="L306" i="1" s="1"/>
  <c r="K307" i="1"/>
  <c r="L307" i="1" s="1"/>
  <c r="K308" i="1"/>
  <c r="L308" i="1" s="1"/>
  <c r="K309" i="1"/>
  <c r="K310" i="1"/>
  <c r="K311" i="1"/>
  <c r="L311" i="1" s="1"/>
  <c r="K312" i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K324" i="1"/>
  <c r="K325" i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K333" i="1"/>
  <c r="K334" i="1"/>
  <c r="K335" i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K344" i="1"/>
  <c r="K345" i="1"/>
  <c r="K346" i="1"/>
  <c r="K347" i="1"/>
  <c r="K348" i="1"/>
  <c r="L348" i="1" s="1"/>
  <c r="K349" i="1"/>
  <c r="L349" i="1" s="1"/>
  <c r="K350" i="1"/>
  <c r="L350" i="1" s="1"/>
  <c r="K351" i="1"/>
  <c r="L351" i="1" s="1"/>
  <c r="K352" i="1"/>
  <c r="K353" i="1"/>
  <c r="K354" i="1"/>
  <c r="K355" i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K373" i="1"/>
  <c r="K374" i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K384" i="1"/>
  <c r="K385" i="1"/>
  <c r="K386" i="1"/>
  <c r="K387" i="1"/>
  <c r="K388" i="1"/>
  <c r="L388" i="1" s="1"/>
  <c r="K389" i="1"/>
  <c r="L389" i="1" s="1"/>
  <c r="K390" i="1"/>
  <c r="L390" i="1" s="1"/>
  <c r="K391" i="1"/>
  <c r="L391" i="1" s="1"/>
  <c r="K392" i="1"/>
  <c r="K393" i="1"/>
  <c r="L393" i="1" s="1"/>
  <c r="K394" i="1"/>
  <c r="K395" i="1"/>
  <c r="K396" i="1"/>
  <c r="L396" i="1" s="1"/>
  <c r="K397" i="1"/>
  <c r="L397" i="1" s="1"/>
  <c r="K398" i="1"/>
  <c r="L398" i="1" s="1"/>
  <c r="K399" i="1"/>
  <c r="L399" i="1" s="1"/>
  <c r="K400" i="1"/>
  <c r="L400" i="1" s="1"/>
  <c r="K401" i="1"/>
  <c r="L401" i="1" s="1"/>
  <c r="K402" i="1"/>
  <c r="L402" i="1" s="1"/>
  <c r="K403" i="1"/>
  <c r="K404" i="1"/>
  <c r="K405" i="1"/>
  <c r="K406" i="1"/>
  <c r="K407" i="1"/>
  <c r="K408" i="1"/>
  <c r="L408" i="1" s="1"/>
  <c r="K409" i="1"/>
  <c r="L409" i="1" s="1"/>
  <c r="K410" i="1"/>
  <c r="L410" i="1" s="1"/>
  <c r="K411" i="1"/>
  <c r="L411" i="1" s="1"/>
  <c r="K412" i="1"/>
  <c r="K413" i="1"/>
  <c r="K414" i="1"/>
  <c r="K415" i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K424" i="1"/>
  <c r="K425" i="1"/>
  <c r="K426" i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K433" i="1"/>
  <c r="K434" i="1"/>
  <c r="K435" i="1"/>
  <c r="K436" i="1"/>
  <c r="L436" i="1" s="1"/>
  <c r="K437" i="1"/>
  <c r="L437" i="1" s="1"/>
  <c r="K438" i="1"/>
  <c r="L438" i="1" s="1"/>
  <c r="K439" i="1"/>
  <c r="L439" i="1" s="1"/>
  <c r="K440" i="1"/>
  <c r="L440" i="1" s="1"/>
  <c r="K441" i="1"/>
  <c r="L441" i="1" s="1"/>
  <c r="K442" i="1"/>
  <c r="L442" i="1" s="1"/>
  <c r="K443" i="1"/>
  <c r="K444" i="1"/>
  <c r="K445" i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K464" i="1"/>
  <c r="K465" i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K473" i="1"/>
  <c r="K474" i="1"/>
  <c r="K475" i="1"/>
  <c r="L475" i="1" s="1"/>
  <c r="K476" i="1"/>
  <c r="L476" i="1" s="1"/>
  <c r="K477" i="1"/>
  <c r="L477" i="1" s="1"/>
  <c r="K478" i="1"/>
  <c r="L478" i="1" s="1"/>
  <c r="K479" i="1"/>
  <c r="L479" i="1" s="1"/>
  <c r="K480" i="1"/>
  <c r="L480" i="1" s="1"/>
  <c r="K481" i="1"/>
  <c r="L481" i="1" s="1"/>
  <c r="K482" i="1"/>
  <c r="L482" i="1" s="1"/>
  <c r="K483" i="1"/>
  <c r="K484" i="1"/>
  <c r="L484" i="1" s="1"/>
  <c r="K485" i="1"/>
  <c r="L485" i="1" s="1"/>
  <c r="K486" i="1"/>
  <c r="K487" i="1"/>
  <c r="K488" i="1"/>
  <c r="L488" i="1" s="1"/>
  <c r="K489" i="1"/>
  <c r="L489" i="1" s="1"/>
  <c r="K490" i="1"/>
  <c r="L490" i="1" s="1"/>
  <c r="K491" i="1"/>
  <c r="L491" i="1" s="1"/>
  <c r="K492" i="1"/>
  <c r="K493" i="1"/>
  <c r="K494" i="1"/>
  <c r="K495" i="1"/>
  <c r="K496" i="1"/>
  <c r="L496" i="1" s="1"/>
  <c r="K497" i="1"/>
  <c r="L497" i="1" s="1"/>
  <c r="K498" i="1"/>
  <c r="L498" i="1" s="1"/>
  <c r="K499" i="1"/>
  <c r="L499" i="1" s="1"/>
  <c r="K500" i="1"/>
  <c r="L500" i="1" s="1"/>
  <c r="K501" i="1"/>
  <c r="L501" i="1" s="1"/>
  <c r="K502" i="1"/>
  <c r="L502" i="1" s="1"/>
  <c r="K503" i="1"/>
  <c r="K504" i="1"/>
  <c r="L504" i="1" s="1"/>
  <c r="K505" i="1"/>
  <c r="L505" i="1" s="1"/>
  <c r="K506" i="1"/>
  <c r="L506" i="1" s="1"/>
  <c r="K507" i="1"/>
  <c r="L507" i="1" s="1"/>
  <c r="K508" i="1"/>
  <c r="L508" i="1" s="1"/>
  <c r="K509" i="1"/>
  <c r="L509" i="1" s="1"/>
  <c r="K510" i="1"/>
  <c r="L510" i="1" s="1"/>
  <c r="K511" i="1"/>
  <c r="L511" i="1" s="1"/>
  <c r="K512" i="1"/>
  <c r="K513" i="1"/>
  <c r="L513" i="1" s="1"/>
  <c r="K514" i="1"/>
  <c r="L514" i="1" s="1"/>
  <c r="K515" i="1"/>
  <c r="L515" i="1" s="1"/>
  <c r="K516" i="1"/>
  <c r="L516" i="1" s="1"/>
  <c r="K517" i="1"/>
  <c r="L517" i="1" s="1"/>
  <c r="K518" i="1"/>
  <c r="L518" i="1" s="1"/>
  <c r="K519" i="1"/>
  <c r="L519" i="1" s="1"/>
  <c r="K520" i="1"/>
  <c r="L520" i="1" s="1"/>
  <c r="K521" i="1"/>
  <c r="L521" i="1" s="1"/>
  <c r="K522" i="1"/>
  <c r="L522" i="1" s="1"/>
  <c r="K523" i="1"/>
  <c r="K524" i="1"/>
  <c r="K525" i="1"/>
  <c r="K526" i="1"/>
  <c r="K527" i="1"/>
  <c r="K528" i="1"/>
  <c r="L528" i="1" s="1"/>
  <c r="K529" i="1"/>
  <c r="L529" i="1" s="1"/>
  <c r="K530" i="1"/>
  <c r="L530" i="1" s="1"/>
  <c r="K531" i="1"/>
  <c r="L531" i="1" s="1"/>
  <c r="K532" i="1"/>
  <c r="K533" i="1"/>
  <c r="L533" i="1" s="1"/>
  <c r="K534" i="1"/>
  <c r="L534" i="1" s="1"/>
  <c r="K535" i="1"/>
  <c r="L535" i="1" s="1"/>
  <c r="K536" i="1"/>
  <c r="L536" i="1" s="1"/>
  <c r="K537" i="1"/>
  <c r="L537" i="1" s="1"/>
  <c r="K538" i="1"/>
  <c r="L538" i="1" s="1"/>
  <c r="K539" i="1"/>
  <c r="L539" i="1" s="1"/>
  <c r="K540" i="1"/>
  <c r="L540" i="1" s="1"/>
  <c r="K541" i="1"/>
  <c r="L541" i="1" s="1"/>
  <c r="K542" i="1"/>
  <c r="L542" i="1" s="1"/>
  <c r="K543" i="1"/>
  <c r="K544" i="1"/>
  <c r="K545" i="1"/>
  <c r="L545" i="1" s="1"/>
  <c r="K546" i="1"/>
  <c r="L546" i="1" s="1"/>
  <c r="K547" i="1"/>
  <c r="L547" i="1" s="1"/>
  <c r="K548" i="1"/>
  <c r="L548" i="1" s="1"/>
  <c r="K549" i="1"/>
  <c r="L549" i="1" s="1"/>
  <c r="K550" i="1"/>
  <c r="L550" i="1" s="1"/>
  <c r="K551" i="1"/>
  <c r="L551" i="1" s="1"/>
  <c r="K552" i="1"/>
  <c r="K553" i="1"/>
  <c r="K554" i="1"/>
  <c r="K555" i="1"/>
  <c r="K556" i="1"/>
  <c r="L556" i="1" s="1"/>
  <c r="K557" i="1"/>
  <c r="L557" i="1" s="1"/>
  <c r="K558" i="1"/>
  <c r="L558" i="1" s="1"/>
  <c r="K559" i="1"/>
  <c r="L559" i="1" s="1"/>
  <c r="K560" i="1"/>
  <c r="L560" i="1" s="1"/>
  <c r="K561" i="1"/>
  <c r="L561" i="1" s="1"/>
  <c r="K562" i="1"/>
  <c r="L562" i="1" s="1"/>
  <c r="K563" i="1"/>
  <c r="K564" i="1"/>
  <c r="K565" i="1"/>
  <c r="K566" i="1"/>
  <c r="L566" i="1" s="1"/>
  <c r="K567" i="1"/>
  <c r="L567" i="1" s="1"/>
  <c r="K568" i="1"/>
  <c r="K569" i="1"/>
  <c r="K570" i="1"/>
  <c r="L570" i="1" s="1"/>
  <c r="K571" i="1"/>
  <c r="L571" i="1" s="1"/>
  <c r="K572" i="1"/>
  <c r="K2" i="1"/>
  <c r="K1" i="4"/>
  <c r="E3" i="3"/>
  <c r="E4" i="3"/>
  <c r="E5" i="3"/>
  <c r="E6" i="3"/>
  <c r="E7" i="3"/>
  <c r="E8" i="3"/>
  <c r="E9" i="3"/>
  <c r="E10" i="3"/>
  <c r="E13" i="3"/>
  <c r="E14" i="3"/>
  <c r="E15" i="3"/>
  <c r="E16" i="3"/>
  <c r="E17" i="3"/>
  <c r="E18" i="3"/>
  <c r="E19" i="3"/>
  <c r="E20" i="3"/>
  <c r="E23" i="3"/>
  <c r="E24" i="3"/>
  <c r="E25" i="3"/>
  <c r="E26" i="3"/>
  <c r="E27" i="3"/>
  <c r="E28" i="3"/>
  <c r="E29" i="3"/>
  <c r="E30" i="3"/>
  <c r="E33" i="3"/>
  <c r="E34" i="3"/>
  <c r="E35" i="3"/>
  <c r="E36" i="3"/>
  <c r="E37" i="3"/>
  <c r="E38" i="3"/>
  <c r="E39" i="3"/>
  <c r="E40" i="3"/>
  <c r="E43" i="3"/>
  <c r="E44" i="3"/>
  <c r="E45" i="3"/>
  <c r="E46" i="3"/>
  <c r="E47" i="3"/>
  <c r="E48" i="3"/>
  <c r="E49" i="3"/>
  <c r="E50" i="3"/>
  <c r="E53" i="3"/>
  <c r="E54" i="3"/>
  <c r="E55" i="3"/>
  <c r="E56" i="3"/>
  <c r="E57" i="3"/>
  <c r="E58" i="3"/>
  <c r="E59" i="3"/>
  <c r="E60" i="3"/>
  <c r="E63" i="3"/>
  <c r="E64" i="3"/>
  <c r="E65" i="3"/>
  <c r="E66" i="3"/>
  <c r="E67" i="3"/>
  <c r="E68" i="3"/>
  <c r="E69" i="3"/>
  <c r="E70" i="3"/>
  <c r="E73" i="3"/>
  <c r="E74" i="3"/>
  <c r="E75" i="3"/>
  <c r="E76" i="3"/>
  <c r="E77" i="3"/>
  <c r="E78" i="3"/>
  <c r="E79" i="3"/>
  <c r="E80" i="3"/>
  <c r="E83" i="3"/>
  <c r="E84" i="3"/>
  <c r="E85" i="3"/>
  <c r="E86" i="3"/>
  <c r="E87" i="3"/>
  <c r="E88" i="3"/>
  <c r="E89" i="3"/>
  <c r="E90" i="3"/>
  <c r="E93" i="3"/>
  <c r="E94" i="3"/>
  <c r="E95" i="3"/>
  <c r="E96" i="3"/>
  <c r="E97" i="3"/>
  <c r="E98" i="3"/>
  <c r="E99" i="3"/>
  <c r="E100" i="3"/>
  <c r="E103" i="3"/>
  <c r="E104" i="3"/>
  <c r="E105" i="3"/>
  <c r="E106" i="3"/>
  <c r="E107" i="3"/>
  <c r="E108" i="3"/>
  <c r="E109" i="3"/>
  <c r="E110" i="3"/>
  <c r="E113" i="3"/>
  <c r="E114" i="3"/>
  <c r="E115" i="3"/>
  <c r="E116" i="3"/>
  <c r="E117" i="3"/>
  <c r="E118" i="3"/>
  <c r="E119" i="3"/>
  <c r="E120" i="3"/>
  <c r="E123" i="3"/>
  <c r="E124" i="3"/>
  <c r="E125" i="3"/>
  <c r="E126" i="3"/>
  <c r="E127" i="3"/>
  <c r="E128" i="3"/>
  <c r="E129" i="3"/>
  <c r="E130" i="3"/>
  <c r="E133" i="3"/>
  <c r="E134" i="3"/>
  <c r="E135" i="3"/>
  <c r="E136" i="3"/>
  <c r="E137" i="3"/>
  <c r="E138" i="3"/>
  <c r="E139" i="3"/>
  <c r="E140" i="3"/>
  <c r="E143" i="3"/>
  <c r="E144" i="3"/>
  <c r="E145" i="3"/>
  <c r="E146" i="3"/>
  <c r="E147" i="3"/>
  <c r="E148" i="3"/>
  <c r="E149" i="3"/>
  <c r="E150" i="3"/>
  <c r="E153" i="3"/>
  <c r="E154" i="3"/>
  <c r="E155" i="3"/>
  <c r="E156" i="3"/>
  <c r="E157" i="3"/>
  <c r="E158" i="3"/>
  <c r="E159" i="3"/>
  <c r="E160" i="3"/>
  <c r="E163" i="3"/>
  <c r="E164" i="3"/>
  <c r="E165" i="3"/>
  <c r="E166" i="3"/>
  <c r="E167" i="3"/>
  <c r="E168" i="3"/>
  <c r="E169" i="3"/>
  <c r="E170" i="3"/>
  <c r="E173" i="3"/>
  <c r="E174" i="3"/>
  <c r="E175" i="3"/>
  <c r="E176" i="3"/>
  <c r="E177" i="3"/>
  <c r="E178" i="3"/>
  <c r="E179" i="3"/>
  <c r="E180" i="3"/>
  <c r="E183" i="3"/>
  <c r="E184" i="3"/>
  <c r="E185" i="3"/>
  <c r="E186" i="3"/>
  <c r="E187" i="3"/>
  <c r="E188" i="3"/>
  <c r="E189" i="3"/>
  <c r="E190" i="3"/>
  <c r="E193" i="3"/>
  <c r="E194" i="3"/>
  <c r="E195" i="3"/>
  <c r="E196" i="3"/>
  <c r="E197" i="3"/>
  <c r="E198" i="3"/>
  <c r="E199" i="3"/>
  <c r="E200" i="3"/>
  <c r="E203" i="3"/>
  <c r="E204" i="3"/>
  <c r="E205" i="3"/>
  <c r="E206" i="3"/>
  <c r="E207" i="3"/>
  <c r="E208" i="3"/>
  <c r="E209" i="3"/>
  <c r="E210" i="3"/>
  <c r="E213" i="3"/>
  <c r="E214" i="3"/>
  <c r="E215" i="3"/>
  <c r="E216" i="3"/>
  <c r="E217" i="3"/>
  <c r="E218" i="3"/>
  <c r="E219" i="3"/>
  <c r="E220" i="3"/>
  <c r="E223" i="3"/>
  <c r="E224" i="3"/>
  <c r="E225" i="3"/>
  <c r="E226" i="3"/>
  <c r="E227" i="3"/>
  <c r="E228" i="3"/>
  <c r="E229" i="3"/>
  <c r="E230" i="3"/>
  <c r="E233" i="3"/>
  <c r="E234" i="3"/>
  <c r="E235" i="3"/>
  <c r="E236" i="3"/>
  <c r="E237" i="3"/>
  <c r="E238" i="3"/>
  <c r="E239" i="3"/>
  <c r="E240" i="3"/>
  <c r="E243" i="3"/>
  <c r="E244" i="3"/>
  <c r="E245" i="3"/>
  <c r="E246" i="3"/>
  <c r="E247" i="3"/>
  <c r="E248" i="3"/>
  <c r="E249" i="3"/>
  <c r="E250" i="3"/>
  <c r="E253" i="3"/>
  <c r="E254" i="3"/>
  <c r="E255" i="3"/>
  <c r="E256" i="3"/>
  <c r="E257" i="3"/>
  <c r="E258" i="3"/>
  <c r="E259" i="3"/>
  <c r="E260" i="3"/>
  <c r="E263" i="3"/>
  <c r="E264" i="3"/>
  <c r="E265" i="3"/>
  <c r="E266" i="3"/>
  <c r="E267" i="3"/>
  <c r="E268" i="3"/>
  <c r="E269" i="3"/>
  <c r="E270" i="3"/>
  <c r="E273" i="3"/>
  <c r="E274" i="3"/>
  <c r="E275" i="3"/>
  <c r="E276" i="3"/>
  <c r="E277" i="3"/>
  <c r="E278" i="3"/>
  <c r="E279" i="3"/>
  <c r="E280" i="3"/>
  <c r="E283" i="3"/>
  <c r="E284" i="3"/>
  <c r="E285" i="3"/>
  <c r="E286" i="3"/>
  <c r="E287" i="3"/>
  <c r="E288" i="3"/>
  <c r="E289" i="3"/>
  <c r="E290" i="3"/>
  <c r="E293" i="3"/>
  <c r="E294" i="3"/>
  <c r="E295" i="3"/>
  <c r="E296" i="3"/>
  <c r="E297" i="3"/>
  <c r="E298" i="3"/>
  <c r="E299" i="3"/>
  <c r="E300" i="3"/>
  <c r="E303" i="3"/>
  <c r="E304" i="3"/>
  <c r="E305" i="3"/>
  <c r="E306" i="3"/>
  <c r="E307" i="3"/>
  <c r="E308" i="3"/>
  <c r="E309" i="3"/>
  <c r="E310" i="3"/>
  <c r="E313" i="3"/>
  <c r="E314" i="3"/>
  <c r="E315" i="3"/>
  <c r="E316" i="3"/>
  <c r="E317" i="3"/>
  <c r="E318" i="3"/>
  <c r="E319" i="3"/>
  <c r="E320" i="3"/>
  <c r="E323" i="3"/>
  <c r="E324" i="3"/>
  <c r="E325" i="3"/>
  <c r="E326" i="3"/>
  <c r="E327" i="3"/>
  <c r="E328" i="3"/>
  <c r="E329" i="3"/>
  <c r="E330" i="3"/>
  <c r="E333" i="3"/>
  <c r="E334" i="3"/>
  <c r="E335" i="3"/>
  <c r="E336" i="3"/>
  <c r="E337" i="3"/>
  <c r="E338" i="3"/>
  <c r="E339" i="3"/>
  <c r="E340" i="3"/>
  <c r="E343" i="3"/>
  <c r="E344" i="3"/>
  <c r="E345" i="3"/>
  <c r="E346" i="3"/>
  <c r="E347" i="3"/>
  <c r="E348" i="3"/>
  <c r="E349" i="3"/>
  <c r="E350" i="3"/>
  <c r="E353" i="3"/>
  <c r="E354" i="3"/>
  <c r="E355" i="3"/>
  <c r="E356" i="3"/>
  <c r="E357" i="3"/>
  <c r="E358" i="3"/>
  <c r="E359" i="3"/>
  <c r="E360" i="3"/>
  <c r="E363" i="3"/>
  <c r="E364" i="3"/>
  <c r="E365" i="3"/>
  <c r="E366" i="3"/>
  <c r="E367" i="3"/>
  <c r="E368" i="3"/>
  <c r="E369" i="3"/>
  <c r="E370" i="3"/>
  <c r="E373" i="3"/>
  <c r="E374" i="3"/>
  <c r="E375" i="3"/>
  <c r="E376" i="3"/>
  <c r="E377" i="3"/>
  <c r="E378" i="3"/>
  <c r="E379" i="3"/>
  <c r="E380" i="3"/>
  <c r="E383" i="3"/>
  <c r="E384" i="3"/>
  <c r="E385" i="3"/>
  <c r="E386" i="3"/>
  <c r="E387" i="3"/>
  <c r="E388" i="3"/>
  <c r="E389" i="3"/>
  <c r="E390" i="3"/>
  <c r="E393" i="3"/>
  <c r="E394" i="3"/>
  <c r="E395" i="3"/>
  <c r="E396" i="3"/>
  <c r="E397" i="3"/>
  <c r="E398" i="3"/>
  <c r="E399" i="3"/>
  <c r="E400" i="3"/>
  <c r="E403" i="3"/>
  <c r="E404" i="3"/>
  <c r="E405" i="3"/>
  <c r="E406" i="3"/>
  <c r="E407" i="3"/>
  <c r="E408" i="3"/>
  <c r="E409" i="3"/>
  <c r="E410" i="3"/>
  <c r="E413" i="3"/>
  <c r="E414" i="3"/>
  <c r="E415" i="3"/>
  <c r="E416" i="3"/>
  <c r="E417" i="3"/>
  <c r="E418" i="3"/>
  <c r="E419" i="3"/>
  <c r="E420" i="3"/>
  <c r="E423" i="3"/>
  <c r="E424" i="3"/>
  <c r="E425" i="3"/>
  <c r="E426" i="3"/>
  <c r="E427" i="3"/>
  <c r="E428" i="3"/>
  <c r="E429" i="3"/>
  <c r="E430" i="3"/>
  <c r="E433" i="3"/>
  <c r="E434" i="3"/>
  <c r="E435" i="3"/>
  <c r="E436" i="3"/>
  <c r="E437" i="3"/>
  <c r="E438" i="3"/>
  <c r="E439" i="3"/>
  <c r="E440" i="3"/>
  <c r="E443" i="3"/>
  <c r="E444" i="3"/>
  <c r="E445" i="3"/>
  <c r="E446" i="3"/>
  <c r="E447" i="3"/>
  <c r="E448" i="3"/>
  <c r="E449" i="3"/>
  <c r="E450" i="3"/>
  <c r="E453" i="3"/>
  <c r="E454" i="3"/>
  <c r="E455" i="3"/>
  <c r="E456" i="3"/>
  <c r="E457" i="3"/>
  <c r="E458" i="3"/>
  <c r="E459" i="3"/>
  <c r="E460" i="3"/>
  <c r="E463" i="3"/>
  <c r="E464" i="3"/>
  <c r="E465" i="3"/>
  <c r="E466" i="3"/>
  <c r="E467" i="3"/>
  <c r="E468" i="3"/>
  <c r="E469" i="3"/>
  <c r="E470" i="3"/>
  <c r="E473" i="3"/>
  <c r="E474" i="3"/>
  <c r="E475" i="3"/>
  <c r="E476" i="3"/>
  <c r="E477" i="3"/>
  <c r="E478" i="3"/>
  <c r="E479" i="3"/>
  <c r="E480" i="3"/>
  <c r="E483" i="3"/>
  <c r="E484" i="3"/>
  <c r="E485" i="3"/>
  <c r="E486" i="3"/>
  <c r="E487" i="3"/>
  <c r="E488" i="3"/>
  <c r="E489" i="3"/>
  <c r="E490" i="3"/>
  <c r="E493" i="3"/>
  <c r="E494" i="3"/>
  <c r="E495" i="3"/>
  <c r="E496" i="3"/>
  <c r="E497" i="3"/>
  <c r="E498" i="3"/>
  <c r="E499" i="3"/>
  <c r="E500" i="3"/>
  <c r="E503" i="3"/>
  <c r="E504" i="3"/>
  <c r="E505" i="3"/>
  <c r="E506" i="3"/>
  <c r="E507" i="3"/>
  <c r="E508" i="3"/>
  <c r="E509" i="3"/>
  <c r="E510" i="3"/>
  <c r="E513" i="3"/>
  <c r="E514" i="3"/>
  <c r="E515" i="3"/>
  <c r="E516" i="3"/>
  <c r="E517" i="3"/>
  <c r="E518" i="3"/>
  <c r="E519" i="3"/>
  <c r="E520" i="3"/>
  <c r="E523" i="3"/>
  <c r="E524" i="3"/>
  <c r="E525" i="3"/>
  <c r="E526" i="3"/>
  <c r="E527" i="3"/>
  <c r="E528" i="3"/>
  <c r="E529" i="3"/>
  <c r="E530" i="3"/>
  <c r="E533" i="3"/>
  <c r="E534" i="3"/>
  <c r="E535" i="3"/>
  <c r="E536" i="3"/>
  <c r="E537" i="3"/>
  <c r="E538" i="3"/>
  <c r="E539" i="3"/>
  <c r="E540" i="3"/>
  <c r="E543" i="3"/>
  <c r="E544" i="3"/>
  <c r="E545" i="3"/>
  <c r="E546" i="3"/>
  <c r="E547" i="3"/>
  <c r="E548" i="3"/>
  <c r="E549" i="3"/>
  <c r="E550" i="3"/>
  <c r="E553" i="3"/>
  <c r="E554" i="3"/>
  <c r="E555" i="3"/>
  <c r="E556" i="3"/>
  <c r="E557" i="3"/>
  <c r="E558" i="3"/>
  <c r="E559" i="3"/>
  <c r="E560" i="3"/>
  <c r="E563" i="3"/>
  <c r="E564" i="3"/>
  <c r="E565" i="3"/>
  <c r="E566" i="3"/>
  <c r="E567" i="3"/>
  <c r="E568" i="3"/>
  <c r="E569" i="3"/>
  <c r="E570" i="3"/>
  <c r="E573" i="3"/>
  <c r="E574" i="3"/>
  <c r="E575" i="3"/>
  <c r="E576" i="3"/>
  <c r="E577" i="3"/>
  <c r="E578" i="3"/>
  <c r="E579" i="3"/>
  <c r="E580" i="3"/>
  <c r="E583" i="3"/>
  <c r="E584" i="3"/>
  <c r="E585" i="3"/>
  <c r="E586" i="3"/>
  <c r="E587" i="3"/>
  <c r="E588" i="3"/>
  <c r="E589" i="3"/>
  <c r="E590" i="3"/>
  <c r="E593" i="3"/>
  <c r="E594" i="3"/>
  <c r="E595" i="3"/>
  <c r="E596" i="3"/>
  <c r="E597" i="3"/>
  <c r="E598" i="3"/>
  <c r="E599" i="3"/>
  <c r="E600" i="3"/>
  <c r="E603" i="3"/>
  <c r="E604" i="3"/>
  <c r="E605" i="3"/>
  <c r="E606" i="3"/>
  <c r="E607" i="3"/>
  <c r="E608" i="3"/>
  <c r="E609" i="3"/>
  <c r="E610" i="3"/>
  <c r="E613" i="3"/>
  <c r="E614" i="3"/>
  <c r="E615" i="3"/>
  <c r="E616" i="3"/>
  <c r="E617" i="3"/>
  <c r="E618" i="3"/>
  <c r="E619" i="3"/>
  <c r="E620" i="3"/>
  <c r="E623" i="3"/>
  <c r="E624" i="3"/>
  <c r="E625" i="3"/>
  <c r="E626" i="3"/>
  <c r="E627" i="3"/>
  <c r="E628" i="3"/>
  <c r="E629" i="3"/>
  <c r="E630" i="3"/>
  <c r="E633" i="3"/>
  <c r="E634" i="3"/>
  <c r="E635" i="3"/>
  <c r="E636" i="3"/>
  <c r="E637" i="3"/>
  <c r="E638" i="3"/>
  <c r="E639" i="3"/>
  <c r="E640" i="3"/>
  <c r="E643" i="3"/>
  <c r="E644" i="3"/>
  <c r="E645" i="3"/>
  <c r="E646" i="3"/>
  <c r="E647" i="3"/>
  <c r="E648" i="3"/>
  <c r="E649" i="3"/>
  <c r="E650" i="3"/>
  <c r="E653" i="3"/>
  <c r="E654" i="3"/>
  <c r="E655" i="3"/>
  <c r="E656" i="3"/>
  <c r="E657" i="3"/>
  <c r="E658" i="3"/>
  <c r="E659" i="3"/>
  <c r="E660" i="3"/>
  <c r="E663" i="3"/>
  <c r="E664" i="3"/>
  <c r="E665" i="3"/>
  <c r="E666" i="3"/>
  <c r="E667" i="3"/>
  <c r="E668" i="3"/>
  <c r="E669" i="3"/>
  <c r="E670" i="3"/>
  <c r="E673" i="3"/>
  <c r="E674" i="3"/>
  <c r="E675" i="3"/>
  <c r="E676" i="3"/>
  <c r="E677" i="3"/>
  <c r="E678" i="3"/>
  <c r="E679" i="3"/>
  <c r="E680" i="3"/>
  <c r="E683" i="3"/>
  <c r="E684" i="3"/>
  <c r="E685" i="3"/>
  <c r="E686" i="3"/>
  <c r="E687" i="3"/>
  <c r="E688" i="3"/>
  <c r="E689" i="3"/>
  <c r="E690" i="3"/>
  <c r="E693" i="3"/>
  <c r="E694" i="3"/>
  <c r="E695" i="3"/>
  <c r="E696" i="3"/>
  <c r="E697" i="3"/>
  <c r="E698" i="3"/>
  <c r="E699" i="3"/>
  <c r="E700" i="3"/>
  <c r="E703" i="3"/>
  <c r="E704" i="3"/>
  <c r="E705" i="3"/>
  <c r="E706" i="3"/>
  <c r="E707" i="3"/>
  <c r="E708" i="3"/>
  <c r="E709" i="3"/>
  <c r="E710" i="3"/>
  <c r="E713" i="3"/>
  <c r="E714" i="3"/>
  <c r="E715" i="3"/>
  <c r="E716" i="3"/>
  <c r="E717" i="3"/>
  <c r="E718" i="3"/>
  <c r="E719" i="3"/>
  <c r="E720" i="3"/>
  <c r="E723" i="3"/>
  <c r="E724" i="3"/>
  <c r="E725" i="3"/>
  <c r="E726" i="3"/>
  <c r="E727" i="3"/>
  <c r="E728" i="3"/>
  <c r="E729" i="3"/>
  <c r="E730" i="3"/>
  <c r="E733" i="3"/>
  <c r="E734" i="3"/>
  <c r="E735" i="3"/>
  <c r="E736" i="3"/>
  <c r="E737" i="3"/>
  <c r="E738" i="3"/>
  <c r="E739" i="3"/>
  <c r="E740" i="3"/>
  <c r="E743" i="3"/>
  <c r="E744" i="3"/>
  <c r="E745" i="3"/>
  <c r="E746" i="3"/>
  <c r="E747" i="3"/>
  <c r="E748" i="3"/>
  <c r="E749" i="3"/>
  <c r="E750" i="3"/>
  <c r="E753" i="3"/>
  <c r="E754" i="3"/>
  <c r="E755" i="3"/>
  <c r="E756" i="3"/>
  <c r="E757" i="3"/>
  <c r="E758" i="3"/>
  <c r="E759" i="3"/>
  <c r="E760" i="3"/>
  <c r="E763" i="3"/>
  <c r="E764" i="3"/>
  <c r="E765" i="3"/>
  <c r="E766" i="3"/>
  <c r="E767" i="3"/>
  <c r="E768" i="3"/>
  <c r="E769" i="3"/>
  <c r="E770" i="3"/>
  <c r="E773" i="3"/>
  <c r="E774" i="3"/>
  <c r="E775" i="3"/>
  <c r="E776" i="3"/>
  <c r="E777" i="3"/>
  <c r="E778" i="3"/>
  <c r="E779" i="3"/>
  <c r="E780" i="3"/>
  <c r="E783" i="3"/>
  <c r="E784" i="3"/>
  <c r="E785" i="3"/>
  <c r="E786" i="3"/>
  <c r="E787" i="3"/>
  <c r="E788" i="3"/>
  <c r="E789" i="3"/>
  <c r="E790" i="3"/>
  <c r="E793" i="3"/>
  <c r="E794" i="3"/>
  <c r="E795" i="3"/>
  <c r="E796" i="3"/>
  <c r="E797" i="3"/>
  <c r="E798" i="3"/>
  <c r="E799" i="3"/>
  <c r="E800" i="3"/>
  <c r="E803" i="3"/>
  <c r="E804" i="3"/>
  <c r="E805" i="3"/>
  <c r="E806" i="3"/>
  <c r="E807" i="3"/>
  <c r="E808" i="3"/>
  <c r="E809" i="3"/>
  <c r="E810" i="3"/>
  <c r="E813" i="3"/>
  <c r="E814" i="3"/>
  <c r="E815" i="3"/>
  <c r="E816" i="3"/>
  <c r="E817" i="3"/>
  <c r="E818" i="3"/>
  <c r="E819" i="3"/>
  <c r="E820" i="3"/>
  <c r="E823" i="3"/>
  <c r="E824" i="3"/>
  <c r="E825" i="3"/>
  <c r="E826" i="3"/>
  <c r="E827" i="3"/>
  <c r="E828" i="3"/>
  <c r="E829" i="3"/>
  <c r="E830" i="3"/>
  <c r="E833" i="3"/>
  <c r="E834" i="3"/>
  <c r="E835" i="3"/>
  <c r="E836" i="3"/>
  <c r="E837" i="3"/>
  <c r="E838" i="3"/>
  <c r="E839" i="3"/>
  <c r="E840" i="3"/>
  <c r="E843" i="3"/>
  <c r="E844" i="3"/>
  <c r="E845" i="3"/>
  <c r="E846" i="3"/>
  <c r="E847" i="3"/>
  <c r="E848" i="3"/>
  <c r="E849" i="3"/>
  <c r="E850" i="3"/>
  <c r="E853" i="3"/>
  <c r="E854" i="3"/>
  <c r="E855" i="3"/>
  <c r="E856" i="3"/>
  <c r="E857" i="3"/>
  <c r="E858" i="3"/>
  <c r="E859" i="3"/>
  <c r="E860" i="3"/>
  <c r="E863" i="3"/>
  <c r="E864" i="3"/>
  <c r="E865" i="3"/>
  <c r="E866" i="3"/>
  <c r="E867" i="3"/>
  <c r="E868" i="3"/>
  <c r="E869" i="3"/>
  <c r="E870" i="3"/>
  <c r="E873" i="3"/>
  <c r="E874" i="3"/>
  <c r="E875" i="3"/>
  <c r="E876" i="3"/>
  <c r="E877" i="3"/>
  <c r="E878" i="3"/>
  <c r="E879" i="3"/>
  <c r="E880" i="3"/>
  <c r="E883" i="3"/>
  <c r="E884" i="3"/>
  <c r="E885" i="3"/>
  <c r="E886" i="3"/>
  <c r="E887" i="3"/>
  <c r="E888" i="3"/>
  <c r="E889" i="3"/>
  <c r="E890" i="3"/>
  <c r="E893" i="3"/>
  <c r="E894" i="3"/>
  <c r="E895" i="3"/>
  <c r="E896" i="3"/>
  <c r="E897" i="3"/>
  <c r="E898" i="3"/>
  <c r="E899" i="3"/>
  <c r="E900" i="3"/>
  <c r="E903" i="3"/>
  <c r="E904" i="3"/>
  <c r="E905" i="3"/>
  <c r="E906" i="3"/>
  <c r="E907" i="3"/>
  <c r="E908" i="3"/>
  <c r="E909" i="3"/>
  <c r="E910" i="3"/>
  <c r="E913" i="3"/>
  <c r="E914" i="3"/>
  <c r="E915" i="3"/>
  <c r="E916" i="3"/>
  <c r="E917" i="3"/>
  <c r="E918" i="3"/>
  <c r="E919" i="3"/>
  <c r="E920" i="3"/>
  <c r="E923" i="3"/>
  <c r="E924" i="3"/>
  <c r="E925" i="3"/>
  <c r="E926" i="3"/>
  <c r="E927" i="3"/>
  <c r="E928" i="3"/>
  <c r="E929" i="3"/>
  <c r="E930" i="3"/>
  <c r="E933" i="3"/>
  <c r="E934" i="3"/>
  <c r="E935" i="3"/>
  <c r="E936" i="3"/>
  <c r="E937" i="3"/>
  <c r="E938" i="3"/>
  <c r="E939" i="3"/>
  <c r="E940" i="3"/>
  <c r="E943" i="3"/>
  <c r="E944" i="3"/>
  <c r="E945" i="3"/>
  <c r="E946" i="3"/>
  <c r="E947" i="3"/>
  <c r="E948" i="3"/>
  <c r="E949" i="3"/>
  <c r="E950" i="3"/>
  <c r="E953" i="3"/>
  <c r="E954" i="3"/>
  <c r="E955" i="3"/>
  <c r="E956" i="3"/>
  <c r="E957" i="3"/>
  <c r="E958" i="3"/>
  <c r="E959" i="3"/>
  <c r="E960" i="3"/>
  <c r="E963" i="3"/>
  <c r="E964" i="3"/>
  <c r="E965" i="3"/>
  <c r="E966" i="3"/>
  <c r="E967" i="3"/>
  <c r="E968" i="3"/>
  <c r="E969" i="3"/>
  <c r="E970" i="3"/>
  <c r="E973" i="3"/>
  <c r="E974" i="3"/>
  <c r="E975" i="3"/>
  <c r="E976" i="3"/>
  <c r="E977" i="3"/>
  <c r="E978" i="3"/>
  <c r="E979" i="3"/>
  <c r="E980" i="3"/>
  <c r="E983" i="3"/>
  <c r="E984" i="3"/>
  <c r="E985" i="3"/>
  <c r="E986" i="3"/>
  <c r="E987" i="3"/>
  <c r="E988" i="3"/>
  <c r="E989" i="3"/>
  <c r="E990" i="3"/>
  <c r="E993" i="3"/>
  <c r="E994" i="3"/>
  <c r="E995" i="3"/>
  <c r="E996" i="3"/>
  <c r="E998" i="3"/>
  <c r="E999" i="3"/>
  <c r="E1000" i="3"/>
  <c r="E1003" i="3"/>
  <c r="E1004" i="3"/>
  <c r="E1005" i="3"/>
  <c r="E1006" i="3"/>
  <c r="E1007" i="3"/>
  <c r="E1008" i="3"/>
  <c r="E1009" i="3"/>
  <c r="E1010" i="3"/>
  <c r="E1013" i="3"/>
  <c r="E1014" i="3"/>
  <c r="E1015" i="3"/>
  <c r="E1016" i="3"/>
  <c r="E1017" i="3"/>
  <c r="E1018" i="3"/>
  <c r="E1019" i="3"/>
  <c r="E1020" i="3"/>
  <c r="E1023" i="3"/>
  <c r="E1024" i="3"/>
  <c r="E1025" i="3"/>
  <c r="E1026" i="3"/>
  <c r="E1027" i="3"/>
  <c r="E1028" i="3"/>
  <c r="E1029" i="3"/>
  <c r="E1030" i="3"/>
  <c r="E1033" i="3"/>
  <c r="E1034" i="3"/>
  <c r="E1035" i="3"/>
  <c r="E1036" i="3"/>
  <c r="E1037" i="3"/>
  <c r="E1038" i="3"/>
  <c r="E1039" i="3"/>
  <c r="E1040" i="3"/>
  <c r="E1043" i="3"/>
  <c r="E1044" i="3"/>
  <c r="E1045" i="3"/>
  <c r="E1046" i="3"/>
  <c r="E1047" i="3"/>
  <c r="E1048" i="3"/>
  <c r="E1049" i="3"/>
  <c r="E1050" i="3"/>
  <c r="E1053" i="3"/>
  <c r="E1054" i="3"/>
  <c r="E1055" i="3"/>
  <c r="E1056" i="3"/>
  <c r="E1057" i="3"/>
  <c r="E1058" i="3"/>
  <c r="E1059" i="3"/>
  <c r="E1060" i="3"/>
  <c r="E1063" i="3"/>
  <c r="E1064" i="3"/>
  <c r="E1065" i="3"/>
  <c r="E1066" i="3"/>
  <c r="E1067" i="3"/>
  <c r="E1068" i="3"/>
  <c r="E1069" i="3"/>
  <c r="E1070" i="3"/>
  <c r="E1073" i="3"/>
  <c r="E1074" i="3"/>
  <c r="E1075" i="3"/>
  <c r="E1076" i="3"/>
  <c r="E1077" i="3"/>
  <c r="E1078" i="3"/>
  <c r="E1079" i="3"/>
  <c r="E1080" i="3"/>
  <c r="E1083" i="3"/>
  <c r="E1084" i="3"/>
  <c r="E1085" i="3"/>
  <c r="E1086" i="3"/>
  <c r="E1087" i="3"/>
  <c r="E1088" i="3"/>
  <c r="E1089" i="3"/>
  <c r="E1090" i="3"/>
  <c r="E1093" i="3"/>
  <c r="E1094" i="3"/>
  <c r="E1095" i="3"/>
  <c r="E1096" i="3"/>
  <c r="E1097" i="3"/>
  <c r="E1098" i="3"/>
  <c r="E1099" i="3"/>
  <c r="E1100" i="3"/>
  <c r="E1103" i="3"/>
  <c r="E1104" i="3"/>
  <c r="E1105" i="3"/>
  <c r="E1106" i="3"/>
  <c r="E1107" i="3"/>
  <c r="E1108" i="3"/>
  <c r="E1109" i="3"/>
  <c r="E1110" i="3"/>
  <c r="E1113" i="3"/>
  <c r="E1114" i="3"/>
  <c r="E1115" i="3"/>
  <c r="E1116" i="3"/>
  <c r="E1117" i="3"/>
  <c r="E1118" i="3"/>
  <c r="E1119" i="3"/>
  <c r="E1120" i="3"/>
  <c r="E1123" i="3"/>
  <c r="E1124" i="3"/>
  <c r="E1125" i="3"/>
  <c r="E1126" i="3"/>
  <c r="E1127" i="3"/>
  <c r="E1128" i="3"/>
  <c r="E1129" i="3"/>
  <c r="E1130" i="3"/>
  <c r="E1133" i="3"/>
  <c r="E1134" i="3"/>
  <c r="E1135" i="3"/>
  <c r="E1136" i="3"/>
  <c r="E1137" i="3"/>
  <c r="E1138" i="3"/>
  <c r="E1139" i="3"/>
  <c r="E1140" i="3"/>
  <c r="E1143" i="3"/>
  <c r="E1144" i="3"/>
  <c r="E1145" i="3"/>
  <c r="E1146" i="3"/>
  <c r="E1147" i="3"/>
  <c r="E1148" i="3"/>
  <c r="E1149" i="3"/>
  <c r="E1150" i="3"/>
  <c r="E1153" i="3"/>
  <c r="E1154" i="3"/>
  <c r="E1155" i="3"/>
  <c r="E1156" i="3"/>
  <c r="E1157" i="3"/>
  <c r="E1158" i="3"/>
  <c r="E1159" i="3"/>
  <c r="E1160" i="3"/>
  <c r="E1163" i="3"/>
  <c r="E1164" i="3"/>
  <c r="E1165" i="3"/>
  <c r="E1166" i="3"/>
  <c r="E1167" i="3"/>
  <c r="E1168" i="3"/>
  <c r="E1169" i="3"/>
  <c r="E1170" i="3"/>
  <c r="E1173" i="3"/>
  <c r="E1174" i="3"/>
  <c r="E1175" i="3"/>
  <c r="E1176" i="3"/>
  <c r="E1177" i="3"/>
  <c r="E1178" i="3"/>
  <c r="E1179" i="3"/>
  <c r="E1180" i="3"/>
  <c r="E1183" i="3"/>
  <c r="E1184" i="3"/>
  <c r="E1185" i="3"/>
  <c r="E1186" i="3"/>
  <c r="E1187" i="3"/>
  <c r="E1188" i="3"/>
  <c r="E1189" i="3"/>
  <c r="E1190" i="3"/>
  <c r="E1193" i="3"/>
  <c r="E1194" i="3"/>
  <c r="E1195" i="3"/>
  <c r="E1196" i="3"/>
  <c r="E1197" i="3"/>
  <c r="E1198" i="3"/>
  <c r="E1199" i="3"/>
  <c r="E1200" i="3"/>
  <c r="E1203" i="3"/>
  <c r="E1204" i="3"/>
  <c r="E1205" i="3"/>
  <c r="E1206" i="3"/>
  <c r="E1207" i="3"/>
  <c r="E1208" i="3"/>
  <c r="E1209" i="3"/>
  <c r="E1210" i="3"/>
  <c r="E1213" i="3"/>
  <c r="E1214" i="3"/>
  <c r="E1215" i="3"/>
  <c r="E1216" i="3"/>
  <c r="E1217" i="3"/>
  <c r="E1218" i="3"/>
  <c r="E1219" i="3"/>
  <c r="E1220" i="3"/>
  <c r="E1223" i="3"/>
  <c r="E1224" i="3"/>
  <c r="E1225" i="3"/>
  <c r="E1226" i="3"/>
  <c r="E1227" i="3"/>
  <c r="E1228" i="3"/>
  <c r="E1229" i="3"/>
  <c r="E1230" i="3"/>
  <c r="E1233" i="3"/>
  <c r="E1234" i="3"/>
  <c r="E1235" i="3"/>
  <c r="E1236" i="3"/>
  <c r="E1237" i="3"/>
  <c r="E1238" i="3"/>
  <c r="E1239" i="3"/>
  <c r="E1240" i="3"/>
  <c r="E1243" i="3"/>
  <c r="E1244" i="3"/>
  <c r="E1245" i="3"/>
  <c r="E1246" i="3"/>
  <c r="E1247" i="3"/>
  <c r="E1248" i="3"/>
  <c r="E1249" i="3"/>
  <c r="E1250" i="3"/>
  <c r="E1253" i="3"/>
  <c r="E1254" i="3"/>
  <c r="E1255" i="3"/>
  <c r="E1256" i="3"/>
  <c r="E1257" i="3"/>
  <c r="E1258" i="3"/>
  <c r="E1259" i="3"/>
  <c r="E1260" i="3"/>
  <c r="E1263" i="3"/>
  <c r="E1264" i="3"/>
  <c r="E1265" i="3"/>
  <c r="E1266" i="3"/>
  <c r="E1267" i="3"/>
  <c r="E1268" i="3"/>
  <c r="E1269" i="3"/>
  <c r="E1270" i="3"/>
  <c r="E1273" i="3"/>
  <c r="E1274" i="3"/>
  <c r="E1275" i="3"/>
  <c r="E1276" i="3"/>
  <c r="E1277" i="3"/>
  <c r="E1278" i="3"/>
  <c r="E1279" i="3"/>
  <c r="E1280" i="3"/>
  <c r="D3" i="3"/>
  <c r="D4" i="3"/>
  <c r="D5" i="3"/>
  <c r="D6" i="3"/>
  <c r="D7" i="3"/>
  <c r="D8" i="3"/>
  <c r="D9" i="3"/>
  <c r="D10" i="3"/>
  <c r="D11" i="3"/>
  <c r="E11" i="3" s="1"/>
  <c r="D12" i="3"/>
  <c r="E12" i="3" s="1"/>
  <c r="D13" i="3"/>
  <c r="D14" i="3"/>
  <c r="D15" i="3"/>
  <c r="D16" i="3"/>
  <c r="D17" i="3"/>
  <c r="D18" i="3"/>
  <c r="D19" i="3"/>
  <c r="D20" i="3"/>
  <c r="D21" i="3"/>
  <c r="E21" i="3" s="1"/>
  <c r="D22" i="3"/>
  <c r="E22" i="3" s="1"/>
  <c r="D23" i="3"/>
  <c r="D24" i="3"/>
  <c r="D25" i="3"/>
  <c r="D26" i="3"/>
  <c r="D27" i="3"/>
  <c r="D28" i="3"/>
  <c r="D29" i="3"/>
  <c r="D30" i="3"/>
  <c r="D31" i="3"/>
  <c r="E31" i="3" s="1"/>
  <c r="D32" i="3"/>
  <c r="E32" i="3" s="1"/>
  <c r="D33" i="3"/>
  <c r="D34" i="3"/>
  <c r="D35" i="3"/>
  <c r="D36" i="3"/>
  <c r="D37" i="3"/>
  <c r="D38" i="3"/>
  <c r="D39" i="3"/>
  <c r="D40" i="3"/>
  <c r="D41" i="3"/>
  <c r="E41" i="3" s="1"/>
  <c r="D42" i="3"/>
  <c r="E42" i="3" s="1"/>
  <c r="D43" i="3"/>
  <c r="D44" i="3"/>
  <c r="D45" i="3"/>
  <c r="D46" i="3"/>
  <c r="D47" i="3"/>
  <c r="D48" i="3"/>
  <c r="D49" i="3"/>
  <c r="D50" i="3"/>
  <c r="D51" i="3"/>
  <c r="E51" i="3" s="1"/>
  <c r="D52" i="3"/>
  <c r="E52" i="3" s="1"/>
  <c r="D53" i="3"/>
  <c r="D54" i="3"/>
  <c r="D55" i="3"/>
  <c r="D56" i="3"/>
  <c r="D57" i="3"/>
  <c r="D58" i="3"/>
  <c r="D59" i="3"/>
  <c r="D60" i="3"/>
  <c r="D61" i="3"/>
  <c r="E61" i="3" s="1"/>
  <c r="D62" i="3"/>
  <c r="E62" i="3" s="1"/>
  <c r="D63" i="3"/>
  <c r="D64" i="3"/>
  <c r="D65" i="3"/>
  <c r="D66" i="3"/>
  <c r="D67" i="3"/>
  <c r="D68" i="3"/>
  <c r="D69" i="3"/>
  <c r="D70" i="3"/>
  <c r="D71" i="3"/>
  <c r="E71" i="3" s="1"/>
  <c r="D72" i="3"/>
  <c r="E72" i="3" s="1"/>
  <c r="D73" i="3"/>
  <c r="D74" i="3"/>
  <c r="D75" i="3"/>
  <c r="D76" i="3"/>
  <c r="D77" i="3"/>
  <c r="D78" i="3"/>
  <c r="D79" i="3"/>
  <c r="D80" i="3"/>
  <c r="D81" i="3"/>
  <c r="E81" i="3" s="1"/>
  <c r="D82" i="3"/>
  <c r="E82" i="3" s="1"/>
  <c r="D83" i="3"/>
  <c r="D84" i="3"/>
  <c r="D85" i="3"/>
  <c r="D86" i="3"/>
  <c r="D87" i="3"/>
  <c r="D88" i="3"/>
  <c r="D89" i="3"/>
  <c r="D90" i="3"/>
  <c r="D91" i="3"/>
  <c r="E91" i="3" s="1"/>
  <c r="D92" i="3"/>
  <c r="E92" i="3" s="1"/>
  <c r="D93" i="3"/>
  <c r="D94" i="3"/>
  <c r="D95" i="3"/>
  <c r="D96" i="3"/>
  <c r="D97" i="3"/>
  <c r="D98" i="3"/>
  <c r="D99" i="3"/>
  <c r="D100" i="3"/>
  <c r="D101" i="3"/>
  <c r="E101" i="3" s="1"/>
  <c r="D102" i="3"/>
  <c r="E102" i="3" s="1"/>
  <c r="D103" i="3"/>
  <c r="D104" i="3"/>
  <c r="D105" i="3"/>
  <c r="D106" i="3"/>
  <c r="D107" i="3"/>
  <c r="D108" i="3"/>
  <c r="D109" i="3"/>
  <c r="D110" i="3"/>
  <c r="D111" i="3"/>
  <c r="E111" i="3" s="1"/>
  <c r="D112" i="3"/>
  <c r="E112" i="3" s="1"/>
  <c r="D113" i="3"/>
  <c r="D114" i="3"/>
  <c r="D115" i="3"/>
  <c r="D116" i="3"/>
  <c r="D117" i="3"/>
  <c r="D118" i="3"/>
  <c r="D119" i="3"/>
  <c r="D120" i="3"/>
  <c r="D121" i="3"/>
  <c r="E121" i="3" s="1"/>
  <c r="D122" i="3"/>
  <c r="E122" i="3" s="1"/>
  <c r="D123" i="3"/>
  <c r="D124" i="3"/>
  <c r="D125" i="3"/>
  <c r="D126" i="3"/>
  <c r="D127" i="3"/>
  <c r="D128" i="3"/>
  <c r="D129" i="3"/>
  <c r="D130" i="3"/>
  <c r="D131" i="3"/>
  <c r="E131" i="3" s="1"/>
  <c r="D132" i="3"/>
  <c r="E132" i="3" s="1"/>
  <c r="D133" i="3"/>
  <c r="D134" i="3"/>
  <c r="D135" i="3"/>
  <c r="D136" i="3"/>
  <c r="D137" i="3"/>
  <c r="D138" i="3"/>
  <c r="D139" i="3"/>
  <c r="D140" i="3"/>
  <c r="D141" i="3"/>
  <c r="E141" i="3" s="1"/>
  <c r="D142" i="3"/>
  <c r="E142" i="3" s="1"/>
  <c r="D143" i="3"/>
  <c r="D144" i="3"/>
  <c r="D145" i="3"/>
  <c r="D146" i="3"/>
  <c r="D147" i="3"/>
  <c r="D148" i="3"/>
  <c r="D149" i="3"/>
  <c r="D150" i="3"/>
  <c r="D151" i="3"/>
  <c r="E151" i="3" s="1"/>
  <c r="D152" i="3"/>
  <c r="E152" i="3" s="1"/>
  <c r="D153" i="3"/>
  <c r="D154" i="3"/>
  <c r="D155" i="3"/>
  <c r="D156" i="3"/>
  <c r="D157" i="3"/>
  <c r="D158" i="3"/>
  <c r="D159" i="3"/>
  <c r="D160" i="3"/>
  <c r="D161" i="3"/>
  <c r="E161" i="3" s="1"/>
  <c r="D162" i="3"/>
  <c r="E162" i="3" s="1"/>
  <c r="D163" i="3"/>
  <c r="D164" i="3"/>
  <c r="D165" i="3"/>
  <c r="D166" i="3"/>
  <c r="D167" i="3"/>
  <c r="D168" i="3"/>
  <c r="D169" i="3"/>
  <c r="D170" i="3"/>
  <c r="D171" i="3"/>
  <c r="E171" i="3" s="1"/>
  <c r="D172" i="3"/>
  <c r="E172" i="3" s="1"/>
  <c r="D173" i="3"/>
  <c r="D174" i="3"/>
  <c r="D175" i="3"/>
  <c r="D176" i="3"/>
  <c r="D177" i="3"/>
  <c r="D178" i="3"/>
  <c r="D179" i="3"/>
  <c r="D180" i="3"/>
  <c r="D181" i="3"/>
  <c r="E181" i="3" s="1"/>
  <c r="D182" i="3"/>
  <c r="E182" i="3" s="1"/>
  <c r="D183" i="3"/>
  <c r="D184" i="3"/>
  <c r="D185" i="3"/>
  <c r="D186" i="3"/>
  <c r="D187" i="3"/>
  <c r="D188" i="3"/>
  <c r="D189" i="3"/>
  <c r="D190" i="3"/>
  <c r="D191" i="3"/>
  <c r="E191" i="3" s="1"/>
  <c r="D192" i="3"/>
  <c r="E192" i="3" s="1"/>
  <c r="D193" i="3"/>
  <c r="D194" i="3"/>
  <c r="D195" i="3"/>
  <c r="D196" i="3"/>
  <c r="D197" i="3"/>
  <c r="D198" i="3"/>
  <c r="D199" i="3"/>
  <c r="D200" i="3"/>
  <c r="D201" i="3"/>
  <c r="E201" i="3" s="1"/>
  <c r="D202" i="3"/>
  <c r="E202" i="3" s="1"/>
  <c r="D203" i="3"/>
  <c r="D204" i="3"/>
  <c r="D205" i="3"/>
  <c r="D206" i="3"/>
  <c r="D207" i="3"/>
  <c r="D208" i="3"/>
  <c r="D209" i="3"/>
  <c r="D210" i="3"/>
  <c r="D211" i="3"/>
  <c r="E211" i="3" s="1"/>
  <c r="D212" i="3"/>
  <c r="E212" i="3" s="1"/>
  <c r="D213" i="3"/>
  <c r="D214" i="3"/>
  <c r="D215" i="3"/>
  <c r="D216" i="3"/>
  <c r="D217" i="3"/>
  <c r="D218" i="3"/>
  <c r="D219" i="3"/>
  <c r="D220" i="3"/>
  <c r="D221" i="3"/>
  <c r="E221" i="3" s="1"/>
  <c r="D222" i="3"/>
  <c r="E222" i="3" s="1"/>
  <c r="D223" i="3"/>
  <c r="D224" i="3"/>
  <c r="D225" i="3"/>
  <c r="D226" i="3"/>
  <c r="D227" i="3"/>
  <c r="D228" i="3"/>
  <c r="D229" i="3"/>
  <c r="D230" i="3"/>
  <c r="D231" i="3"/>
  <c r="E231" i="3" s="1"/>
  <c r="D232" i="3"/>
  <c r="E232" i="3" s="1"/>
  <c r="D233" i="3"/>
  <c r="D234" i="3"/>
  <c r="D235" i="3"/>
  <c r="D236" i="3"/>
  <c r="D237" i="3"/>
  <c r="D238" i="3"/>
  <c r="D239" i="3"/>
  <c r="D240" i="3"/>
  <c r="D241" i="3"/>
  <c r="E241" i="3" s="1"/>
  <c r="D242" i="3"/>
  <c r="E242" i="3" s="1"/>
  <c r="D243" i="3"/>
  <c r="D244" i="3"/>
  <c r="D245" i="3"/>
  <c r="D246" i="3"/>
  <c r="D247" i="3"/>
  <c r="D248" i="3"/>
  <c r="D249" i="3"/>
  <c r="D250" i="3"/>
  <c r="D251" i="3"/>
  <c r="E251" i="3" s="1"/>
  <c r="D252" i="3"/>
  <c r="E252" i="3" s="1"/>
  <c r="D253" i="3"/>
  <c r="D254" i="3"/>
  <c r="D255" i="3"/>
  <c r="D256" i="3"/>
  <c r="D257" i="3"/>
  <c r="D258" i="3"/>
  <c r="D259" i="3"/>
  <c r="D260" i="3"/>
  <c r="D261" i="3"/>
  <c r="E261" i="3" s="1"/>
  <c r="D262" i="3"/>
  <c r="E262" i="3" s="1"/>
  <c r="D263" i="3"/>
  <c r="D264" i="3"/>
  <c r="D265" i="3"/>
  <c r="D266" i="3"/>
  <c r="D267" i="3"/>
  <c r="D268" i="3"/>
  <c r="D269" i="3"/>
  <c r="D270" i="3"/>
  <c r="D271" i="3"/>
  <c r="E271" i="3" s="1"/>
  <c r="D272" i="3"/>
  <c r="E272" i="3" s="1"/>
  <c r="D273" i="3"/>
  <c r="D274" i="3"/>
  <c r="D275" i="3"/>
  <c r="D276" i="3"/>
  <c r="D277" i="3"/>
  <c r="D278" i="3"/>
  <c r="D279" i="3"/>
  <c r="D280" i="3"/>
  <c r="D281" i="3"/>
  <c r="E281" i="3" s="1"/>
  <c r="D282" i="3"/>
  <c r="E282" i="3" s="1"/>
  <c r="D283" i="3"/>
  <c r="D284" i="3"/>
  <c r="D285" i="3"/>
  <c r="D286" i="3"/>
  <c r="D287" i="3"/>
  <c r="D288" i="3"/>
  <c r="D289" i="3"/>
  <c r="D290" i="3"/>
  <c r="D291" i="3"/>
  <c r="E291" i="3" s="1"/>
  <c r="D292" i="3"/>
  <c r="E292" i="3" s="1"/>
  <c r="D293" i="3"/>
  <c r="D294" i="3"/>
  <c r="D295" i="3"/>
  <c r="D296" i="3"/>
  <c r="D297" i="3"/>
  <c r="D298" i="3"/>
  <c r="D299" i="3"/>
  <c r="D300" i="3"/>
  <c r="D301" i="3"/>
  <c r="E301" i="3" s="1"/>
  <c r="D302" i="3"/>
  <c r="E302" i="3" s="1"/>
  <c r="D303" i="3"/>
  <c r="D304" i="3"/>
  <c r="D305" i="3"/>
  <c r="D306" i="3"/>
  <c r="D307" i="3"/>
  <c r="D308" i="3"/>
  <c r="D309" i="3"/>
  <c r="D310" i="3"/>
  <c r="D311" i="3"/>
  <c r="E311" i="3" s="1"/>
  <c r="D312" i="3"/>
  <c r="E312" i="3" s="1"/>
  <c r="D313" i="3"/>
  <c r="D314" i="3"/>
  <c r="D315" i="3"/>
  <c r="D316" i="3"/>
  <c r="D317" i="3"/>
  <c r="D318" i="3"/>
  <c r="D319" i="3"/>
  <c r="D320" i="3"/>
  <c r="D321" i="3"/>
  <c r="E321" i="3" s="1"/>
  <c r="D322" i="3"/>
  <c r="E322" i="3" s="1"/>
  <c r="D323" i="3"/>
  <c r="D324" i="3"/>
  <c r="D325" i="3"/>
  <c r="D326" i="3"/>
  <c r="D327" i="3"/>
  <c r="D328" i="3"/>
  <c r="D329" i="3"/>
  <c r="D330" i="3"/>
  <c r="D331" i="3"/>
  <c r="E331" i="3" s="1"/>
  <c r="D332" i="3"/>
  <c r="E332" i="3" s="1"/>
  <c r="D333" i="3"/>
  <c r="D334" i="3"/>
  <c r="D335" i="3"/>
  <c r="D336" i="3"/>
  <c r="D337" i="3"/>
  <c r="D338" i="3"/>
  <c r="D339" i="3"/>
  <c r="D340" i="3"/>
  <c r="D341" i="3"/>
  <c r="E341" i="3" s="1"/>
  <c r="D342" i="3"/>
  <c r="E342" i="3" s="1"/>
  <c r="D343" i="3"/>
  <c r="D344" i="3"/>
  <c r="D345" i="3"/>
  <c r="D346" i="3"/>
  <c r="D347" i="3"/>
  <c r="D348" i="3"/>
  <c r="D349" i="3"/>
  <c r="D350" i="3"/>
  <c r="D351" i="3"/>
  <c r="E351" i="3" s="1"/>
  <c r="D352" i="3"/>
  <c r="E352" i="3" s="1"/>
  <c r="D353" i="3"/>
  <c r="D354" i="3"/>
  <c r="D355" i="3"/>
  <c r="D356" i="3"/>
  <c r="D357" i="3"/>
  <c r="D358" i="3"/>
  <c r="D359" i="3"/>
  <c r="D360" i="3"/>
  <c r="D361" i="3"/>
  <c r="E361" i="3" s="1"/>
  <c r="D362" i="3"/>
  <c r="E362" i="3" s="1"/>
  <c r="D363" i="3"/>
  <c r="D364" i="3"/>
  <c r="D365" i="3"/>
  <c r="D366" i="3"/>
  <c r="D367" i="3"/>
  <c r="D368" i="3"/>
  <c r="D369" i="3"/>
  <c r="D370" i="3"/>
  <c r="D371" i="3"/>
  <c r="E371" i="3" s="1"/>
  <c r="D372" i="3"/>
  <c r="E372" i="3" s="1"/>
  <c r="D373" i="3"/>
  <c r="D374" i="3"/>
  <c r="D375" i="3"/>
  <c r="D376" i="3"/>
  <c r="D377" i="3"/>
  <c r="D378" i="3"/>
  <c r="D379" i="3"/>
  <c r="D380" i="3"/>
  <c r="D381" i="3"/>
  <c r="E381" i="3" s="1"/>
  <c r="D382" i="3"/>
  <c r="E382" i="3" s="1"/>
  <c r="D383" i="3"/>
  <c r="D384" i="3"/>
  <c r="D385" i="3"/>
  <c r="D386" i="3"/>
  <c r="D387" i="3"/>
  <c r="D388" i="3"/>
  <c r="D389" i="3"/>
  <c r="D390" i="3"/>
  <c r="D391" i="3"/>
  <c r="E391" i="3" s="1"/>
  <c r="D392" i="3"/>
  <c r="E392" i="3" s="1"/>
  <c r="D393" i="3"/>
  <c r="D394" i="3"/>
  <c r="D395" i="3"/>
  <c r="D396" i="3"/>
  <c r="D397" i="3"/>
  <c r="D398" i="3"/>
  <c r="D399" i="3"/>
  <c r="D400" i="3"/>
  <c r="D401" i="3"/>
  <c r="E401" i="3" s="1"/>
  <c r="D402" i="3"/>
  <c r="E402" i="3" s="1"/>
  <c r="D403" i="3"/>
  <c r="D404" i="3"/>
  <c r="D405" i="3"/>
  <c r="D406" i="3"/>
  <c r="D407" i="3"/>
  <c r="D408" i="3"/>
  <c r="D409" i="3"/>
  <c r="D410" i="3"/>
  <c r="D411" i="3"/>
  <c r="E411" i="3" s="1"/>
  <c r="D412" i="3"/>
  <c r="E412" i="3" s="1"/>
  <c r="D413" i="3"/>
  <c r="D414" i="3"/>
  <c r="D415" i="3"/>
  <c r="D416" i="3"/>
  <c r="D417" i="3"/>
  <c r="D418" i="3"/>
  <c r="D419" i="3"/>
  <c r="D420" i="3"/>
  <c r="D421" i="3"/>
  <c r="E421" i="3" s="1"/>
  <c r="D422" i="3"/>
  <c r="E422" i="3" s="1"/>
  <c r="D423" i="3"/>
  <c r="D424" i="3"/>
  <c r="D425" i="3"/>
  <c r="D426" i="3"/>
  <c r="D427" i="3"/>
  <c r="D428" i="3"/>
  <c r="D429" i="3"/>
  <c r="D430" i="3"/>
  <c r="D431" i="3"/>
  <c r="E431" i="3" s="1"/>
  <c r="D432" i="3"/>
  <c r="E432" i="3" s="1"/>
  <c r="D433" i="3"/>
  <c r="D434" i="3"/>
  <c r="D435" i="3"/>
  <c r="D436" i="3"/>
  <c r="D437" i="3"/>
  <c r="D438" i="3"/>
  <c r="D439" i="3"/>
  <c r="D440" i="3"/>
  <c r="D441" i="3"/>
  <c r="E441" i="3" s="1"/>
  <c r="D442" i="3"/>
  <c r="E442" i="3" s="1"/>
  <c r="D443" i="3"/>
  <c r="D444" i="3"/>
  <c r="D445" i="3"/>
  <c r="D446" i="3"/>
  <c r="D447" i="3"/>
  <c r="D448" i="3"/>
  <c r="D449" i="3"/>
  <c r="D450" i="3"/>
  <c r="D451" i="3"/>
  <c r="E451" i="3" s="1"/>
  <c r="D452" i="3"/>
  <c r="E452" i="3" s="1"/>
  <c r="D453" i="3"/>
  <c r="D454" i="3"/>
  <c r="D455" i="3"/>
  <c r="D456" i="3"/>
  <c r="D457" i="3"/>
  <c r="D458" i="3"/>
  <c r="D459" i="3"/>
  <c r="D460" i="3"/>
  <c r="D461" i="3"/>
  <c r="E461" i="3" s="1"/>
  <c r="D462" i="3"/>
  <c r="E462" i="3" s="1"/>
  <c r="D463" i="3"/>
  <c r="D464" i="3"/>
  <c r="D465" i="3"/>
  <c r="D466" i="3"/>
  <c r="D467" i="3"/>
  <c r="D468" i="3"/>
  <c r="D469" i="3"/>
  <c r="D470" i="3"/>
  <c r="D471" i="3"/>
  <c r="E471" i="3" s="1"/>
  <c r="D472" i="3"/>
  <c r="E472" i="3" s="1"/>
  <c r="D473" i="3"/>
  <c r="D474" i="3"/>
  <c r="D475" i="3"/>
  <c r="D476" i="3"/>
  <c r="D477" i="3"/>
  <c r="D478" i="3"/>
  <c r="D479" i="3"/>
  <c r="D480" i="3"/>
  <c r="D481" i="3"/>
  <c r="E481" i="3" s="1"/>
  <c r="D482" i="3"/>
  <c r="E482" i="3" s="1"/>
  <c r="D483" i="3"/>
  <c r="D484" i="3"/>
  <c r="D485" i="3"/>
  <c r="D486" i="3"/>
  <c r="D487" i="3"/>
  <c r="D488" i="3"/>
  <c r="D489" i="3"/>
  <c r="D490" i="3"/>
  <c r="D491" i="3"/>
  <c r="E491" i="3" s="1"/>
  <c r="D492" i="3"/>
  <c r="E492" i="3" s="1"/>
  <c r="D493" i="3"/>
  <c r="D494" i="3"/>
  <c r="D495" i="3"/>
  <c r="D496" i="3"/>
  <c r="D497" i="3"/>
  <c r="D498" i="3"/>
  <c r="D499" i="3"/>
  <c r="D500" i="3"/>
  <c r="D501" i="3"/>
  <c r="E501" i="3" s="1"/>
  <c r="D502" i="3"/>
  <c r="E502" i="3" s="1"/>
  <c r="D503" i="3"/>
  <c r="D504" i="3"/>
  <c r="D505" i="3"/>
  <c r="D506" i="3"/>
  <c r="D507" i="3"/>
  <c r="D508" i="3"/>
  <c r="D509" i="3"/>
  <c r="D510" i="3"/>
  <c r="D511" i="3"/>
  <c r="E511" i="3" s="1"/>
  <c r="D512" i="3"/>
  <c r="E512" i="3" s="1"/>
  <c r="D513" i="3"/>
  <c r="D514" i="3"/>
  <c r="D515" i="3"/>
  <c r="D516" i="3"/>
  <c r="D517" i="3"/>
  <c r="D518" i="3"/>
  <c r="D519" i="3"/>
  <c r="D520" i="3"/>
  <c r="D521" i="3"/>
  <c r="E521" i="3" s="1"/>
  <c r="D522" i="3"/>
  <c r="E522" i="3" s="1"/>
  <c r="D523" i="3"/>
  <c r="D524" i="3"/>
  <c r="D525" i="3"/>
  <c r="D526" i="3"/>
  <c r="D527" i="3"/>
  <c r="D528" i="3"/>
  <c r="D529" i="3"/>
  <c r="D530" i="3"/>
  <c r="D531" i="3"/>
  <c r="E531" i="3" s="1"/>
  <c r="D532" i="3"/>
  <c r="E532" i="3" s="1"/>
  <c r="D533" i="3"/>
  <c r="D534" i="3"/>
  <c r="D535" i="3"/>
  <c r="D536" i="3"/>
  <c r="D537" i="3"/>
  <c r="D538" i="3"/>
  <c r="D539" i="3"/>
  <c r="D540" i="3"/>
  <c r="D541" i="3"/>
  <c r="E541" i="3" s="1"/>
  <c r="D542" i="3"/>
  <c r="E542" i="3" s="1"/>
  <c r="D543" i="3"/>
  <c r="D544" i="3"/>
  <c r="D545" i="3"/>
  <c r="D546" i="3"/>
  <c r="D547" i="3"/>
  <c r="D548" i="3"/>
  <c r="D549" i="3"/>
  <c r="D550" i="3"/>
  <c r="D551" i="3"/>
  <c r="E551" i="3" s="1"/>
  <c r="D552" i="3"/>
  <c r="E552" i="3" s="1"/>
  <c r="D553" i="3"/>
  <c r="D554" i="3"/>
  <c r="D555" i="3"/>
  <c r="D556" i="3"/>
  <c r="D557" i="3"/>
  <c r="D558" i="3"/>
  <c r="D559" i="3"/>
  <c r="D560" i="3"/>
  <c r="D561" i="3"/>
  <c r="E561" i="3" s="1"/>
  <c r="D562" i="3"/>
  <c r="E562" i="3" s="1"/>
  <c r="D563" i="3"/>
  <c r="D564" i="3"/>
  <c r="D565" i="3"/>
  <c r="D566" i="3"/>
  <c r="D567" i="3"/>
  <c r="D568" i="3"/>
  <c r="D569" i="3"/>
  <c r="D570" i="3"/>
  <c r="D571" i="3"/>
  <c r="E571" i="3" s="1"/>
  <c r="D572" i="3"/>
  <c r="E572" i="3" s="1"/>
  <c r="D573" i="3"/>
  <c r="D574" i="3"/>
  <c r="D575" i="3"/>
  <c r="D576" i="3"/>
  <c r="D577" i="3"/>
  <c r="D578" i="3"/>
  <c r="D579" i="3"/>
  <c r="D580" i="3"/>
  <c r="D581" i="3"/>
  <c r="E581" i="3" s="1"/>
  <c r="D582" i="3"/>
  <c r="E582" i="3" s="1"/>
  <c r="D583" i="3"/>
  <c r="D584" i="3"/>
  <c r="D585" i="3"/>
  <c r="D586" i="3"/>
  <c r="D587" i="3"/>
  <c r="D588" i="3"/>
  <c r="D589" i="3"/>
  <c r="D590" i="3"/>
  <c r="D591" i="3"/>
  <c r="E591" i="3" s="1"/>
  <c r="D592" i="3"/>
  <c r="E592" i="3" s="1"/>
  <c r="D593" i="3"/>
  <c r="D594" i="3"/>
  <c r="D595" i="3"/>
  <c r="D596" i="3"/>
  <c r="D597" i="3"/>
  <c r="D598" i="3"/>
  <c r="D599" i="3"/>
  <c r="D600" i="3"/>
  <c r="D601" i="3"/>
  <c r="E601" i="3" s="1"/>
  <c r="D602" i="3"/>
  <c r="E602" i="3" s="1"/>
  <c r="D603" i="3"/>
  <c r="D604" i="3"/>
  <c r="D605" i="3"/>
  <c r="D606" i="3"/>
  <c r="D607" i="3"/>
  <c r="D608" i="3"/>
  <c r="D609" i="3"/>
  <c r="D610" i="3"/>
  <c r="D611" i="3"/>
  <c r="E611" i="3" s="1"/>
  <c r="D612" i="3"/>
  <c r="E612" i="3" s="1"/>
  <c r="D613" i="3"/>
  <c r="D614" i="3"/>
  <c r="D615" i="3"/>
  <c r="D616" i="3"/>
  <c r="D617" i="3"/>
  <c r="D618" i="3"/>
  <c r="D619" i="3"/>
  <c r="D620" i="3"/>
  <c r="D621" i="3"/>
  <c r="E621" i="3" s="1"/>
  <c r="D622" i="3"/>
  <c r="E622" i="3" s="1"/>
  <c r="D623" i="3"/>
  <c r="D624" i="3"/>
  <c r="D625" i="3"/>
  <c r="D626" i="3"/>
  <c r="D627" i="3"/>
  <c r="D628" i="3"/>
  <c r="D629" i="3"/>
  <c r="D630" i="3"/>
  <c r="D631" i="3"/>
  <c r="E631" i="3" s="1"/>
  <c r="D632" i="3"/>
  <c r="E632" i="3" s="1"/>
  <c r="D633" i="3"/>
  <c r="D634" i="3"/>
  <c r="D635" i="3"/>
  <c r="D636" i="3"/>
  <c r="D637" i="3"/>
  <c r="D638" i="3"/>
  <c r="D639" i="3"/>
  <c r="D640" i="3"/>
  <c r="D641" i="3"/>
  <c r="E641" i="3" s="1"/>
  <c r="D642" i="3"/>
  <c r="E642" i="3" s="1"/>
  <c r="D643" i="3"/>
  <c r="D644" i="3"/>
  <c r="D645" i="3"/>
  <c r="D646" i="3"/>
  <c r="D647" i="3"/>
  <c r="D648" i="3"/>
  <c r="D649" i="3"/>
  <c r="D650" i="3"/>
  <c r="D651" i="3"/>
  <c r="E651" i="3" s="1"/>
  <c r="D652" i="3"/>
  <c r="E652" i="3" s="1"/>
  <c r="D653" i="3"/>
  <c r="D654" i="3"/>
  <c r="D655" i="3"/>
  <c r="D656" i="3"/>
  <c r="D657" i="3"/>
  <c r="D658" i="3"/>
  <c r="D659" i="3"/>
  <c r="D660" i="3"/>
  <c r="D661" i="3"/>
  <c r="E661" i="3" s="1"/>
  <c r="D662" i="3"/>
  <c r="E662" i="3" s="1"/>
  <c r="D663" i="3"/>
  <c r="D664" i="3"/>
  <c r="D665" i="3"/>
  <c r="D666" i="3"/>
  <c r="D667" i="3"/>
  <c r="D668" i="3"/>
  <c r="D669" i="3"/>
  <c r="D670" i="3"/>
  <c r="D671" i="3"/>
  <c r="E671" i="3" s="1"/>
  <c r="D672" i="3"/>
  <c r="E672" i="3" s="1"/>
  <c r="D673" i="3"/>
  <c r="D674" i="3"/>
  <c r="D675" i="3"/>
  <c r="D676" i="3"/>
  <c r="D677" i="3"/>
  <c r="D678" i="3"/>
  <c r="D679" i="3"/>
  <c r="D680" i="3"/>
  <c r="D681" i="3"/>
  <c r="E681" i="3" s="1"/>
  <c r="D682" i="3"/>
  <c r="E682" i="3" s="1"/>
  <c r="D683" i="3"/>
  <c r="D684" i="3"/>
  <c r="D685" i="3"/>
  <c r="D686" i="3"/>
  <c r="D687" i="3"/>
  <c r="D688" i="3"/>
  <c r="D689" i="3"/>
  <c r="D690" i="3"/>
  <c r="D691" i="3"/>
  <c r="E691" i="3" s="1"/>
  <c r="D692" i="3"/>
  <c r="E692" i="3" s="1"/>
  <c r="D693" i="3"/>
  <c r="D694" i="3"/>
  <c r="D695" i="3"/>
  <c r="D696" i="3"/>
  <c r="D697" i="3"/>
  <c r="D698" i="3"/>
  <c r="D699" i="3"/>
  <c r="D700" i="3"/>
  <c r="D701" i="3"/>
  <c r="E701" i="3" s="1"/>
  <c r="D702" i="3"/>
  <c r="E702" i="3" s="1"/>
  <c r="D703" i="3"/>
  <c r="D704" i="3"/>
  <c r="D705" i="3"/>
  <c r="D706" i="3"/>
  <c r="D707" i="3"/>
  <c r="D708" i="3"/>
  <c r="D709" i="3"/>
  <c r="D710" i="3"/>
  <c r="D711" i="3"/>
  <c r="E711" i="3" s="1"/>
  <c r="D712" i="3"/>
  <c r="E712" i="3" s="1"/>
  <c r="D713" i="3"/>
  <c r="D714" i="3"/>
  <c r="D715" i="3"/>
  <c r="D716" i="3"/>
  <c r="D717" i="3"/>
  <c r="D718" i="3"/>
  <c r="D719" i="3"/>
  <c r="D720" i="3"/>
  <c r="D721" i="3"/>
  <c r="E721" i="3" s="1"/>
  <c r="D722" i="3"/>
  <c r="E722" i="3" s="1"/>
  <c r="D723" i="3"/>
  <c r="D724" i="3"/>
  <c r="D725" i="3"/>
  <c r="D726" i="3"/>
  <c r="D727" i="3"/>
  <c r="D728" i="3"/>
  <c r="D729" i="3"/>
  <c r="D730" i="3"/>
  <c r="D731" i="3"/>
  <c r="E731" i="3" s="1"/>
  <c r="D732" i="3"/>
  <c r="E732" i="3" s="1"/>
  <c r="D733" i="3"/>
  <c r="D734" i="3"/>
  <c r="D735" i="3"/>
  <c r="D736" i="3"/>
  <c r="D737" i="3"/>
  <c r="D738" i="3"/>
  <c r="D739" i="3"/>
  <c r="D740" i="3"/>
  <c r="D741" i="3"/>
  <c r="E741" i="3" s="1"/>
  <c r="D742" i="3"/>
  <c r="E742" i="3" s="1"/>
  <c r="D743" i="3"/>
  <c r="D744" i="3"/>
  <c r="D745" i="3"/>
  <c r="D746" i="3"/>
  <c r="D747" i="3"/>
  <c r="D748" i="3"/>
  <c r="D749" i="3"/>
  <c r="D750" i="3"/>
  <c r="D751" i="3"/>
  <c r="E751" i="3" s="1"/>
  <c r="D752" i="3"/>
  <c r="E752" i="3" s="1"/>
  <c r="D753" i="3"/>
  <c r="D754" i="3"/>
  <c r="D755" i="3"/>
  <c r="D756" i="3"/>
  <c r="D757" i="3"/>
  <c r="D758" i="3"/>
  <c r="D759" i="3"/>
  <c r="D760" i="3"/>
  <c r="D761" i="3"/>
  <c r="E761" i="3" s="1"/>
  <c r="D762" i="3"/>
  <c r="E762" i="3" s="1"/>
  <c r="D763" i="3"/>
  <c r="D764" i="3"/>
  <c r="D765" i="3"/>
  <c r="D766" i="3"/>
  <c r="D767" i="3"/>
  <c r="D768" i="3"/>
  <c r="D769" i="3"/>
  <c r="D770" i="3"/>
  <c r="D771" i="3"/>
  <c r="E771" i="3" s="1"/>
  <c r="D772" i="3"/>
  <c r="E772" i="3" s="1"/>
  <c r="D773" i="3"/>
  <c r="D774" i="3"/>
  <c r="D775" i="3"/>
  <c r="D776" i="3"/>
  <c r="D777" i="3"/>
  <c r="D778" i="3"/>
  <c r="D779" i="3"/>
  <c r="D780" i="3"/>
  <c r="D781" i="3"/>
  <c r="E781" i="3" s="1"/>
  <c r="D782" i="3"/>
  <c r="E782" i="3" s="1"/>
  <c r="D783" i="3"/>
  <c r="D784" i="3"/>
  <c r="D785" i="3"/>
  <c r="D786" i="3"/>
  <c r="D787" i="3"/>
  <c r="D788" i="3"/>
  <c r="D789" i="3"/>
  <c r="D790" i="3"/>
  <c r="D791" i="3"/>
  <c r="E791" i="3" s="1"/>
  <c r="D792" i="3"/>
  <c r="E792" i="3" s="1"/>
  <c r="D793" i="3"/>
  <c r="D794" i="3"/>
  <c r="D795" i="3"/>
  <c r="D796" i="3"/>
  <c r="D797" i="3"/>
  <c r="D798" i="3"/>
  <c r="D799" i="3"/>
  <c r="D800" i="3"/>
  <c r="D801" i="3"/>
  <c r="E801" i="3" s="1"/>
  <c r="D802" i="3"/>
  <c r="E802" i="3" s="1"/>
  <c r="D803" i="3"/>
  <c r="D804" i="3"/>
  <c r="D805" i="3"/>
  <c r="D806" i="3"/>
  <c r="D807" i="3"/>
  <c r="D808" i="3"/>
  <c r="D809" i="3"/>
  <c r="D810" i="3"/>
  <c r="D811" i="3"/>
  <c r="E811" i="3" s="1"/>
  <c r="D812" i="3"/>
  <c r="E812" i="3" s="1"/>
  <c r="D813" i="3"/>
  <c r="D814" i="3"/>
  <c r="D815" i="3"/>
  <c r="D816" i="3"/>
  <c r="D817" i="3"/>
  <c r="D818" i="3"/>
  <c r="D819" i="3"/>
  <c r="D820" i="3"/>
  <c r="D821" i="3"/>
  <c r="E821" i="3" s="1"/>
  <c r="D822" i="3"/>
  <c r="E822" i="3" s="1"/>
  <c r="D823" i="3"/>
  <c r="D824" i="3"/>
  <c r="D825" i="3"/>
  <c r="D826" i="3"/>
  <c r="D827" i="3"/>
  <c r="D828" i="3"/>
  <c r="D829" i="3"/>
  <c r="D830" i="3"/>
  <c r="D831" i="3"/>
  <c r="E831" i="3" s="1"/>
  <c r="D832" i="3"/>
  <c r="E832" i="3" s="1"/>
  <c r="D833" i="3"/>
  <c r="D834" i="3"/>
  <c r="D835" i="3"/>
  <c r="D836" i="3"/>
  <c r="D837" i="3"/>
  <c r="D838" i="3"/>
  <c r="D839" i="3"/>
  <c r="D840" i="3"/>
  <c r="D841" i="3"/>
  <c r="E841" i="3" s="1"/>
  <c r="D842" i="3"/>
  <c r="E842" i="3" s="1"/>
  <c r="D843" i="3"/>
  <c r="D844" i="3"/>
  <c r="D845" i="3"/>
  <c r="D846" i="3"/>
  <c r="D847" i="3"/>
  <c r="D848" i="3"/>
  <c r="D849" i="3"/>
  <c r="D850" i="3"/>
  <c r="D851" i="3"/>
  <c r="E851" i="3" s="1"/>
  <c r="D852" i="3"/>
  <c r="E852" i="3" s="1"/>
  <c r="D853" i="3"/>
  <c r="D854" i="3"/>
  <c r="D855" i="3"/>
  <c r="D856" i="3"/>
  <c r="D857" i="3"/>
  <c r="D858" i="3"/>
  <c r="D859" i="3"/>
  <c r="D860" i="3"/>
  <c r="D861" i="3"/>
  <c r="E861" i="3" s="1"/>
  <c r="D862" i="3"/>
  <c r="E862" i="3" s="1"/>
  <c r="D863" i="3"/>
  <c r="D864" i="3"/>
  <c r="D865" i="3"/>
  <c r="D866" i="3"/>
  <c r="D867" i="3"/>
  <c r="D868" i="3"/>
  <c r="D869" i="3"/>
  <c r="D870" i="3"/>
  <c r="D871" i="3"/>
  <c r="E871" i="3" s="1"/>
  <c r="D872" i="3"/>
  <c r="E872" i="3" s="1"/>
  <c r="D873" i="3"/>
  <c r="D874" i="3"/>
  <c r="D875" i="3"/>
  <c r="D876" i="3"/>
  <c r="D877" i="3"/>
  <c r="D878" i="3"/>
  <c r="D879" i="3"/>
  <c r="D880" i="3"/>
  <c r="D881" i="3"/>
  <c r="E881" i="3" s="1"/>
  <c r="D882" i="3"/>
  <c r="E882" i="3" s="1"/>
  <c r="D883" i="3"/>
  <c r="D884" i="3"/>
  <c r="D885" i="3"/>
  <c r="D886" i="3"/>
  <c r="D887" i="3"/>
  <c r="D888" i="3"/>
  <c r="D889" i="3"/>
  <c r="D890" i="3"/>
  <c r="D891" i="3"/>
  <c r="E891" i="3" s="1"/>
  <c r="D892" i="3"/>
  <c r="E892" i="3" s="1"/>
  <c r="D893" i="3"/>
  <c r="D894" i="3"/>
  <c r="D895" i="3"/>
  <c r="D896" i="3"/>
  <c r="D897" i="3"/>
  <c r="D898" i="3"/>
  <c r="D899" i="3"/>
  <c r="D900" i="3"/>
  <c r="D901" i="3"/>
  <c r="E901" i="3" s="1"/>
  <c r="D902" i="3"/>
  <c r="E902" i="3" s="1"/>
  <c r="D903" i="3"/>
  <c r="D904" i="3"/>
  <c r="D905" i="3"/>
  <c r="D906" i="3"/>
  <c r="D907" i="3"/>
  <c r="D908" i="3"/>
  <c r="D909" i="3"/>
  <c r="D910" i="3"/>
  <c r="D911" i="3"/>
  <c r="E911" i="3" s="1"/>
  <c r="D912" i="3"/>
  <c r="E912" i="3" s="1"/>
  <c r="D913" i="3"/>
  <c r="D914" i="3"/>
  <c r="D915" i="3"/>
  <c r="D916" i="3"/>
  <c r="D917" i="3"/>
  <c r="D918" i="3"/>
  <c r="D919" i="3"/>
  <c r="D920" i="3"/>
  <c r="D921" i="3"/>
  <c r="E921" i="3" s="1"/>
  <c r="D922" i="3"/>
  <c r="E922" i="3" s="1"/>
  <c r="D923" i="3"/>
  <c r="D924" i="3"/>
  <c r="D925" i="3"/>
  <c r="D926" i="3"/>
  <c r="D927" i="3"/>
  <c r="D928" i="3"/>
  <c r="D929" i="3"/>
  <c r="D930" i="3"/>
  <c r="D931" i="3"/>
  <c r="E931" i="3" s="1"/>
  <c r="D932" i="3"/>
  <c r="E932" i="3" s="1"/>
  <c r="D933" i="3"/>
  <c r="D934" i="3"/>
  <c r="D935" i="3"/>
  <c r="D936" i="3"/>
  <c r="D937" i="3"/>
  <c r="D938" i="3"/>
  <c r="D939" i="3"/>
  <c r="D940" i="3"/>
  <c r="D941" i="3"/>
  <c r="E941" i="3" s="1"/>
  <c r="D942" i="3"/>
  <c r="E942" i="3" s="1"/>
  <c r="D943" i="3"/>
  <c r="D944" i="3"/>
  <c r="D945" i="3"/>
  <c r="D946" i="3"/>
  <c r="D947" i="3"/>
  <c r="D948" i="3"/>
  <c r="D949" i="3"/>
  <c r="D950" i="3"/>
  <c r="D951" i="3"/>
  <c r="E951" i="3" s="1"/>
  <c r="D952" i="3"/>
  <c r="E952" i="3" s="1"/>
  <c r="D953" i="3"/>
  <c r="D954" i="3"/>
  <c r="D955" i="3"/>
  <c r="D956" i="3"/>
  <c r="D957" i="3"/>
  <c r="D958" i="3"/>
  <c r="D959" i="3"/>
  <c r="D960" i="3"/>
  <c r="D961" i="3"/>
  <c r="E961" i="3" s="1"/>
  <c r="D962" i="3"/>
  <c r="E962" i="3" s="1"/>
  <c r="D963" i="3"/>
  <c r="D964" i="3"/>
  <c r="D965" i="3"/>
  <c r="D966" i="3"/>
  <c r="D967" i="3"/>
  <c r="D968" i="3"/>
  <c r="D969" i="3"/>
  <c r="D970" i="3"/>
  <c r="D971" i="3"/>
  <c r="E971" i="3" s="1"/>
  <c r="D972" i="3"/>
  <c r="E972" i="3" s="1"/>
  <c r="D973" i="3"/>
  <c r="D974" i="3"/>
  <c r="D975" i="3"/>
  <c r="D976" i="3"/>
  <c r="D977" i="3"/>
  <c r="D978" i="3"/>
  <c r="D979" i="3"/>
  <c r="D980" i="3"/>
  <c r="D981" i="3"/>
  <c r="E981" i="3" s="1"/>
  <c r="D982" i="3"/>
  <c r="E982" i="3" s="1"/>
  <c r="D983" i="3"/>
  <c r="D984" i="3"/>
  <c r="D985" i="3"/>
  <c r="D986" i="3"/>
  <c r="D987" i="3"/>
  <c r="D988" i="3"/>
  <c r="D989" i="3"/>
  <c r="D990" i="3"/>
  <c r="D991" i="3"/>
  <c r="E991" i="3" s="1"/>
  <c r="D992" i="3"/>
  <c r="E992" i="3" s="1"/>
  <c r="D993" i="3"/>
  <c r="D994" i="3"/>
  <c r="D995" i="3"/>
  <c r="D996" i="3"/>
  <c r="D997" i="3"/>
  <c r="E997" i="3" s="1"/>
  <c r="D998" i="3"/>
  <c r="D999" i="3"/>
  <c r="D1000" i="3"/>
  <c r="D1001" i="3"/>
  <c r="E1001" i="3" s="1"/>
  <c r="D1002" i="3"/>
  <c r="E1002" i="3" s="1"/>
  <c r="D1003" i="3"/>
  <c r="D1004" i="3"/>
  <c r="D1005" i="3"/>
  <c r="D1006" i="3"/>
  <c r="D1007" i="3"/>
  <c r="D1008" i="3"/>
  <c r="D1009" i="3"/>
  <c r="D1010" i="3"/>
  <c r="D1011" i="3"/>
  <c r="E1011" i="3" s="1"/>
  <c r="D1012" i="3"/>
  <c r="E1012" i="3" s="1"/>
  <c r="D1013" i="3"/>
  <c r="D1014" i="3"/>
  <c r="D1015" i="3"/>
  <c r="D1016" i="3"/>
  <c r="D1017" i="3"/>
  <c r="D1018" i="3"/>
  <c r="D1019" i="3"/>
  <c r="D1020" i="3"/>
  <c r="D1021" i="3"/>
  <c r="E1021" i="3" s="1"/>
  <c r="D1022" i="3"/>
  <c r="E1022" i="3" s="1"/>
  <c r="D1023" i="3"/>
  <c r="D1024" i="3"/>
  <c r="D1025" i="3"/>
  <c r="D1026" i="3"/>
  <c r="D1027" i="3"/>
  <c r="D1028" i="3"/>
  <c r="D1029" i="3"/>
  <c r="D1030" i="3"/>
  <c r="D1031" i="3"/>
  <c r="E1031" i="3" s="1"/>
  <c r="D1032" i="3"/>
  <c r="E1032" i="3" s="1"/>
  <c r="D1033" i="3"/>
  <c r="D1034" i="3"/>
  <c r="D1035" i="3"/>
  <c r="D1036" i="3"/>
  <c r="D1037" i="3"/>
  <c r="D1038" i="3"/>
  <c r="D1039" i="3"/>
  <c r="D1040" i="3"/>
  <c r="D1041" i="3"/>
  <c r="E1041" i="3" s="1"/>
  <c r="D1042" i="3"/>
  <c r="E1042" i="3" s="1"/>
  <c r="D1043" i="3"/>
  <c r="D1044" i="3"/>
  <c r="D1045" i="3"/>
  <c r="D1046" i="3"/>
  <c r="D1047" i="3"/>
  <c r="D1048" i="3"/>
  <c r="D1049" i="3"/>
  <c r="D1050" i="3"/>
  <c r="D1051" i="3"/>
  <c r="E1051" i="3" s="1"/>
  <c r="D1052" i="3"/>
  <c r="E1052" i="3" s="1"/>
  <c r="D1053" i="3"/>
  <c r="D1054" i="3"/>
  <c r="D1055" i="3"/>
  <c r="D1056" i="3"/>
  <c r="D1057" i="3"/>
  <c r="D1058" i="3"/>
  <c r="D1059" i="3"/>
  <c r="D1060" i="3"/>
  <c r="D1061" i="3"/>
  <c r="E1061" i="3" s="1"/>
  <c r="D1062" i="3"/>
  <c r="E1062" i="3" s="1"/>
  <c r="D1063" i="3"/>
  <c r="D1064" i="3"/>
  <c r="D1065" i="3"/>
  <c r="D1066" i="3"/>
  <c r="D1067" i="3"/>
  <c r="D1068" i="3"/>
  <c r="D1069" i="3"/>
  <c r="D1070" i="3"/>
  <c r="D1071" i="3"/>
  <c r="E1071" i="3" s="1"/>
  <c r="D1072" i="3"/>
  <c r="E1072" i="3" s="1"/>
  <c r="D1073" i="3"/>
  <c r="D1074" i="3"/>
  <c r="D1075" i="3"/>
  <c r="D1076" i="3"/>
  <c r="D1077" i="3"/>
  <c r="D1078" i="3"/>
  <c r="D1079" i="3"/>
  <c r="D1080" i="3"/>
  <c r="D1081" i="3"/>
  <c r="E1081" i="3" s="1"/>
  <c r="D1082" i="3"/>
  <c r="E1082" i="3" s="1"/>
  <c r="D1083" i="3"/>
  <c r="D1084" i="3"/>
  <c r="D1085" i="3"/>
  <c r="D1086" i="3"/>
  <c r="D1087" i="3"/>
  <c r="D1088" i="3"/>
  <c r="D1089" i="3"/>
  <c r="D1090" i="3"/>
  <c r="D1091" i="3"/>
  <c r="E1091" i="3" s="1"/>
  <c r="D1092" i="3"/>
  <c r="E1092" i="3" s="1"/>
  <c r="D1093" i="3"/>
  <c r="D1094" i="3"/>
  <c r="D1095" i="3"/>
  <c r="D1096" i="3"/>
  <c r="D1097" i="3"/>
  <c r="D1098" i="3"/>
  <c r="D1099" i="3"/>
  <c r="D1100" i="3"/>
  <c r="D1101" i="3"/>
  <c r="E1101" i="3" s="1"/>
  <c r="D1102" i="3"/>
  <c r="E1102" i="3" s="1"/>
  <c r="D1103" i="3"/>
  <c r="D1104" i="3"/>
  <c r="D1105" i="3"/>
  <c r="D1106" i="3"/>
  <c r="D1107" i="3"/>
  <c r="D1108" i="3"/>
  <c r="D1109" i="3"/>
  <c r="D1110" i="3"/>
  <c r="D1111" i="3"/>
  <c r="E1111" i="3" s="1"/>
  <c r="D1112" i="3"/>
  <c r="E1112" i="3" s="1"/>
  <c r="D1113" i="3"/>
  <c r="D1114" i="3"/>
  <c r="D1115" i="3"/>
  <c r="D1116" i="3"/>
  <c r="D1117" i="3"/>
  <c r="D1118" i="3"/>
  <c r="D1119" i="3"/>
  <c r="D1120" i="3"/>
  <c r="D1121" i="3"/>
  <c r="E1121" i="3" s="1"/>
  <c r="D1122" i="3"/>
  <c r="E1122" i="3" s="1"/>
  <c r="D1123" i="3"/>
  <c r="D1124" i="3"/>
  <c r="D1125" i="3"/>
  <c r="D1126" i="3"/>
  <c r="D1127" i="3"/>
  <c r="D1128" i="3"/>
  <c r="D1129" i="3"/>
  <c r="D1130" i="3"/>
  <c r="D1131" i="3"/>
  <c r="E1131" i="3" s="1"/>
  <c r="D1132" i="3"/>
  <c r="E1132" i="3" s="1"/>
  <c r="D1133" i="3"/>
  <c r="D1134" i="3"/>
  <c r="D1135" i="3"/>
  <c r="D1136" i="3"/>
  <c r="D1137" i="3"/>
  <c r="D1138" i="3"/>
  <c r="D1139" i="3"/>
  <c r="D1140" i="3"/>
  <c r="D1141" i="3"/>
  <c r="E1141" i="3" s="1"/>
  <c r="D1142" i="3"/>
  <c r="E1142" i="3" s="1"/>
  <c r="D1143" i="3"/>
  <c r="D1144" i="3"/>
  <c r="D1145" i="3"/>
  <c r="D1146" i="3"/>
  <c r="D1147" i="3"/>
  <c r="D1148" i="3"/>
  <c r="D1149" i="3"/>
  <c r="D1150" i="3"/>
  <c r="D1151" i="3"/>
  <c r="E1151" i="3" s="1"/>
  <c r="D1152" i="3"/>
  <c r="E1152" i="3" s="1"/>
  <c r="D1153" i="3"/>
  <c r="D1154" i="3"/>
  <c r="D1155" i="3"/>
  <c r="D1156" i="3"/>
  <c r="D1157" i="3"/>
  <c r="D1158" i="3"/>
  <c r="D1159" i="3"/>
  <c r="D1160" i="3"/>
  <c r="D1161" i="3"/>
  <c r="E1161" i="3" s="1"/>
  <c r="D1162" i="3"/>
  <c r="E1162" i="3" s="1"/>
  <c r="D1163" i="3"/>
  <c r="D1164" i="3"/>
  <c r="D1165" i="3"/>
  <c r="D1166" i="3"/>
  <c r="D1167" i="3"/>
  <c r="D1168" i="3"/>
  <c r="D1169" i="3"/>
  <c r="D1170" i="3"/>
  <c r="D1171" i="3"/>
  <c r="E1171" i="3" s="1"/>
  <c r="D1172" i="3"/>
  <c r="E1172" i="3" s="1"/>
  <c r="D1173" i="3"/>
  <c r="D1174" i="3"/>
  <c r="D1175" i="3"/>
  <c r="D1176" i="3"/>
  <c r="D1177" i="3"/>
  <c r="D1178" i="3"/>
  <c r="D1179" i="3"/>
  <c r="D1180" i="3"/>
  <c r="D1181" i="3"/>
  <c r="E1181" i="3" s="1"/>
  <c r="D1182" i="3"/>
  <c r="E1182" i="3" s="1"/>
  <c r="D1183" i="3"/>
  <c r="D1184" i="3"/>
  <c r="D1185" i="3"/>
  <c r="D1186" i="3"/>
  <c r="D1187" i="3"/>
  <c r="D1188" i="3"/>
  <c r="D1189" i="3"/>
  <c r="D1190" i="3"/>
  <c r="D1191" i="3"/>
  <c r="E1191" i="3" s="1"/>
  <c r="D1192" i="3"/>
  <c r="E1192" i="3" s="1"/>
  <c r="D1193" i="3"/>
  <c r="D1194" i="3"/>
  <c r="D1195" i="3"/>
  <c r="D1196" i="3"/>
  <c r="D1197" i="3"/>
  <c r="D1198" i="3"/>
  <c r="D1199" i="3"/>
  <c r="D1200" i="3"/>
  <c r="D1201" i="3"/>
  <c r="E1201" i="3" s="1"/>
  <c r="D1202" i="3"/>
  <c r="E1202" i="3" s="1"/>
  <c r="D1203" i="3"/>
  <c r="D1204" i="3"/>
  <c r="D1205" i="3"/>
  <c r="D1206" i="3"/>
  <c r="D1207" i="3"/>
  <c r="D1208" i="3"/>
  <c r="D1209" i="3"/>
  <c r="D1210" i="3"/>
  <c r="D1211" i="3"/>
  <c r="E1211" i="3" s="1"/>
  <c r="D1212" i="3"/>
  <c r="E1212" i="3" s="1"/>
  <c r="D1213" i="3"/>
  <c r="D1214" i="3"/>
  <c r="D1215" i="3"/>
  <c r="D1216" i="3"/>
  <c r="D1217" i="3"/>
  <c r="D1218" i="3"/>
  <c r="D1219" i="3"/>
  <c r="D1220" i="3"/>
  <c r="D1221" i="3"/>
  <c r="E1221" i="3" s="1"/>
  <c r="D1222" i="3"/>
  <c r="E1222" i="3" s="1"/>
  <c r="D1223" i="3"/>
  <c r="D1224" i="3"/>
  <c r="D1225" i="3"/>
  <c r="D1226" i="3"/>
  <c r="D1227" i="3"/>
  <c r="D1228" i="3"/>
  <c r="D1229" i="3"/>
  <c r="D1230" i="3"/>
  <c r="D1231" i="3"/>
  <c r="E1231" i="3" s="1"/>
  <c r="D1232" i="3"/>
  <c r="E1232" i="3" s="1"/>
  <c r="D1233" i="3"/>
  <c r="D1234" i="3"/>
  <c r="D1235" i="3"/>
  <c r="D1236" i="3"/>
  <c r="D1237" i="3"/>
  <c r="D1238" i="3"/>
  <c r="D1239" i="3"/>
  <c r="D1240" i="3"/>
  <c r="D1241" i="3"/>
  <c r="E1241" i="3" s="1"/>
  <c r="D1242" i="3"/>
  <c r="E1242" i="3" s="1"/>
  <c r="D1243" i="3"/>
  <c r="D1244" i="3"/>
  <c r="D1245" i="3"/>
  <c r="D1246" i="3"/>
  <c r="D1247" i="3"/>
  <c r="D1248" i="3"/>
  <c r="D1249" i="3"/>
  <c r="D1250" i="3"/>
  <c r="D1251" i="3"/>
  <c r="E1251" i="3" s="1"/>
  <c r="D1252" i="3"/>
  <c r="E1252" i="3" s="1"/>
  <c r="D1253" i="3"/>
  <c r="D1254" i="3"/>
  <c r="D1255" i="3"/>
  <c r="D1256" i="3"/>
  <c r="D1257" i="3"/>
  <c r="D1258" i="3"/>
  <c r="D1259" i="3"/>
  <c r="D1260" i="3"/>
  <c r="D1261" i="3"/>
  <c r="E1261" i="3" s="1"/>
  <c r="D1262" i="3"/>
  <c r="E1262" i="3" s="1"/>
  <c r="D1263" i="3"/>
  <c r="D1264" i="3"/>
  <c r="D1265" i="3"/>
  <c r="D1266" i="3"/>
  <c r="D1267" i="3"/>
  <c r="D1268" i="3"/>
  <c r="D1269" i="3"/>
  <c r="D1270" i="3"/>
  <c r="D1271" i="3"/>
  <c r="E1271" i="3" s="1"/>
  <c r="D1272" i="3"/>
  <c r="E1272" i="3" s="1"/>
  <c r="D1273" i="3"/>
  <c r="D1274" i="3"/>
  <c r="D1275" i="3"/>
  <c r="D1276" i="3"/>
  <c r="D1277" i="3"/>
  <c r="D1278" i="3"/>
  <c r="D1279" i="3"/>
  <c r="D1280" i="3"/>
  <c r="D2" i="3"/>
  <c r="E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" i="2"/>
  <c r="J2" i="2" s="1"/>
  <c r="L7" i="1"/>
  <c r="L8" i="1"/>
  <c r="L9" i="1"/>
  <c r="L12" i="1"/>
  <c r="L13" i="1"/>
  <c r="L24" i="1"/>
  <c r="L25" i="1"/>
  <c r="L34" i="1"/>
  <c r="L35" i="1"/>
  <c r="L36" i="1"/>
  <c r="L44" i="1"/>
  <c r="L45" i="1"/>
  <c r="L52" i="1"/>
  <c r="L53" i="1"/>
  <c r="L54" i="1"/>
  <c r="L55" i="1"/>
  <c r="L56" i="1"/>
  <c r="L83" i="1"/>
  <c r="L84" i="1"/>
  <c r="L85" i="1"/>
  <c r="L92" i="1"/>
  <c r="L93" i="1"/>
  <c r="L112" i="1"/>
  <c r="L113" i="1"/>
  <c r="L114" i="1"/>
  <c r="L115" i="1"/>
  <c r="L123" i="1"/>
  <c r="L132" i="1"/>
  <c r="L133" i="1"/>
  <c r="L152" i="1"/>
  <c r="L159" i="1"/>
  <c r="L164" i="1"/>
  <c r="L165" i="1"/>
  <c r="L172" i="1"/>
  <c r="L188" i="1"/>
  <c r="L189" i="1"/>
  <c r="L190" i="1"/>
  <c r="L192" i="1"/>
  <c r="L193" i="1"/>
  <c r="L194" i="1"/>
  <c r="L214" i="1"/>
  <c r="L215" i="1"/>
  <c r="L225" i="1"/>
  <c r="L227" i="1"/>
  <c r="L228" i="1"/>
  <c r="L229" i="1"/>
  <c r="L232" i="1"/>
  <c r="L233" i="1"/>
  <c r="L243" i="1"/>
  <c r="L244" i="1"/>
  <c r="L245" i="1"/>
  <c r="L254" i="1"/>
  <c r="L255" i="1"/>
  <c r="L256" i="1"/>
  <c r="L257" i="1"/>
  <c r="L263" i="1"/>
  <c r="L272" i="1"/>
  <c r="L273" i="1"/>
  <c r="L274" i="1"/>
  <c r="L275" i="1"/>
  <c r="L292" i="1"/>
  <c r="L293" i="1"/>
  <c r="L294" i="1"/>
  <c r="L296" i="1"/>
  <c r="L297" i="1"/>
  <c r="L303" i="1"/>
  <c r="L304" i="1"/>
  <c r="L305" i="1"/>
  <c r="L309" i="1"/>
  <c r="L310" i="1"/>
  <c r="L312" i="1"/>
  <c r="L332" i="1"/>
  <c r="L333" i="1"/>
  <c r="L334" i="1"/>
  <c r="L335" i="1"/>
  <c r="L343" i="1"/>
  <c r="L344" i="1"/>
  <c r="L345" i="1"/>
  <c r="L352" i="1"/>
  <c r="L353" i="1"/>
  <c r="L354" i="1"/>
  <c r="L355" i="1"/>
  <c r="L372" i="1"/>
  <c r="L373" i="1"/>
  <c r="L374" i="1"/>
  <c r="L394" i="1"/>
  <c r="L395" i="1"/>
  <c r="L407" i="1"/>
  <c r="L412" i="1"/>
  <c r="L413" i="1"/>
  <c r="L414" i="1"/>
  <c r="L415" i="1"/>
  <c r="L424" i="1"/>
  <c r="L425" i="1"/>
  <c r="L434" i="1"/>
  <c r="L435" i="1"/>
  <c r="L444" i="1"/>
  <c r="L445" i="1"/>
  <c r="L452" i="1"/>
  <c r="L463" i="1"/>
  <c r="L464" i="1"/>
  <c r="L465" i="1"/>
  <c r="L474" i="1"/>
  <c r="L483" i="1"/>
  <c r="L492" i="1"/>
  <c r="L493" i="1"/>
  <c r="L494" i="1"/>
  <c r="L495" i="1"/>
  <c r="L512" i="1"/>
  <c r="L523" i="1"/>
  <c r="L524" i="1"/>
  <c r="L525" i="1"/>
  <c r="L532" i="1"/>
  <c r="L552" i="1"/>
  <c r="L553" i="1"/>
  <c r="L554" i="1"/>
  <c r="L555" i="1"/>
  <c r="L563" i="1"/>
  <c r="L564" i="1"/>
  <c r="L565" i="1"/>
  <c r="L568" i="1"/>
  <c r="L569" i="1"/>
  <c r="L572" i="1"/>
  <c r="L2" i="1"/>
  <c r="L3" i="1"/>
  <c r="L4" i="1"/>
  <c r="L5" i="1"/>
  <c r="L6" i="1"/>
  <c r="L23" i="1"/>
  <c r="L26" i="1"/>
  <c r="L27" i="1"/>
  <c r="L32" i="1"/>
  <c r="L33" i="1"/>
  <c r="L43" i="1"/>
  <c r="L63" i="1"/>
  <c r="L64" i="1"/>
  <c r="L65" i="1"/>
  <c r="L66" i="1"/>
  <c r="L67" i="1"/>
  <c r="L68" i="1"/>
  <c r="L72" i="1"/>
  <c r="L86" i="1"/>
  <c r="L103" i="1"/>
  <c r="L104" i="1"/>
  <c r="L105" i="1"/>
  <c r="L106" i="1"/>
  <c r="L107" i="1"/>
  <c r="L143" i="1"/>
  <c r="L144" i="1"/>
  <c r="L145" i="1"/>
  <c r="L146" i="1"/>
  <c r="L147" i="1"/>
  <c r="L148" i="1"/>
  <c r="L163" i="1"/>
  <c r="L183" i="1"/>
  <c r="L184" i="1"/>
  <c r="L185" i="1"/>
  <c r="L186" i="1"/>
  <c r="L203" i="1"/>
  <c r="L204" i="1"/>
  <c r="L206" i="1"/>
  <c r="L212" i="1"/>
  <c r="L213" i="1"/>
  <c r="L223" i="1"/>
  <c r="L224" i="1"/>
  <c r="L226" i="1"/>
  <c r="L246" i="1"/>
  <c r="L247" i="1"/>
  <c r="L248" i="1"/>
  <c r="L252" i="1"/>
  <c r="L253" i="1"/>
  <c r="L283" i="1"/>
  <c r="L284" i="1"/>
  <c r="L285" i="1"/>
  <c r="L286" i="1"/>
  <c r="L287" i="1"/>
  <c r="L288" i="1"/>
  <c r="L323" i="1"/>
  <c r="L324" i="1"/>
  <c r="L325" i="1"/>
  <c r="L346" i="1"/>
  <c r="L347" i="1"/>
  <c r="L363" i="1"/>
  <c r="L383" i="1"/>
  <c r="L384" i="1"/>
  <c r="L385" i="1"/>
  <c r="L386" i="1"/>
  <c r="L387" i="1"/>
  <c r="L392" i="1"/>
  <c r="L403" i="1"/>
  <c r="L404" i="1"/>
  <c r="L405" i="1"/>
  <c r="L406" i="1"/>
  <c r="L423" i="1"/>
  <c r="L426" i="1"/>
  <c r="L432" i="1"/>
  <c r="L433" i="1"/>
  <c r="L443" i="1"/>
  <c r="L472" i="1"/>
  <c r="L473" i="1"/>
  <c r="L486" i="1"/>
  <c r="L487" i="1"/>
  <c r="L503" i="1"/>
  <c r="L526" i="1"/>
  <c r="L527" i="1"/>
  <c r="L543" i="1"/>
  <c r="L544" i="1"/>
  <c r="K1" i="1"/>
  <c r="L102" i="4" l="1"/>
  <c r="L91" i="4"/>
  <c r="L65" i="4"/>
  <c r="L30" i="4"/>
  <c r="L130" i="4"/>
  <c r="L90" i="4"/>
  <c r="L103" i="4"/>
  <c r="L66" i="4"/>
  <c r="L142" i="4"/>
  <c r="L112" i="4"/>
  <c r="L36" i="4"/>
  <c r="L131" i="4"/>
  <c r="L31" i="4"/>
  <c r="L129" i="4"/>
  <c r="L141" i="4"/>
  <c r="L140" i="4"/>
  <c r="L8" i="4"/>
  <c r="L84" i="4"/>
  <c r="L10" i="4"/>
  <c r="L9" i="4"/>
  <c r="L92" i="4"/>
  <c r="L22" i="4"/>
  <c r="L104" i="4"/>
  <c r="L139" i="4"/>
  <c r="L74" i="4"/>
  <c r="L117" i="4"/>
  <c r="L38" i="4"/>
  <c r="L11" i="4"/>
  <c r="L37" i="4"/>
  <c r="L51" i="4"/>
  <c r="L50" i="4"/>
  <c r="L49" i="4"/>
  <c r="L72" i="4"/>
  <c r="L160" i="4"/>
  <c r="L18" i="4"/>
  <c r="L151" i="4"/>
  <c r="L137" i="4"/>
  <c r="L120" i="4"/>
  <c r="L79" i="4"/>
  <c r="L71" i="4"/>
  <c r="L62" i="4"/>
  <c r="L159" i="4"/>
  <c r="L150" i="4"/>
  <c r="L78" i="4"/>
  <c r="L58" i="4"/>
  <c r="L45" i="4"/>
  <c r="L34" i="4"/>
  <c r="L29" i="4"/>
  <c r="L17" i="4"/>
  <c r="L80" i="4"/>
  <c r="L64" i="4"/>
  <c r="L138" i="4"/>
  <c r="L122" i="4"/>
  <c r="L101" i="4"/>
  <c r="L127" i="4"/>
  <c r="L19" i="4"/>
  <c r="L152" i="4"/>
  <c r="L121" i="4"/>
  <c r="L110" i="4"/>
  <c r="L99" i="4"/>
  <c r="L59" i="4"/>
  <c r="L46" i="4"/>
  <c r="L35" i="4"/>
  <c r="L7" i="4"/>
  <c r="L158" i="4"/>
  <c r="L149" i="4"/>
  <c r="L136" i="4"/>
  <c r="L116" i="4"/>
  <c r="L98" i="4"/>
  <c r="L83" i="4"/>
  <c r="L28" i="4"/>
  <c r="L6" i="4"/>
  <c r="L148" i="4"/>
  <c r="L126" i="4"/>
  <c r="L97" i="4"/>
  <c r="L89" i="4"/>
  <c r="L70" i="4"/>
  <c r="L61" i="4"/>
  <c r="L44" i="4"/>
  <c r="L33" i="4"/>
  <c r="L147" i="4"/>
  <c r="L115" i="4"/>
  <c r="L109" i="4"/>
  <c r="L88" i="4"/>
  <c r="L82" i="4"/>
  <c r="L77" i="4"/>
  <c r="L57" i="4"/>
  <c r="L43" i="4"/>
  <c r="L27" i="4"/>
  <c r="L16" i="4"/>
  <c r="L5" i="4"/>
  <c r="L100" i="4"/>
  <c r="L157" i="4"/>
  <c r="L96" i="4"/>
  <c r="L56" i="4"/>
  <c r="L15" i="4"/>
  <c r="L14" i="4"/>
  <c r="L69" i="4"/>
  <c r="L63" i="4"/>
  <c r="L154" i="4"/>
  <c r="L128" i="4"/>
  <c r="L73" i="4"/>
  <c r="L21" i="4"/>
  <c r="L153" i="4"/>
  <c r="L111" i="4"/>
  <c r="L48" i="4"/>
  <c r="L20" i="4"/>
  <c r="L161" i="4"/>
  <c r="L60" i="4"/>
  <c r="L47" i="4"/>
  <c r="L146" i="4"/>
  <c r="L135" i="4"/>
  <c r="L125" i="4"/>
  <c r="L76" i="4"/>
  <c r="L55" i="4"/>
  <c r="L42" i="4"/>
  <c r="L26" i="4"/>
  <c r="L4" i="4"/>
  <c r="L156" i="4"/>
  <c r="L134" i="4"/>
  <c r="L95" i="4"/>
  <c r="L87" i="4"/>
  <c r="L81" i="4"/>
  <c r="L54" i="4"/>
  <c r="L41" i="4"/>
  <c r="L25" i="4"/>
  <c r="L3" i="4"/>
  <c r="L145" i="4"/>
  <c r="L133" i="4"/>
  <c r="L124" i="4"/>
  <c r="L107" i="4"/>
  <c r="L94" i="4"/>
  <c r="L75" i="4"/>
  <c r="L68" i="4"/>
  <c r="L40" i="4"/>
  <c r="L144" i="4"/>
  <c r="L86" i="4"/>
  <c r="L53" i="4"/>
  <c r="L13" i="4"/>
  <c r="L132" i="4"/>
  <c r="L123" i="4"/>
  <c r="L119" i="4"/>
  <c r="L114" i="4"/>
  <c r="L106" i="4"/>
  <c r="L85" i="4"/>
  <c r="L24" i="4"/>
  <c r="L12" i="4"/>
  <c r="L2" i="4"/>
  <c r="L108" i="4"/>
  <c r="L155" i="4"/>
  <c r="L143" i="4"/>
  <c r="L118" i="4"/>
  <c r="L113" i="4"/>
  <c r="L105" i="4"/>
  <c r="L93" i="4"/>
  <c r="L67" i="4"/>
  <c r="L52" i="4"/>
  <c r="L39" i="4"/>
  <c r="L32" i="4"/>
  <c r="L23" i="4"/>
</calcChain>
</file>

<file path=xl/sharedStrings.xml><?xml version="1.0" encoding="utf-8"?>
<sst xmlns="http://schemas.openxmlformats.org/spreadsheetml/2006/main" count="10947" uniqueCount="3140">
  <si>
    <t>Nivel</t>
  </si>
  <si>
    <t>Matrícula</t>
  </si>
  <si>
    <t>Clave</t>
  </si>
  <si>
    <t>id,nivel,correo,matricula,clave,nombre,carrera,grado,sexo,situacion,evaluados,num_evaluados,total_evaluaciones,ultimo_acceso,nivel_acceso</t>
  </si>
  <si>
    <t>ID</t>
  </si>
  <si>
    <t>LICENCIATURA</t>
  </si>
  <si>
    <t>CORREO</t>
  </si>
  <si>
    <t>david.arechederratrejo</t>
  </si>
  <si>
    <t>lillianrebeca.barriossandoval</t>
  </si>
  <si>
    <t>valeria.bañuelosmonteverde</t>
  </si>
  <si>
    <t>angel.escalonabueno</t>
  </si>
  <si>
    <t>aranzasinhai.alvaradomoreno</t>
  </si>
  <si>
    <t>luisfernando.ochoafonseca</t>
  </si>
  <si>
    <t>elias.leonardorivera</t>
  </si>
  <si>
    <t>guillermokaleb.araujovargas</t>
  </si>
  <si>
    <t>oscarosvaldo.ballesterosgalvan</t>
  </si>
  <si>
    <t>mariafernanda.domingueznieblas</t>
  </si>
  <si>
    <t>marianaitzel.floresramirez</t>
  </si>
  <si>
    <t>patricia.pereztorres</t>
  </si>
  <si>
    <t>monicaalejandra.gonzalezblanco</t>
  </si>
  <si>
    <t>dafnegalilea.leonardorivera</t>
  </si>
  <si>
    <t>mariafernanda.sandovalrodriguez</t>
  </si>
  <si>
    <t>pedroiker.solaeguihernandez</t>
  </si>
  <si>
    <t>julieta.tejedadavalos</t>
  </si>
  <si>
    <t>leonardo.villavicenciooceguera</t>
  </si>
  <si>
    <t>karimeanahi.riverabalbuena</t>
  </si>
  <si>
    <t>astridavril.bernalmontañez</t>
  </si>
  <si>
    <t>jorgeenrique.robledosanchez</t>
  </si>
  <si>
    <t>alejandro.alvarezlopez</t>
  </si>
  <si>
    <t>davidisrael.alvarezjimenez</t>
  </si>
  <si>
    <t>adrianassis.tapiacorripio</t>
  </si>
  <si>
    <t>sofia.carrillomatus</t>
  </si>
  <si>
    <t>pabloangel.camachogonzalez</t>
  </si>
  <si>
    <t>enrique.juarezcastañeda</t>
  </si>
  <si>
    <t>yaeldejesus.medinarodriguez</t>
  </si>
  <si>
    <t>angel.mondragonhernandez</t>
  </si>
  <si>
    <t>oscardaniel.tinocoavila</t>
  </si>
  <si>
    <t>josealejandro.ursielortega</t>
  </si>
  <si>
    <t>kevinrodrigopascal.estradabautista</t>
  </si>
  <si>
    <t>gabrieleduardo.colomecampos</t>
  </si>
  <si>
    <t>valeria.galvezdiaz</t>
  </si>
  <si>
    <t>jesuseduardo.ramoscontreras</t>
  </si>
  <si>
    <t>brendaxiadani.maciasayala</t>
  </si>
  <si>
    <t>luismanuel.davalosrodriguez</t>
  </si>
  <si>
    <t>fatimajuliana.zamoramichel</t>
  </si>
  <si>
    <t>pablomaria.beccarisjimenez</t>
  </si>
  <si>
    <t>anacristina.guerrerosoltero</t>
  </si>
  <si>
    <t>darshangael.ortizariza</t>
  </si>
  <si>
    <t>carla.carpinteromerino</t>
  </si>
  <si>
    <t>josedaniel.rodriguezmartinez</t>
  </si>
  <si>
    <t>gabriela.cardenasdeharo</t>
  </si>
  <si>
    <t>oscardaniel.tiburciofabian</t>
  </si>
  <si>
    <t>flormonserrat.alvaradoañorve</t>
  </si>
  <si>
    <t>mayrajesusdebelen.rosalesherrera</t>
  </si>
  <si>
    <t>luisronaldo.silvatorres</t>
  </si>
  <si>
    <t>palomamichelle.cosiolopez</t>
  </si>
  <si>
    <t>ricardo.lopezsilva</t>
  </si>
  <si>
    <t>jorgeluis.robleslopez</t>
  </si>
  <si>
    <t>andrea.vazquezcortes</t>
  </si>
  <si>
    <t>sofia.partidabarba</t>
  </si>
  <si>
    <t>edgaralejandro.ortizvega</t>
  </si>
  <si>
    <t>juanpablo.trejoyañez</t>
  </si>
  <si>
    <t>david.wilsontorres</t>
  </si>
  <si>
    <t>diego.chavezcontreras</t>
  </si>
  <si>
    <t>adibkaleb.gonzaleztoscano</t>
  </si>
  <si>
    <t>diego.gonzaleztelles</t>
  </si>
  <si>
    <t>hectorbernardo.iñiguezpulido</t>
  </si>
  <si>
    <t>danteyael.valladareslopez</t>
  </si>
  <si>
    <t>lilian.valenciabarajas</t>
  </si>
  <si>
    <t>rodrigo.medranoorta</t>
  </si>
  <si>
    <t>bogargerardo.gallegosarciniega</t>
  </si>
  <si>
    <t>ernesto.rojasrodriguez</t>
  </si>
  <si>
    <t>evaregina.guzmanvillaseñor</t>
  </si>
  <si>
    <t>marcoarturo.ortacruz</t>
  </si>
  <si>
    <t>leonelmaximiliano.ortacruz</t>
  </si>
  <si>
    <t>marceliano.belloarias</t>
  </si>
  <si>
    <t>marioarturo.gaytanorozco</t>
  </si>
  <si>
    <t>jaazielalejandro.morenotoscano</t>
  </si>
  <si>
    <t>josemauricio.huitronsanchez</t>
  </si>
  <si>
    <t>alfonso.rosalesvargas</t>
  </si>
  <si>
    <t>juanpablo.ruizgarcia</t>
  </si>
  <si>
    <t>lisset.sandovalvalenzuela</t>
  </si>
  <si>
    <t>rosario.rosasperez</t>
  </si>
  <si>
    <t>mariaantonia.hernandezhernandez</t>
  </si>
  <si>
    <t>hermelinda.hernandezhernandez</t>
  </si>
  <si>
    <t>lunadalai.lozanodelao</t>
  </si>
  <si>
    <t>diegoalfonso.torizmartinez</t>
  </si>
  <si>
    <t>valeria.galloaceves</t>
  </si>
  <si>
    <t>salvadornicolas.piñoncaro</t>
  </si>
  <si>
    <t>josemaria.coronadocabrera</t>
  </si>
  <si>
    <t>ulisesjosell.gonzalezlopez</t>
  </si>
  <si>
    <t>rodrigo.martinezmartinez</t>
  </si>
  <si>
    <t>isabely.alvescornejo</t>
  </si>
  <si>
    <t>angel.gonzalezparra</t>
  </si>
  <si>
    <t>estefaninicole.orozcorivas</t>
  </si>
  <si>
    <t>myriamsofia.esquivelencarnacion</t>
  </si>
  <si>
    <t>victorhugo.francomendez</t>
  </si>
  <si>
    <t>adanoswaldo.sandovalcardenas</t>
  </si>
  <si>
    <t>marioisaias.gomezramos</t>
  </si>
  <si>
    <t>daniela.hernandezvendramini</t>
  </si>
  <si>
    <t>esmeraldagabriela.gomezgaona</t>
  </si>
  <si>
    <t>marisol.sanchezgildominguez</t>
  </si>
  <si>
    <t>mariano.martinezbuenrostro</t>
  </si>
  <si>
    <t>pablosamuel.floresmora</t>
  </si>
  <si>
    <t>josemanuel.rodriguezaguayo</t>
  </si>
  <si>
    <t>kitzyaangelina.padillasalinas</t>
  </si>
  <si>
    <t>emiliano.gracianovargas</t>
  </si>
  <si>
    <t>oscaremilio.cayodiaz</t>
  </si>
  <si>
    <t>joseisaac.cisneroscortes</t>
  </si>
  <si>
    <t>mariana.garciavillanueva</t>
  </si>
  <si>
    <t>dianasarahi.ramireztabarez</t>
  </si>
  <si>
    <t>aureaemily.osorniocontreras</t>
  </si>
  <si>
    <t>jesusbenjamin.argandarubio</t>
  </si>
  <si>
    <t>natalia.izquierdomartinez</t>
  </si>
  <si>
    <t>mariangel.floresaguilar</t>
  </si>
  <si>
    <t>adriana.amarobaltierra</t>
  </si>
  <si>
    <t>marcoantonio.lopezluvian</t>
  </si>
  <si>
    <t>emmanuel.lozanoesparza</t>
  </si>
  <si>
    <t>braulioisaias.perezalvarez</t>
  </si>
  <si>
    <t>alondramarisol.ramosarias</t>
  </si>
  <si>
    <t>taniadelosangeles.contrerassanchez</t>
  </si>
  <si>
    <t>luisfernando.salazartorres</t>
  </si>
  <si>
    <t>andres.cabrerachavira</t>
  </si>
  <si>
    <t>marifer.gomezmurguia</t>
  </si>
  <si>
    <t>alexa.moyarobles</t>
  </si>
  <si>
    <t>eduardo.vazquezguerrero</t>
  </si>
  <si>
    <t>joaquin.zeagomez</t>
  </si>
  <si>
    <t>karlaguadalupe.grajalesmasini</t>
  </si>
  <si>
    <t>dieggo.zepedalopez</t>
  </si>
  <si>
    <t>soniaximena.marmolejorodriguez</t>
  </si>
  <si>
    <t>alondra.ramosavalos</t>
  </si>
  <si>
    <t>neizerjesus.martinezortega</t>
  </si>
  <si>
    <t>sebastian.garciamejia</t>
  </si>
  <si>
    <t>rodrigo.alvarezespinosa</t>
  </si>
  <si>
    <t>giovanna.santillanbarragan</t>
  </si>
  <si>
    <t>analucia.fongurquidy</t>
  </si>
  <si>
    <t>mariana.torrescamacho</t>
  </si>
  <si>
    <t>alvaro.delapeñaperez</t>
  </si>
  <si>
    <t>rodrigosaul.lopezalferez</t>
  </si>
  <si>
    <t>abrilisabella.godoyflores</t>
  </si>
  <si>
    <t>gloriamiranda.hernandezvargas</t>
  </si>
  <si>
    <t>diego.villaseñorclaudin</t>
  </si>
  <si>
    <t>mariasofia.esparzacontreras</t>
  </si>
  <si>
    <t>mariafernanda.alvarezlopez</t>
  </si>
  <si>
    <t>luisantonio.santanaaguilar</t>
  </si>
  <si>
    <t>alondrajamileth.velazquezcastro</t>
  </si>
  <si>
    <t>lyaabigail.huertalopez</t>
  </si>
  <si>
    <t>enriquerene.toledosegovia</t>
  </si>
  <si>
    <t>mariana.avilaestrada</t>
  </si>
  <si>
    <t>lauramaria.iñiguezoseguera</t>
  </si>
  <si>
    <t>emiliano.francoorozco</t>
  </si>
  <si>
    <t>brendasusana.padillavidales</t>
  </si>
  <si>
    <t>jorgearmando.diazesparza</t>
  </si>
  <si>
    <t>santiago.pelayoespinosa</t>
  </si>
  <si>
    <t>natalia.esquerquintanilla</t>
  </si>
  <si>
    <t>danajoanelle.mercadotorres</t>
  </si>
  <si>
    <t>karenjanette.gonzalezjimenez</t>
  </si>
  <si>
    <t>juanpablo.figueroarodriguez</t>
  </si>
  <si>
    <t>joseramon.vegapacheco</t>
  </si>
  <si>
    <t>sebastian.rochalozano</t>
  </si>
  <si>
    <t>emilio.anayarodriguez</t>
  </si>
  <si>
    <t>kenniaguadalupe.aguilarcallejas</t>
  </si>
  <si>
    <t>braulioaaron.gaticacano</t>
  </si>
  <si>
    <t>melanydenisse.avilaestrada</t>
  </si>
  <si>
    <t>anapaula.ruelasnavarro</t>
  </si>
  <si>
    <t>laurasusana.cejaperez</t>
  </si>
  <si>
    <t>hectorenrique.mariscalsanchez</t>
  </si>
  <si>
    <t>carolinaalexandra.sandovalberumen</t>
  </si>
  <si>
    <t>luisfernando.lopezorozco</t>
  </si>
  <si>
    <t>alberto.lariosiñiguez</t>
  </si>
  <si>
    <t>karlaalexia.reyespalacios</t>
  </si>
  <si>
    <t>fatimadennise.arceespino</t>
  </si>
  <si>
    <t>tatiana.gallimartinez</t>
  </si>
  <si>
    <t>victormanuel.cervantespanduro</t>
  </si>
  <si>
    <t>orlandobaru.muñozrodriguez</t>
  </si>
  <si>
    <t>daniela.rojaslopez</t>
  </si>
  <si>
    <t>dario.aguilar</t>
  </si>
  <si>
    <t>javier.ayalaesparza</t>
  </si>
  <si>
    <t>josuesebastianemiliano.matadelamora</t>
  </si>
  <si>
    <t>gabrielamonserrat.covarrubiaslimon</t>
  </si>
  <si>
    <t>ximena.covarrubiaslimon</t>
  </si>
  <si>
    <t>adrianapaola.rodriguezmartinez</t>
  </si>
  <si>
    <t>anailyguadalupe.chavezortiz</t>
  </si>
  <si>
    <t>aolanixaxbe.negretecastro</t>
  </si>
  <si>
    <t>sharonsofia.vazquezrodriguez</t>
  </si>
  <si>
    <t>nicole.jimenezmclane</t>
  </si>
  <si>
    <t>anacecilia.juarezcastañeda</t>
  </si>
  <si>
    <t>michellecarolina.ochoagonzalez</t>
  </si>
  <si>
    <t>layssa.gonzalezguerra</t>
  </si>
  <si>
    <t>osmarandrey.figueroanuño</t>
  </si>
  <si>
    <t>alanyael.vazquezochoa</t>
  </si>
  <si>
    <t>mariafernanda.castillogonzalez</t>
  </si>
  <si>
    <t>dianapaola.coronadotirado</t>
  </si>
  <si>
    <t>andy.rodriguezlazaro</t>
  </si>
  <si>
    <t>paulinanataly.valadezrivera</t>
  </si>
  <si>
    <t>anabelen.oceguedagil</t>
  </si>
  <si>
    <t>claudiafernanda.ramirezarreola</t>
  </si>
  <si>
    <t>carlosfernando.serranoamador</t>
  </si>
  <si>
    <t>cristianfabian.zamudiovazquez</t>
  </si>
  <si>
    <t>jackeline.hernandez</t>
  </si>
  <si>
    <t>dylanadrian.castillogomez</t>
  </si>
  <si>
    <t>victoria.guerreroflores</t>
  </si>
  <si>
    <t>melissaitzel.alatorregomez</t>
  </si>
  <si>
    <t>melissaitzel.silvamartinez</t>
  </si>
  <si>
    <t>sebastianemiliano.apontenavarro</t>
  </si>
  <si>
    <t>michelle.ruizvalenzuela</t>
  </si>
  <si>
    <t>santiagorene.mejiadelarosa</t>
  </si>
  <si>
    <t>angelguillermo.vegarodriguez</t>
  </si>
  <si>
    <t>valeria.alejogonzalez</t>
  </si>
  <si>
    <t>sarahi.bajoperez</t>
  </si>
  <si>
    <t>marisol.guzmanmoreno</t>
  </si>
  <si>
    <t>andreapaola.rodriguezvega</t>
  </si>
  <si>
    <t>taniafernanda.riverarangel</t>
  </si>
  <si>
    <t>hectororlando.valdiviaanguiano</t>
  </si>
  <si>
    <t>reginamargarita.arellanobañuelos</t>
  </si>
  <si>
    <t>saraagali.cajeroeinung</t>
  </si>
  <si>
    <t>sauldejesus.villaloboscarrillo</t>
  </si>
  <si>
    <t>anavaleria.godinezsanchez</t>
  </si>
  <si>
    <t>estephany.coldivarflores</t>
  </si>
  <si>
    <t>emmanuelsebastian.castrogarcia</t>
  </si>
  <si>
    <t>danaelena.rendondelrio</t>
  </si>
  <si>
    <t>miguel.delgado</t>
  </si>
  <si>
    <t>javierantonio.mariscalreyes</t>
  </si>
  <si>
    <t>kevinemmanuel.hernandezquezada</t>
  </si>
  <si>
    <t>joseemmanuel.becerrilgarcia</t>
  </si>
  <si>
    <t>alejandra.neriflores</t>
  </si>
  <si>
    <t>pablomanuel.ruizgomez</t>
  </si>
  <si>
    <t>kiaramaureen.solorzanogarcia</t>
  </si>
  <si>
    <t>erickgermain.isidoroquiñones</t>
  </si>
  <si>
    <t>anasofia.fierrosluna</t>
  </si>
  <si>
    <t>fabian.amezcuacastellanos</t>
  </si>
  <si>
    <t>brayanjose.riveraacosta</t>
  </si>
  <si>
    <t>zarasofia.montañoambrocio</t>
  </si>
  <si>
    <t>marianajoselyne.jassoespinosa</t>
  </si>
  <si>
    <t>blancaleticia.iñiguezoseguera</t>
  </si>
  <si>
    <t>joaquinalejandro.valdenebromartinez</t>
  </si>
  <si>
    <t>luisalejandro.esparzasanchez</t>
  </si>
  <si>
    <t>melanirachel.buenogutierrez</t>
  </si>
  <si>
    <t>juancarlos.castroanzoategui</t>
  </si>
  <si>
    <t>diegocristan.sanchezvazquez</t>
  </si>
  <si>
    <t>dafnemontserrat.juarezjimenez</t>
  </si>
  <si>
    <t>mariana.castroanzoategui</t>
  </si>
  <si>
    <t>juanarmando.floresflores</t>
  </si>
  <si>
    <t>isabella.goribarloza</t>
  </si>
  <si>
    <t>fernandadanae.barajasmichel</t>
  </si>
  <si>
    <t>arturoemmanuel.castañedahernandez</t>
  </si>
  <si>
    <t>kevincarlos.sanchezreyes</t>
  </si>
  <si>
    <t>roberto.tinocoariceaga</t>
  </si>
  <si>
    <t>carlossantiago.perezdiez</t>
  </si>
  <si>
    <t>valentina.escalanteramirez</t>
  </si>
  <si>
    <t>kahlebalejandro.ramirezrobles</t>
  </si>
  <si>
    <t>zahidlievich.guillenhernandez</t>
  </si>
  <si>
    <t>angelmartin.ceceñaponce</t>
  </si>
  <si>
    <t>marianisabella.ruizmartin</t>
  </si>
  <si>
    <t>angelaioros.davalosgarcia</t>
  </si>
  <si>
    <t>ianfernando.barraganlagos</t>
  </si>
  <si>
    <t>jorgejulian.ortizrodriguez</t>
  </si>
  <si>
    <t>isaac.vazquezcardona</t>
  </si>
  <si>
    <t>karimdaniel.cisnerosgarcia</t>
  </si>
  <si>
    <t>emilio.tadeoalvarez</t>
  </si>
  <si>
    <t>alejandro.palaciosreyes</t>
  </si>
  <si>
    <t>karina.villegasangel</t>
  </si>
  <si>
    <t>valeriasofia.ochoareyes</t>
  </si>
  <si>
    <t>emiliano.navavelasco</t>
  </si>
  <si>
    <t>daniela.rojogarcia</t>
  </si>
  <si>
    <t>heli.serranogonzalez</t>
  </si>
  <si>
    <t>alejandro.dominguezhervert</t>
  </si>
  <si>
    <t>sandra.martineznavarro</t>
  </si>
  <si>
    <t>sandrabeatriz.guerrerogrimaldo</t>
  </si>
  <si>
    <t>diegofrancisco.preciadolara</t>
  </si>
  <si>
    <t>edwinfernando.lunabarrientos</t>
  </si>
  <si>
    <t>juancarlos.castillerosolano</t>
  </si>
  <si>
    <t>angelemanuel.cuetoramos</t>
  </si>
  <si>
    <t>jonathanoswaldo.duranruvalcaba</t>
  </si>
  <si>
    <t>diegomartin.zavalacuellar</t>
  </si>
  <si>
    <t>andresezequiel.nuñezramos</t>
  </si>
  <si>
    <t>samuelricardo.veradelarosa</t>
  </si>
  <si>
    <t>janeth.quesneycabrera</t>
  </si>
  <si>
    <t>ricardoalberto.garciacazares</t>
  </si>
  <si>
    <t>josehumberto.diazdeleongarcia</t>
  </si>
  <si>
    <t>emiliano.rodriguezguzman</t>
  </si>
  <si>
    <t>leonardo.martinezruan</t>
  </si>
  <si>
    <t>enriquejesus.cabreralizarraga</t>
  </si>
  <si>
    <t>karinaitzell.picenocastellanos</t>
  </si>
  <si>
    <t>andreanaomi.rebollararriero</t>
  </si>
  <si>
    <t>pedroemiliano.rubioortiz</t>
  </si>
  <si>
    <t>katia.palmalopez</t>
  </si>
  <si>
    <t>anapaola.marquezgonzalez</t>
  </si>
  <si>
    <t>mirandacarolina.lopezvargas</t>
  </si>
  <si>
    <t>joshuaalejandro.gascatellez</t>
  </si>
  <si>
    <t>jonathanulises.figueroabañuelos</t>
  </si>
  <si>
    <t>jesusabraham.navarreteterrones</t>
  </si>
  <si>
    <t>angelandres.garciacherrington</t>
  </si>
  <si>
    <t>joseantonio.muñozsevilla</t>
  </si>
  <si>
    <t>juanjesus.zacariasaguilar</t>
  </si>
  <si>
    <t>diegomisael.patiñomejia</t>
  </si>
  <si>
    <t>marcogabriel.prezaruvalcaba</t>
  </si>
  <si>
    <t>ilichlenin.dejesusprado</t>
  </si>
  <si>
    <t>cristopheradrian.saucedolupercio</t>
  </si>
  <si>
    <t>mauriciojavier.quinterourzua</t>
  </si>
  <si>
    <t>perlabeatriz.avilesbretado</t>
  </si>
  <si>
    <t>farahisabella.florestapia</t>
  </si>
  <si>
    <t>jaimegabriel.muñozsandoval</t>
  </si>
  <si>
    <t>airamvictoria.mirandaguerra</t>
  </si>
  <si>
    <t>dayramichelle.zuñigahernandez</t>
  </si>
  <si>
    <t>anakarol.jimenezmartinez</t>
  </si>
  <si>
    <t>isabelhiromi.inukaimorales</t>
  </si>
  <si>
    <t>regina.lopezalvarez</t>
  </si>
  <si>
    <t>claudiaberenice.alfaroruiz</t>
  </si>
  <si>
    <t>josuejavier.perezlopez</t>
  </si>
  <si>
    <t>joseangel.perezcontreras</t>
  </si>
  <si>
    <t>abbydessire.pelayodiaz</t>
  </si>
  <si>
    <t>cristian.villarruelsandoval</t>
  </si>
  <si>
    <t>guillermojose.sosayavilagonzalez</t>
  </si>
  <si>
    <t>rodrigo.salcedoromero</t>
  </si>
  <si>
    <t>natalia.ortizlopez</t>
  </si>
  <si>
    <t>valeriaalejandra.estradagil</t>
  </si>
  <si>
    <t>michelleanahi.navarrozapata</t>
  </si>
  <si>
    <t>joseluis.hortasoltero</t>
  </si>
  <si>
    <t>adrian.jaimeojeda</t>
  </si>
  <si>
    <t>valeria.torresfarias</t>
  </si>
  <si>
    <t>hector.camposcardenas</t>
  </si>
  <si>
    <t>oliver.rochagarcia</t>
  </si>
  <si>
    <t>berthaerica.guzmanaparicio</t>
  </si>
  <si>
    <t>leonardoaugusto.vazquezcastellanos</t>
  </si>
  <si>
    <t>adrianbryant.vegacastaneda</t>
  </si>
  <si>
    <t>dahyanapaulina.sanchezurzua</t>
  </si>
  <si>
    <t>luzangelicanaomi.gomezosorio</t>
  </si>
  <si>
    <t>juancarlos.bañuelosperez</t>
  </si>
  <si>
    <t>kevin.villalobosmendoza</t>
  </si>
  <si>
    <t>brendaguadalupe.bojadodelreal</t>
  </si>
  <si>
    <t>isaacemiliano.chavezsaavedra</t>
  </si>
  <si>
    <t>angeldavid.sanchezlopez</t>
  </si>
  <si>
    <t>esmeralda.cadenabobadilla</t>
  </si>
  <si>
    <t>claudiapatricia.martinezreynoso</t>
  </si>
  <si>
    <t>fernandaaraceli.romerogarcia</t>
  </si>
  <si>
    <t>victoria.romerogomez</t>
  </si>
  <si>
    <t>valentino.elizaldequintero</t>
  </si>
  <si>
    <t>hectorfabian.gonzalezdeloza</t>
  </si>
  <si>
    <t>zahirapaulette.enriquezsanchez</t>
  </si>
  <si>
    <t>giovanni.dealbatovar</t>
  </si>
  <si>
    <t>brendamelissa.soliscerpa</t>
  </si>
  <si>
    <t>valeria.castillolopez</t>
  </si>
  <si>
    <t>luisalonso.garciagarcia</t>
  </si>
  <si>
    <t>alejandra.perezlimon</t>
  </si>
  <si>
    <t>jesusandres.moralesreyes</t>
  </si>
  <si>
    <t>oscarroberto.gonzalezcampos</t>
  </si>
  <si>
    <t>miriamalejandra.rodriguezmartinez</t>
  </si>
  <si>
    <t>alejandro.solisarriola</t>
  </si>
  <si>
    <t>juanluis.preciadovalle</t>
  </si>
  <si>
    <t>luisfernando.perezenciso</t>
  </si>
  <si>
    <t>angelalexander.virgenserrano</t>
  </si>
  <si>
    <t>kevinjosue.morazepeda</t>
  </si>
  <si>
    <t>fridasophia.alencastrorojo</t>
  </si>
  <si>
    <t>pablooscar.salcidoramos</t>
  </si>
  <si>
    <t>damian.martinezalvarado</t>
  </si>
  <si>
    <t>leonardoalejandro.delamorasanchez</t>
  </si>
  <si>
    <t>chelseavianney.martinezramirez</t>
  </si>
  <si>
    <t>eduardoantonio.aguirrerios</t>
  </si>
  <si>
    <t>oswaldojosafat.molinazamora</t>
  </si>
  <si>
    <t>brendaximena.orozcovizcarra</t>
  </si>
  <si>
    <t>ubaldo.avendañopani</t>
  </si>
  <si>
    <t>karenguadalupe.ruizmartinez</t>
  </si>
  <si>
    <t>renatagabriela.careyramirez</t>
  </si>
  <si>
    <t>maximiliano.resendizpiña</t>
  </si>
  <si>
    <t>bernardo.dessavregonzalez</t>
  </si>
  <si>
    <t>paola.floreszavaleta</t>
  </si>
  <si>
    <t>abigail.mendozavillela</t>
  </si>
  <si>
    <t>mauro.garcianavarro</t>
  </si>
  <si>
    <t>hugofernando.carbajalvalencia</t>
  </si>
  <si>
    <t>ricardo.raygozagomez</t>
  </si>
  <si>
    <t>alan.angulojimenez</t>
  </si>
  <si>
    <t>yessikamichell.sanchezrangel</t>
  </si>
  <si>
    <t>armando.gonzalezhernandez</t>
  </si>
  <si>
    <t>gabrielomar.hernandezgarcia</t>
  </si>
  <si>
    <t>israel.centenorea</t>
  </si>
  <si>
    <t>alanenrique.vazquezgarcia</t>
  </si>
  <si>
    <t>naomidanai.ramirezhidalgo</t>
  </si>
  <si>
    <t>angelyael.cardenasruiz</t>
  </si>
  <si>
    <t>alvarodaniel.saavedraramirez</t>
  </si>
  <si>
    <t>luisalberto.silvasotelo</t>
  </si>
  <si>
    <t>regina.marronperez</t>
  </si>
  <si>
    <t>karolguadalupe.sandovalvega</t>
  </si>
  <si>
    <t>andrea.perezortiz</t>
  </si>
  <si>
    <t>marianoadonai.marquezdelgadillo</t>
  </si>
  <si>
    <t>angeldaniel.gutierrezdelacruz</t>
  </si>
  <si>
    <t>rodrigo.romoguadarrama</t>
  </si>
  <si>
    <t>arturoalexei.serranoguevara</t>
  </si>
  <si>
    <t>manuelamaria.rojassanchez</t>
  </si>
  <si>
    <t>emilianosantiago.entzintapia</t>
  </si>
  <si>
    <t>mariafernanda.rodriguezduran</t>
  </si>
  <si>
    <t>ricardoalexander.garciarodriguez</t>
  </si>
  <si>
    <t>alejandro.cejacorrales</t>
  </si>
  <si>
    <t>jorgeeduardo.castrosolis</t>
  </si>
  <si>
    <t>oscarandres.guzmanvazquez</t>
  </si>
  <si>
    <t>duilioalfonso.morgangallardo</t>
  </si>
  <si>
    <t>gabrielfrancisco.mendozagomez</t>
  </si>
  <si>
    <t>salvadorceo.garciaduran</t>
  </si>
  <si>
    <t>robertoantonio.gonzalezmiranda</t>
  </si>
  <si>
    <t>javieralejandro.coronahernandez</t>
  </si>
  <si>
    <t>natalia.silvalugo</t>
  </si>
  <si>
    <t>angelleonel.riveranuñez</t>
  </si>
  <si>
    <t>sebastianalonso.palafoxfigueroa</t>
  </si>
  <si>
    <t>gustavoemiliano.jassovargas</t>
  </si>
  <si>
    <t>adolfoalexander.vegaruelas</t>
  </si>
  <si>
    <t>jorgeluis.castromarquez</t>
  </si>
  <si>
    <t>brunosantiago.muñozgutierrez</t>
  </si>
  <si>
    <t>jose.escobedogarcia</t>
  </si>
  <si>
    <t>luisrodolfo.lozanosanchez</t>
  </si>
  <si>
    <t>andres.delatorreperez</t>
  </si>
  <si>
    <t>carlososvaldo.medinadiaz</t>
  </si>
  <si>
    <t>francoeduardo.romerovalerio</t>
  </si>
  <si>
    <t>valentina.palominorodriguez</t>
  </si>
  <si>
    <t>andresismael.perezperez</t>
  </si>
  <si>
    <t>oscarisrael.vazquezmuñoz</t>
  </si>
  <si>
    <t>jacobo.nuñezvega</t>
  </si>
  <si>
    <t>marianasujey.villacruz</t>
  </si>
  <si>
    <t>dariamadai.alcarazarroyo</t>
  </si>
  <si>
    <t>natalie.fernleysuccar</t>
  </si>
  <si>
    <t>emilio.esparzaamaral</t>
  </si>
  <si>
    <t>carlosalonso.morenodiaz</t>
  </si>
  <si>
    <t>juanpablo.balcazarferrel</t>
  </si>
  <si>
    <t>arifbenjamin.zabranakönig</t>
  </si>
  <si>
    <t>francisco.cendejasvizcarra</t>
  </si>
  <si>
    <t>adrianenrique.moralesortiz</t>
  </si>
  <si>
    <t>joseeduardo.torreslua</t>
  </si>
  <si>
    <t>adriana.zavalaflores</t>
  </si>
  <si>
    <t>giovannapaola.castañedaelizalde</t>
  </si>
  <si>
    <t>andresenrique.encisogomez</t>
  </si>
  <si>
    <t>santiago.calderongonzalez</t>
  </si>
  <si>
    <t>jessieestefania.martinezsalazar</t>
  </si>
  <si>
    <t>diego.gonzalezsanchez</t>
  </si>
  <si>
    <t>jorgesantana.sanchezramirez</t>
  </si>
  <si>
    <t>nozomi.sakoda</t>
  </si>
  <si>
    <t>brunogael.lopezceballos</t>
  </si>
  <si>
    <t>miguelangel.nuñoarana</t>
  </si>
  <si>
    <t>carolvanessa.camargocarmona</t>
  </si>
  <si>
    <t>javierisaias.avilaplascencia</t>
  </si>
  <si>
    <t>franco.ortizbarragan</t>
  </si>
  <si>
    <t>daniela.ruizlopez</t>
  </si>
  <si>
    <t>juanpablo.gomezgomez</t>
  </si>
  <si>
    <t>cesaralejandro.romeromanzano</t>
  </si>
  <si>
    <t>omar.rioslara</t>
  </si>
  <si>
    <t>danielenrique.villalobosgarcia</t>
  </si>
  <si>
    <t>gustavokalen.juradoperez</t>
  </si>
  <si>
    <t>camilla.zepedajimenez</t>
  </si>
  <si>
    <t>yocelinyazmin.ruizgonzalez</t>
  </si>
  <si>
    <t>miguelangelsnayder.ruizgamarra</t>
  </si>
  <si>
    <t>grahamantonio.muñozherrera</t>
  </si>
  <si>
    <t>jesusemmanuel.cardenasortiz</t>
  </si>
  <si>
    <t>valeria.saldañavargas</t>
  </si>
  <si>
    <t>renata.barbosacuevas</t>
  </si>
  <si>
    <t>robertoemmanuel.zamorasalazar</t>
  </si>
  <si>
    <t>cesarismael.cabreraavila</t>
  </si>
  <si>
    <t>brandocristopher.arellanolopez</t>
  </si>
  <si>
    <t>zarapaulina.carranzalespron</t>
  </si>
  <si>
    <t>oscaruriel.velezreynoso</t>
  </si>
  <si>
    <t>fatimamarisol.revelesgutierrez</t>
  </si>
  <si>
    <t>eliasofia.acevesbarragan</t>
  </si>
  <si>
    <t>jenifervanessa.aguilarruiz</t>
  </si>
  <si>
    <t>luisrodolfo.gutierrezchavez</t>
  </si>
  <si>
    <t>fernando.gutierrezvelasco</t>
  </si>
  <si>
    <t>sofia.barajasramirez</t>
  </si>
  <si>
    <t>julianavalentina.lozanorios</t>
  </si>
  <si>
    <t>rafaelvalentin.lara</t>
  </si>
  <si>
    <t>diegoalberto.alvarezdeltoro</t>
  </si>
  <si>
    <t>andres.antunezbracho</t>
  </si>
  <si>
    <t>diegoalberto.serranovarela</t>
  </si>
  <si>
    <t>kevinmatthew.vazquezecheagaray</t>
  </si>
  <si>
    <t>karenalejandra.gonzalezaguayo</t>
  </si>
  <si>
    <t>oscarhiram.olivarodriguez</t>
  </si>
  <si>
    <t>diego.deandamonzon</t>
  </si>
  <si>
    <t>karolnicolas.mejiagarcia</t>
  </si>
  <si>
    <t>analucia.enriquezperez</t>
  </si>
  <si>
    <t>diego.ruizallar</t>
  </si>
  <si>
    <t>davidricardo.monterojaramillo</t>
  </si>
  <si>
    <t>edwinelias.sanchezgonzalez</t>
  </si>
  <si>
    <t>josemauricio.olivastorres</t>
  </si>
  <si>
    <t>ximenasofia.rodriguezcisneros</t>
  </si>
  <si>
    <t>jaredesau.valladolidgarcia</t>
  </si>
  <si>
    <t>daniel.mosqueirayañez</t>
  </si>
  <si>
    <t>natalia.narvaezlozano</t>
  </si>
  <si>
    <t>valeria.hernandezgomez</t>
  </si>
  <si>
    <t>gael.delgadillobautista</t>
  </si>
  <si>
    <t>oscaralfredo.ramirezramos</t>
  </si>
  <si>
    <t>denzzel.delossantosdominguez</t>
  </si>
  <si>
    <t>carlosernesto.navarrolespron</t>
  </si>
  <si>
    <t>oswaldo.alvarezcruz</t>
  </si>
  <si>
    <t>arturoalejandro.gutierreztorres</t>
  </si>
  <si>
    <t>luisdaniel.garciafernandez</t>
  </si>
  <si>
    <t>cristianyael.oñateramirez</t>
  </si>
  <si>
    <t>efren.noriegaorozco</t>
  </si>
  <si>
    <t>luisangel.martinezflores</t>
  </si>
  <si>
    <t>alfonso.durazoespinoza</t>
  </si>
  <si>
    <t>gabrielandre.molinareyes</t>
  </si>
  <si>
    <t>saul.ramosvazquez</t>
  </si>
  <si>
    <t>victormiguel.lemusvillalvazo</t>
  </si>
  <si>
    <t>diegomoises.dealbazuñiga</t>
  </si>
  <si>
    <t>fernandaaide.lomelialcantara</t>
  </si>
  <si>
    <t>vladimir.romorodriguez</t>
  </si>
  <si>
    <t>luisvirgilio.gomezmadero</t>
  </si>
  <si>
    <t>juanpablo.hernandezrodriguez</t>
  </si>
  <si>
    <t>david.rodrigueztreviño</t>
  </si>
  <si>
    <t>eriksantiago.ramirezortega</t>
  </si>
  <si>
    <t>carlosalberto.martinezcortes</t>
  </si>
  <si>
    <t>danteemiliano.ferragutmiranda</t>
  </si>
  <si>
    <t>rodrigojosue.andradepalacios</t>
  </si>
  <si>
    <t>danielantonio.perezcardoso</t>
  </si>
  <si>
    <t>hectoralejandro.alvarezmata</t>
  </si>
  <si>
    <t>ikermatias.prezasuarez</t>
  </si>
  <si>
    <t>zuamalinali.perezmartinez</t>
  </si>
  <si>
    <t>maraisabella.mendezjauregui</t>
  </si>
  <si>
    <t>hectorociel.garciacastellanos</t>
  </si>
  <si>
    <t>carlosisaias.roblesrivera</t>
  </si>
  <si>
    <t>marisela.pachecosalas</t>
  </si>
  <si>
    <t>andreaanahi.esquivelochoa</t>
  </si>
  <si>
    <t>mariajose.leyvacedillo</t>
  </si>
  <si>
    <t>aisha.delozasanchez</t>
  </si>
  <si>
    <t>andrea.mendozacontreras</t>
  </si>
  <si>
    <t>carlosisaac.perezhermosillo</t>
  </si>
  <si>
    <t>yancarlogiovany.cuevascerero</t>
  </si>
  <si>
    <t>camila.olmedocasillas</t>
  </si>
  <si>
    <t>mariajose.vasquezvillalobos</t>
  </si>
  <si>
    <t>luisgerardo.quirozavila</t>
  </si>
  <si>
    <t>analucia.jimenezayala</t>
  </si>
  <si>
    <t>luzcecilia.villagomez</t>
  </si>
  <si>
    <t>santiago.roblesflores</t>
  </si>
  <si>
    <t>yuritzielizabeth.leongarcia</t>
  </si>
  <si>
    <t>anapaola.hernandezcuadra</t>
  </si>
  <si>
    <t>camila.vallesperez</t>
  </si>
  <si>
    <t>andregael.monterorivas</t>
  </si>
  <si>
    <t>danielsebastian.madrigalvelazquez</t>
  </si>
  <si>
    <t>dafneanely.hernandezvega</t>
  </si>
  <si>
    <t>jorge.pachecosostenes</t>
  </si>
  <si>
    <t>juanpablo.guerrerocruz</t>
  </si>
  <si>
    <t>diegoosmar.barbatorres</t>
  </si>
  <si>
    <t>rafaelalejandro.rodriguezgomez</t>
  </si>
  <si>
    <t>swahilysofia.pulidoonofre</t>
  </si>
  <si>
    <t>ephram.rodriguezesquivias</t>
  </si>
  <si>
    <t>angelisrael.alvaradoalvarado</t>
  </si>
  <si>
    <t>shalimvalentino.ramosmartinez</t>
  </si>
  <si>
    <t>alejandra.hernandezalarcon</t>
  </si>
  <si>
    <t>dominickmarcelo.blancosolorzano</t>
  </si>
  <si>
    <t>santiago.capetilloruiz</t>
  </si>
  <si>
    <t>zurisadai.velazquezjimenez</t>
  </si>
  <si>
    <t>jordan.gaunagalvan</t>
  </si>
  <si>
    <t>mariafernanda.hernandezgarcia</t>
  </si>
  <si>
    <t>brisayaretzi.villarejopalma</t>
  </si>
  <si>
    <t>danielalexander.parraazocar</t>
  </si>
  <si>
    <t>angeldavid.adrianrodriguez</t>
  </si>
  <si>
    <t>carlosdaniel.ruvalcabavillanueva</t>
  </si>
  <si>
    <t>andreajaneth.valdesgonzalez</t>
  </si>
  <si>
    <t>donovanisael.barraganbrambila</t>
  </si>
  <si>
    <t>emiliano.zepedamagallon</t>
  </si>
  <si>
    <t>maximosaul.uribejimenez</t>
  </si>
  <si>
    <t>sebastiandegalileo.monteonarias</t>
  </si>
  <si>
    <t>diegofernando.hernandezjimenez</t>
  </si>
  <si>
    <t>alejandro.infantemares</t>
  </si>
  <si>
    <t>geraldine.diazsantana</t>
  </si>
  <si>
    <t>joseluis.martinezgutierrez</t>
  </si>
  <si>
    <t>kishtianezequiel.chavezcuin</t>
  </si>
  <si>
    <t>angeldejesus.lopezbrito</t>
  </si>
  <si>
    <t>erickjosue.sigaladelarosa</t>
  </si>
  <si>
    <t>albertogabriel.limonesvicente</t>
  </si>
  <si>
    <t>alejandra.najeraestrada</t>
  </si>
  <si>
    <t>alejandro.romeromariscal</t>
  </si>
  <si>
    <t>edgaralejandro.eufraciocasillas</t>
  </si>
  <si>
    <t>nesdalymaurine.mombrunleyva</t>
  </si>
  <si>
    <t>oswaldo.martinezbarragan</t>
  </si>
  <si>
    <t>eduardo.barbozagaribay</t>
  </si>
  <si>
    <t>emmanuel.fierrosdavalos</t>
  </si>
  <si>
    <t>mayaalexandra.marquezdelgadillo</t>
  </si>
  <si>
    <t>santiago.hernandezgonzalez</t>
  </si>
  <si>
    <t>mariafernanda.lopezfonseca</t>
  </si>
  <si>
    <t>aldoenrique.gonzalezvaldez</t>
  </si>
  <si>
    <t>joseangel.solterocruz</t>
  </si>
  <si>
    <t>paul.louisoscar</t>
  </si>
  <si>
    <t>bernarda.bautistamariano</t>
  </si>
  <si>
    <t>MATRICULA</t>
  </si>
  <si>
    <t>006890</t>
  </si>
  <si>
    <t>007079</t>
  </si>
  <si>
    <t>007093</t>
  </si>
  <si>
    <t>007113</t>
  </si>
  <si>
    <t>007290</t>
  </si>
  <si>
    <t>007359</t>
  </si>
  <si>
    <t>007424</t>
  </si>
  <si>
    <t>007486</t>
  </si>
  <si>
    <t>007492</t>
  </si>
  <si>
    <t>007514</t>
  </si>
  <si>
    <t>007521</t>
  </si>
  <si>
    <t>007595</t>
  </si>
  <si>
    <t>007662</t>
  </si>
  <si>
    <t>007663</t>
  </si>
  <si>
    <t>007756</t>
  </si>
  <si>
    <t>007758</t>
  </si>
  <si>
    <t>007760</t>
  </si>
  <si>
    <t>007767</t>
  </si>
  <si>
    <t>007936</t>
  </si>
  <si>
    <t>007948</t>
  </si>
  <si>
    <t>008250</t>
  </si>
  <si>
    <t>008268</t>
  </si>
  <si>
    <t>108218</t>
  </si>
  <si>
    <t>109374</t>
  </si>
  <si>
    <t>109835</t>
  </si>
  <si>
    <t>109978</t>
  </si>
  <si>
    <t>109984</t>
  </si>
  <si>
    <t>110448</t>
  </si>
  <si>
    <t>110449</t>
  </si>
  <si>
    <t>110450</t>
  </si>
  <si>
    <t>110451</t>
  </si>
  <si>
    <t>110452</t>
  </si>
  <si>
    <t>110456</t>
  </si>
  <si>
    <t>110458</t>
  </si>
  <si>
    <t>110459</t>
  </si>
  <si>
    <t>110467</t>
  </si>
  <si>
    <t>110471</t>
  </si>
  <si>
    <t>110472</t>
  </si>
  <si>
    <t>110473</t>
  </si>
  <si>
    <t>110475</t>
  </si>
  <si>
    <t>110477</t>
  </si>
  <si>
    <t>110478</t>
  </si>
  <si>
    <t>110480</t>
  </si>
  <si>
    <t>110481</t>
  </si>
  <si>
    <t>110482</t>
  </si>
  <si>
    <t>110485</t>
  </si>
  <si>
    <t>110492</t>
  </si>
  <si>
    <t>110493</t>
  </si>
  <si>
    <t>110495</t>
  </si>
  <si>
    <t>110496</t>
  </si>
  <si>
    <t>110497</t>
  </si>
  <si>
    <t>110501</t>
  </si>
  <si>
    <t>110504</t>
  </si>
  <si>
    <t>110505</t>
  </si>
  <si>
    <t>110506</t>
  </si>
  <si>
    <t>110508</t>
  </si>
  <si>
    <t>110510</t>
  </si>
  <si>
    <t>110517</t>
  </si>
  <si>
    <t>110518</t>
  </si>
  <si>
    <t>110520</t>
  </si>
  <si>
    <t>110523</t>
  </si>
  <si>
    <t>110524</t>
  </si>
  <si>
    <t>110527</t>
  </si>
  <si>
    <t>110531</t>
  </si>
  <si>
    <t>110550</t>
  </si>
  <si>
    <t>110553</t>
  </si>
  <si>
    <t>110556</t>
  </si>
  <si>
    <t>110557</t>
  </si>
  <si>
    <t>110558</t>
  </si>
  <si>
    <t>110561</t>
  </si>
  <si>
    <t>110570</t>
  </si>
  <si>
    <t>110594</t>
  </si>
  <si>
    <t>110596</t>
  </si>
  <si>
    <t>110604</t>
  </si>
  <si>
    <t>110605</t>
  </si>
  <si>
    <t>110612</t>
  </si>
  <si>
    <t>110616</t>
  </si>
  <si>
    <t>110617</t>
  </si>
  <si>
    <t>110623</t>
  </si>
  <si>
    <t>110628</t>
  </si>
  <si>
    <t>110630</t>
  </si>
  <si>
    <t>110643</t>
  </si>
  <si>
    <t>110664</t>
  </si>
  <si>
    <t>110667</t>
  </si>
  <si>
    <t>110674</t>
  </si>
  <si>
    <t>110714</t>
  </si>
  <si>
    <t>110730</t>
  </si>
  <si>
    <t>110763</t>
  </si>
  <si>
    <t>111028</t>
  </si>
  <si>
    <t>111030</t>
  </si>
  <si>
    <t>111031</t>
  </si>
  <si>
    <t>111032</t>
  </si>
  <si>
    <t>111034</t>
  </si>
  <si>
    <t>111035</t>
  </si>
  <si>
    <t>111036</t>
  </si>
  <si>
    <t>111037</t>
  </si>
  <si>
    <t>111040</t>
  </si>
  <si>
    <t>111042</t>
  </si>
  <si>
    <t>111043</t>
  </si>
  <si>
    <t>111044</t>
  </si>
  <si>
    <t>111049</t>
  </si>
  <si>
    <t>111051</t>
  </si>
  <si>
    <t>111052</t>
  </si>
  <si>
    <t>111053</t>
  </si>
  <si>
    <t>111054</t>
  </si>
  <si>
    <t>111055</t>
  </si>
  <si>
    <t>111063</t>
  </si>
  <si>
    <t>111065</t>
  </si>
  <si>
    <t>111068</t>
  </si>
  <si>
    <t>111069</t>
  </si>
  <si>
    <t>111070</t>
  </si>
  <si>
    <t>111072</t>
  </si>
  <si>
    <t>111074</t>
  </si>
  <si>
    <t>111075</t>
  </si>
  <si>
    <t>111076</t>
  </si>
  <si>
    <t>111077</t>
  </si>
  <si>
    <t>111078</t>
  </si>
  <si>
    <t>111082</t>
  </si>
  <si>
    <t>111083</t>
  </si>
  <si>
    <t>111084</t>
  </si>
  <si>
    <t>111085</t>
  </si>
  <si>
    <t>111086</t>
  </si>
  <si>
    <t>111088</t>
  </si>
  <si>
    <t>111091</t>
  </si>
  <si>
    <t>111092</t>
  </si>
  <si>
    <t>111093</t>
  </si>
  <si>
    <t>111094</t>
  </si>
  <si>
    <t>111095</t>
  </si>
  <si>
    <t>111097</t>
  </si>
  <si>
    <t>111098</t>
  </si>
  <si>
    <t>111100</t>
  </si>
  <si>
    <t>111102</t>
  </si>
  <si>
    <t>111103</t>
  </si>
  <si>
    <t>111105</t>
  </si>
  <si>
    <t>111108</t>
  </si>
  <si>
    <t>111110</t>
  </si>
  <si>
    <t>111111</t>
  </si>
  <si>
    <t>111112</t>
  </si>
  <si>
    <t>111113</t>
  </si>
  <si>
    <t>111114</t>
  </si>
  <si>
    <t>111115</t>
  </si>
  <si>
    <t>111116</t>
  </si>
  <si>
    <t>111117</t>
  </si>
  <si>
    <t>111118</t>
  </si>
  <si>
    <t>111119</t>
  </si>
  <si>
    <t>111120</t>
  </si>
  <si>
    <t>111121</t>
  </si>
  <si>
    <t>111122</t>
  </si>
  <si>
    <t>111123</t>
  </si>
  <si>
    <t>111124</t>
  </si>
  <si>
    <t>111125</t>
  </si>
  <si>
    <t>111126</t>
  </si>
  <si>
    <t>111127</t>
  </si>
  <si>
    <t>111128</t>
  </si>
  <si>
    <t>111129</t>
  </si>
  <si>
    <t>111130</t>
  </si>
  <si>
    <t>111150</t>
  </si>
  <si>
    <t>111152</t>
  </si>
  <si>
    <t>111153</t>
  </si>
  <si>
    <t>111154</t>
  </si>
  <si>
    <t>111155</t>
  </si>
  <si>
    <t>111157</t>
  </si>
  <si>
    <t>111159</t>
  </si>
  <si>
    <t>111162</t>
  </si>
  <si>
    <t>111163</t>
  </si>
  <si>
    <t>111165</t>
  </si>
  <si>
    <t>111166</t>
  </si>
  <si>
    <t>111168</t>
  </si>
  <si>
    <t>111169</t>
  </si>
  <si>
    <t>111170</t>
  </si>
  <si>
    <t>111171</t>
  </si>
  <si>
    <t>111172</t>
  </si>
  <si>
    <t>111174</t>
  </si>
  <si>
    <t>111178</t>
  </si>
  <si>
    <t>111179</t>
  </si>
  <si>
    <t>111181</t>
  </si>
  <si>
    <t>111182</t>
  </si>
  <si>
    <t>111183</t>
  </si>
  <si>
    <t>111186</t>
  </si>
  <si>
    <t>111188</t>
  </si>
  <si>
    <t>111189</t>
  </si>
  <si>
    <t>111190</t>
  </si>
  <si>
    <t>111191</t>
  </si>
  <si>
    <t>111193</t>
  </si>
  <si>
    <t>111197</t>
  </si>
  <si>
    <t>111201</t>
  </si>
  <si>
    <t>111202</t>
  </si>
  <si>
    <t>111203</t>
  </si>
  <si>
    <t>111204</t>
  </si>
  <si>
    <t>111206</t>
  </si>
  <si>
    <t>111208</t>
  </si>
  <si>
    <t>111210</t>
  </si>
  <si>
    <t>111213</t>
  </si>
  <si>
    <t>111214</t>
  </si>
  <si>
    <t>111221</t>
  </si>
  <si>
    <t>111223</t>
  </si>
  <si>
    <t>111225</t>
  </si>
  <si>
    <t>111226</t>
  </si>
  <si>
    <t>111228</t>
  </si>
  <si>
    <t>111236</t>
  </si>
  <si>
    <t>111237</t>
  </si>
  <si>
    <t>111238</t>
  </si>
  <si>
    <t>111250</t>
  </si>
  <si>
    <t>111251</t>
  </si>
  <si>
    <t>111276</t>
  </si>
  <si>
    <t>111311</t>
  </si>
  <si>
    <t>111326</t>
  </si>
  <si>
    <t>111336</t>
  </si>
  <si>
    <t>111366</t>
  </si>
  <si>
    <t>111532</t>
  </si>
  <si>
    <t>111604</t>
  </si>
  <si>
    <t>111605</t>
  </si>
  <si>
    <t>111607</t>
  </si>
  <si>
    <t>111608</t>
  </si>
  <si>
    <t>111610</t>
  </si>
  <si>
    <t>111613</t>
  </si>
  <si>
    <t>111615</t>
  </si>
  <si>
    <t>111616</t>
  </si>
  <si>
    <t>111618</t>
  </si>
  <si>
    <t>111619</t>
  </si>
  <si>
    <t>111622</t>
  </si>
  <si>
    <t>111624</t>
  </si>
  <si>
    <t>111625</t>
  </si>
  <si>
    <t>111626</t>
  </si>
  <si>
    <t>111627</t>
  </si>
  <si>
    <t>111628</t>
  </si>
  <si>
    <t>111632</t>
  </si>
  <si>
    <t>111636</t>
  </si>
  <si>
    <t>111638</t>
  </si>
  <si>
    <t>111642</t>
  </si>
  <si>
    <t>111644</t>
  </si>
  <si>
    <t>111645</t>
  </si>
  <si>
    <t>111646</t>
  </si>
  <si>
    <t>111647</t>
  </si>
  <si>
    <t>111648</t>
  </si>
  <si>
    <t>111650</t>
  </si>
  <si>
    <t>111654</t>
  </si>
  <si>
    <t>111655</t>
  </si>
  <si>
    <t>111656</t>
  </si>
  <si>
    <t>111658</t>
  </si>
  <si>
    <t>111661</t>
  </si>
  <si>
    <t>111663</t>
  </si>
  <si>
    <t>111664</t>
  </si>
  <si>
    <t>111666</t>
  </si>
  <si>
    <t>111667</t>
  </si>
  <si>
    <t>111668</t>
  </si>
  <si>
    <t>111669</t>
  </si>
  <si>
    <t>111670</t>
  </si>
  <si>
    <t>111671</t>
  </si>
  <si>
    <t>111672</t>
  </si>
  <si>
    <t>111673</t>
  </si>
  <si>
    <t>111674</t>
  </si>
  <si>
    <t>111676</t>
  </si>
  <si>
    <t>111677</t>
  </si>
  <si>
    <t>111678</t>
  </si>
  <si>
    <t>111680</t>
  </si>
  <si>
    <t>111682</t>
  </si>
  <si>
    <t>111684</t>
  </si>
  <si>
    <t>111686</t>
  </si>
  <si>
    <t>111687</t>
  </si>
  <si>
    <t>111688</t>
  </si>
  <si>
    <t>111690</t>
  </si>
  <si>
    <t>111699</t>
  </si>
  <si>
    <t>111703</t>
  </si>
  <si>
    <t>111722</t>
  </si>
  <si>
    <t>111723</t>
  </si>
  <si>
    <t>111726</t>
  </si>
  <si>
    <t>111727</t>
  </si>
  <si>
    <t>111728</t>
  </si>
  <si>
    <t>111729</t>
  </si>
  <si>
    <t>111731</t>
  </si>
  <si>
    <t>111733</t>
  </si>
  <si>
    <t>111735</t>
  </si>
  <si>
    <t>111737</t>
  </si>
  <si>
    <t>111739</t>
  </si>
  <si>
    <t>111740</t>
  </si>
  <si>
    <t>111741</t>
  </si>
  <si>
    <t>111742</t>
  </si>
  <si>
    <t>111743</t>
  </si>
  <si>
    <t>111744</t>
  </si>
  <si>
    <t>111745</t>
  </si>
  <si>
    <t>111746</t>
  </si>
  <si>
    <t>111747</t>
  </si>
  <si>
    <t>111748</t>
  </si>
  <si>
    <t>111749</t>
  </si>
  <si>
    <t>111750</t>
  </si>
  <si>
    <t>111751</t>
  </si>
  <si>
    <t>111752</t>
  </si>
  <si>
    <t>111753</t>
  </si>
  <si>
    <t>111755</t>
  </si>
  <si>
    <t>111756</t>
  </si>
  <si>
    <t>111757</t>
  </si>
  <si>
    <t>111759</t>
  </si>
  <si>
    <t>111760</t>
  </si>
  <si>
    <t>111761</t>
  </si>
  <si>
    <t>111762</t>
  </si>
  <si>
    <t>111763</t>
  </si>
  <si>
    <t>111764</t>
  </si>
  <si>
    <t>111765</t>
  </si>
  <si>
    <t>111766</t>
  </si>
  <si>
    <t>111767</t>
  </si>
  <si>
    <t>111768</t>
  </si>
  <si>
    <t>111770</t>
  </si>
  <si>
    <t>111771</t>
  </si>
  <si>
    <t>111772</t>
  </si>
  <si>
    <t>111773</t>
  </si>
  <si>
    <t>111774</t>
  </si>
  <si>
    <t>111775</t>
  </si>
  <si>
    <t>111777</t>
  </si>
  <si>
    <t>111778</t>
  </si>
  <si>
    <t>111779</t>
  </si>
  <si>
    <t>111783</t>
  </si>
  <si>
    <t>111784</t>
  </si>
  <si>
    <t>111785</t>
  </si>
  <si>
    <t>111787</t>
  </si>
  <si>
    <t>111788</t>
  </si>
  <si>
    <t>111791</t>
  </si>
  <si>
    <t>111792</t>
  </si>
  <si>
    <t>111793</t>
  </si>
  <si>
    <t>111794</t>
  </si>
  <si>
    <t>111795</t>
  </si>
  <si>
    <t>111796</t>
  </si>
  <si>
    <t>111797</t>
  </si>
  <si>
    <t>111798</t>
  </si>
  <si>
    <t>111800</t>
  </si>
  <si>
    <t>111802</t>
  </si>
  <si>
    <t>111804</t>
  </si>
  <si>
    <t>111805</t>
  </si>
  <si>
    <t>111806</t>
  </si>
  <si>
    <t>111807</t>
  </si>
  <si>
    <t>111808</t>
  </si>
  <si>
    <t>111809</t>
  </si>
  <si>
    <t>111811</t>
  </si>
  <si>
    <t>111812</t>
  </si>
  <si>
    <t>111815</t>
  </si>
  <si>
    <t>111816</t>
  </si>
  <si>
    <t>111817</t>
  </si>
  <si>
    <t>111819</t>
  </si>
  <si>
    <t>111820</t>
  </si>
  <si>
    <t>111822</t>
  </si>
  <si>
    <t>111824</t>
  </si>
  <si>
    <t>111827</t>
  </si>
  <si>
    <t>111830</t>
  </si>
  <si>
    <t>111838</t>
  </si>
  <si>
    <t>111839</t>
  </si>
  <si>
    <t>111842</t>
  </si>
  <si>
    <t>111845</t>
  </si>
  <si>
    <t>111853</t>
  </si>
  <si>
    <t>111854</t>
  </si>
  <si>
    <t>112141</t>
  </si>
  <si>
    <t>112143</t>
  </si>
  <si>
    <t>112144</t>
  </si>
  <si>
    <t>112145</t>
  </si>
  <si>
    <t>112147</t>
  </si>
  <si>
    <t>112148</t>
  </si>
  <si>
    <t>112149</t>
  </si>
  <si>
    <t>112150</t>
  </si>
  <si>
    <t>112151</t>
  </si>
  <si>
    <t>112152</t>
  </si>
  <si>
    <t>112154</t>
  </si>
  <si>
    <t>112156</t>
  </si>
  <si>
    <t>112157</t>
  </si>
  <si>
    <t>112158</t>
  </si>
  <si>
    <t>112159</t>
  </si>
  <si>
    <t>112160</t>
  </si>
  <si>
    <t>112162</t>
  </si>
  <si>
    <t>112163</t>
  </si>
  <si>
    <t>112164</t>
  </si>
  <si>
    <t>112165</t>
  </si>
  <si>
    <t>112166</t>
  </si>
  <si>
    <t>112167</t>
  </si>
  <si>
    <t>112168</t>
  </si>
  <si>
    <t>112169</t>
  </si>
  <si>
    <t>112170</t>
  </si>
  <si>
    <t>112171</t>
  </si>
  <si>
    <t>112172</t>
  </si>
  <si>
    <t>112173</t>
  </si>
  <si>
    <t>112174</t>
  </si>
  <si>
    <t>112175</t>
  </si>
  <si>
    <t>112176</t>
  </si>
  <si>
    <t>112177</t>
  </si>
  <si>
    <t>112178</t>
  </si>
  <si>
    <t>112179</t>
  </si>
  <si>
    <t>112180</t>
  </si>
  <si>
    <t>112181</t>
  </si>
  <si>
    <t>112182</t>
  </si>
  <si>
    <t>112183</t>
  </si>
  <si>
    <t>112184</t>
  </si>
  <si>
    <t>112185</t>
  </si>
  <si>
    <t>112186</t>
  </si>
  <si>
    <t>112187</t>
  </si>
  <si>
    <t>112188</t>
  </si>
  <si>
    <t>112189</t>
  </si>
  <si>
    <t>112190</t>
  </si>
  <si>
    <t>112191</t>
  </si>
  <si>
    <t>112192</t>
  </si>
  <si>
    <t>112193</t>
  </si>
  <si>
    <t>112194</t>
  </si>
  <si>
    <t>112195</t>
  </si>
  <si>
    <t>112196</t>
  </si>
  <si>
    <t>112197</t>
  </si>
  <si>
    <t>112198</t>
  </si>
  <si>
    <t>112200</t>
  </si>
  <si>
    <t>112201</t>
  </si>
  <si>
    <t>112202</t>
  </si>
  <si>
    <t>112204</t>
  </si>
  <si>
    <t>112206</t>
  </si>
  <si>
    <t>112210</t>
  </si>
  <si>
    <t>112211</t>
  </si>
  <si>
    <t>112213</t>
  </si>
  <si>
    <t>112215</t>
  </si>
  <si>
    <t>112216</t>
  </si>
  <si>
    <t>112217</t>
  </si>
  <si>
    <t>112218</t>
  </si>
  <si>
    <t>112219</t>
  </si>
  <si>
    <t>112221</t>
  </si>
  <si>
    <t>112222</t>
  </si>
  <si>
    <t>112223</t>
  </si>
  <si>
    <t>112224</t>
  </si>
  <si>
    <t>112225</t>
  </si>
  <si>
    <t>112226</t>
  </si>
  <si>
    <t>112227</t>
  </si>
  <si>
    <t>112229</t>
  </si>
  <si>
    <t>112230</t>
  </si>
  <si>
    <t>112232</t>
  </si>
  <si>
    <t>112233</t>
  </si>
  <si>
    <t>112234</t>
  </si>
  <si>
    <t>112235</t>
  </si>
  <si>
    <t>112236</t>
  </si>
  <si>
    <t>112237</t>
  </si>
  <si>
    <t>112238</t>
  </si>
  <si>
    <t>112240</t>
  </si>
  <si>
    <t>112241</t>
  </si>
  <si>
    <t>112242</t>
  </si>
  <si>
    <t>112244</t>
  </si>
  <si>
    <t>112245</t>
  </si>
  <si>
    <t>112246</t>
  </si>
  <si>
    <t>112247</t>
  </si>
  <si>
    <t>112248</t>
  </si>
  <si>
    <t>112249</t>
  </si>
  <si>
    <t>112251</t>
  </si>
  <si>
    <t>112252</t>
  </si>
  <si>
    <t>112253</t>
  </si>
  <si>
    <t>112254</t>
  </si>
  <si>
    <t>112255</t>
  </si>
  <si>
    <t>112256</t>
  </si>
  <si>
    <t>112257</t>
  </si>
  <si>
    <t>112258</t>
  </si>
  <si>
    <t>112259</t>
  </si>
  <si>
    <t>112261</t>
  </si>
  <si>
    <t>112262</t>
  </si>
  <si>
    <t>112264</t>
  </si>
  <si>
    <t>112266</t>
  </si>
  <si>
    <t>112268</t>
  </si>
  <si>
    <t>112269</t>
  </si>
  <si>
    <t>112270</t>
  </si>
  <si>
    <t>112271</t>
  </si>
  <si>
    <t>112272</t>
  </si>
  <si>
    <t>112275</t>
  </si>
  <si>
    <t>112277</t>
  </si>
  <si>
    <t>112278</t>
  </si>
  <si>
    <t>112280</t>
  </si>
  <si>
    <t>112282</t>
  </si>
  <si>
    <t>112283</t>
  </si>
  <si>
    <t>112286</t>
  </si>
  <si>
    <t>112292</t>
  </si>
  <si>
    <t>112293</t>
  </si>
  <si>
    <t>112296</t>
  </si>
  <si>
    <t>112298</t>
  </si>
  <si>
    <t>112299</t>
  </si>
  <si>
    <t>112300</t>
  </si>
  <si>
    <t>112301</t>
  </si>
  <si>
    <t>112302</t>
  </si>
  <si>
    <t>112306</t>
  </si>
  <si>
    <t>112307</t>
  </si>
  <si>
    <t>112308</t>
  </si>
  <si>
    <t>112309</t>
  </si>
  <si>
    <t>112316</t>
  </si>
  <si>
    <t>112318</t>
  </si>
  <si>
    <t>112346</t>
  </si>
  <si>
    <t>112353</t>
  </si>
  <si>
    <t>112358</t>
  </si>
  <si>
    <t>112362</t>
  </si>
  <si>
    <t>112465</t>
  </si>
  <si>
    <t>112466</t>
  </si>
  <si>
    <t>112467</t>
  </si>
  <si>
    <t>112468</t>
  </si>
  <si>
    <t>112469</t>
  </si>
  <si>
    <t>112470</t>
  </si>
  <si>
    <t>112471</t>
  </si>
  <si>
    <t>112472</t>
  </si>
  <si>
    <t>112473</t>
  </si>
  <si>
    <t>112474</t>
  </si>
  <si>
    <t>112475</t>
  </si>
  <si>
    <t>112476</t>
  </si>
  <si>
    <t>112477</t>
  </si>
  <si>
    <t>112478</t>
  </si>
  <si>
    <t>112479</t>
  </si>
  <si>
    <t>112480</t>
  </si>
  <si>
    <t>112481</t>
  </si>
  <si>
    <t>112482</t>
  </si>
  <si>
    <t>112483</t>
  </si>
  <si>
    <t>112484</t>
  </si>
  <si>
    <t>112485</t>
  </si>
  <si>
    <t>112486</t>
  </si>
  <si>
    <t>112488</t>
  </si>
  <si>
    <t>112489</t>
  </si>
  <si>
    <t>112490</t>
  </si>
  <si>
    <t>112491</t>
  </si>
  <si>
    <t>112492</t>
  </si>
  <si>
    <t>112493</t>
  </si>
  <si>
    <t>112494</t>
  </si>
  <si>
    <t>112495</t>
  </si>
  <si>
    <t>112496</t>
  </si>
  <si>
    <t>112497</t>
  </si>
  <si>
    <t>112498</t>
  </si>
  <si>
    <t>112499</t>
  </si>
  <si>
    <t>112500</t>
  </si>
  <si>
    <t>112501</t>
  </si>
  <si>
    <t>112502</t>
  </si>
  <si>
    <t>112503</t>
  </si>
  <si>
    <t>112504</t>
  </si>
  <si>
    <t>112505</t>
  </si>
  <si>
    <t>112506</t>
  </si>
  <si>
    <t>112507</t>
  </si>
  <si>
    <t>112508</t>
  </si>
  <si>
    <t>112509</t>
  </si>
  <si>
    <t>112510</t>
  </si>
  <si>
    <t>112511</t>
  </si>
  <si>
    <t>112512</t>
  </si>
  <si>
    <t>112513</t>
  </si>
  <si>
    <t>112514</t>
  </si>
  <si>
    <t>112515</t>
  </si>
  <si>
    <t>112516</t>
  </si>
  <si>
    <t>112517</t>
  </si>
  <si>
    <t>112518</t>
  </si>
  <si>
    <t>112520</t>
  </si>
  <si>
    <t>112521</t>
  </si>
  <si>
    <t>112522</t>
  </si>
  <si>
    <t>112523</t>
  </si>
  <si>
    <t>112524</t>
  </si>
  <si>
    <t>112525</t>
  </si>
  <si>
    <t>112526</t>
  </si>
  <si>
    <t>112527</t>
  </si>
  <si>
    <t>112528</t>
  </si>
  <si>
    <t>112529</t>
  </si>
  <si>
    <t>112535</t>
  </si>
  <si>
    <t>112536</t>
  </si>
  <si>
    <t>112538</t>
  </si>
  <si>
    <t>112539</t>
  </si>
  <si>
    <t>112544</t>
  </si>
  <si>
    <t>112545</t>
  </si>
  <si>
    <t>112546</t>
  </si>
  <si>
    <t>112548</t>
  </si>
  <si>
    <t>112550</t>
  </si>
  <si>
    <t>112551</t>
  </si>
  <si>
    <t>112552</t>
  </si>
  <si>
    <t>112553</t>
  </si>
  <si>
    <t>112554</t>
  </si>
  <si>
    <t>112555</t>
  </si>
  <si>
    <t>112557</t>
  </si>
  <si>
    <t>112558</t>
  </si>
  <si>
    <t>112564</t>
  </si>
  <si>
    <t>112566</t>
  </si>
  <si>
    <t>112567</t>
  </si>
  <si>
    <t>112568</t>
  </si>
  <si>
    <t>112569</t>
  </si>
  <si>
    <t>112570</t>
  </si>
  <si>
    <t>112577</t>
  </si>
  <si>
    <t>112579</t>
  </si>
  <si>
    <t>TOMAR DEL SND</t>
  </si>
  <si>
    <t>NOMBRE</t>
  </si>
  <si>
    <t>ARECHEDERRA TREJO DAVID</t>
  </si>
  <si>
    <t>BARRIOS SANDOVAL LILLIAN REBECA</t>
  </si>
  <si>
    <t>BAÑUELOS MONTEVERDE VALERIA</t>
  </si>
  <si>
    <t>ESCALONA BUENO ANGEL</t>
  </si>
  <si>
    <t>ALVARADO MORENO ARANZA SINHAI</t>
  </si>
  <si>
    <t>OCHOA FONSECA LUIS FERNANDO</t>
  </si>
  <si>
    <t>LEONARDO RIVERA ELIAS</t>
  </si>
  <si>
    <t>ARAUJO VARGAS GUILLERMO KALEB</t>
  </si>
  <si>
    <t>BALLESTEROS GALVAN OSCAR OSVALDO</t>
  </si>
  <si>
    <t>DOMINGUEZ NIEBLAS MARIA FERNANDA</t>
  </si>
  <si>
    <t>FLORES RAMIREZ MARIANA ITZEL</t>
  </si>
  <si>
    <t>PEREZ TORRES PATRICIA</t>
  </si>
  <si>
    <t>GONZALEZ BLANCO MONICA ALEJANDRA</t>
  </si>
  <si>
    <t>LEONARDO RIVERA DAFNE GALILEA</t>
  </si>
  <si>
    <t>SANDOVAL RODRIGUEZ MARIA FERNANDA</t>
  </si>
  <si>
    <t>SOLAEGUI HERNANDEZ PEDRO IKER</t>
  </si>
  <si>
    <t>TEJEDA DAVALOS JULIETA</t>
  </si>
  <si>
    <t>VILLAVICENCIO OCEGUERA LEONARDO</t>
  </si>
  <si>
    <t>RIVERA BALBUENA KARIME ANAHI</t>
  </si>
  <si>
    <t>BERNAL MONTAÑEZ ASTRID AVRIL</t>
  </si>
  <si>
    <t>ROBLEDO SANCHEZ JORGE ENRIQUE</t>
  </si>
  <si>
    <t>ALVAREZ LOPEZ ALEJANDRO</t>
  </si>
  <si>
    <t>ALVAREZ JIMENEZ DAVID ISRAEL</t>
  </si>
  <si>
    <t>TAPIA CORRIPIO ADRIAN ASSIS</t>
  </si>
  <si>
    <t>CARRILLO MATUS SOFIA</t>
  </si>
  <si>
    <t>CAMACHO GONZALEZ PABLO ANGEL</t>
  </si>
  <si>
    <t>JUAREZ CASTAÑEDA ENRIQUE</t>
  </si>
  <si>
    <t>MEDINA RODRIGUEZ YAEL DE JESUS</t>
  </si>
  <si>
    <t>MONDRAGON HERNANDEZ ANGEL</t>
  </si>
  <si>
    <t>TINOCO AVILA OSCAR DANIEL</t>
  </si>
  <si>
    <t>URSIEL ORTEGA JOSE ALEJANDRO</t>
  </si>
  <si>
    <t>ESTRADA BAUTISTA KEVIN RODRIGO PASCAL</t>
  </si>
  <si>
    <t>COLOME CAMPOS GABRIEL EDUARDO</t>
  </si>
  <si>
    <t>GALVEZ DIAZ VALERIA</t>
  </si>
  <si>
    <t>RAMOS CONTRERAS JESUS EDUARDO</t>
  </si>
  <si>
    <t>MACIAS AYALA BRENDA XIADANI</t>
  </si>
  <si>
    <t>DAVALOS RODRIGUEZ LUIS MANUEL</t>
  </si>
  <si>
    <t>ZAMORA MICHEL FATIMA JULIANA</t>
  </si>
  <si>
    <t>BECCARIS JIMENEZ PABLO MARIA</t>
  </si>
  <si>
    <t>GUERRERO SOLTERO ANA CRISTINA</t>
  </si>
  <si>
    <t>ORTIZ ARIZA DARSHAN GAEL</t>
  </si>
  <si>
    <t>CARPINTERO MERINO CARLA</t>
  </si>
  <si>
    <t>RODRIGUEZ MARTINEZ JOSE DANIEL</t>
  </si>
  <si>
    <t>CARDENAS DE HARO GABRIELA</t>
  </si>
  <si>
    <t>TIBURCIO FABIAN OSCAR DANIEL</t>
  </si>
  <si>
    <t>ALVARADO AÑORVE FLOR MONSERRAT</t>
  </si>
  <si>
    <t>ROSALES HERRERA MAYRA JESUS DE BELEN</t>
  </si>
  <si>
    <t>SILVA TORRES LUIS RONALDO</t>
  </si>
  <si>
    <t>COSIO LOPEZ PALOMA MICHELLE</t>
  </si>
  <si>
    <t>LOPEZ SILVA RICARDO</t>
  </si>
  <si>
    <t>ROBLES LOPEZ JORGE LUIS</t>
  </si>
  <si>
    <t>VAZQUEZ CORTES ANDREA</t>
  </si>
  <si>
    <t>PARTIDA BARBA SOFIA</t>
  </si>
  <si>
    <t>ORTIZ VEGA EDGAR ALEJANDRO</t>
  </si>
  <si>
    <t>TREJO YAÑEZ JUAN PABLO</t>
  </si>
  <si>
    <t>WILSON TORRES DAVID</t>
  </si>
  <si>
    <t>CHAVEZ CONTRERAS DIEGO</t>
  </si>
  <si>
    <t>GONZALEZ TOSCANO ADIB KALEB</t>
  </si>
  <si>
    <t>GONZALEZ TELLES DIEGO</t>
  </si>
  <si>
    <t>IÑIGUEZ PULIDO HECTOR BERNARDO</t>
  </si>
  <si>
    <t>VALLADARES LOPEZ DANTE YAEL</t>
  </si>
  <si>
    <t>VALENCIA BARAJAS LILIAN</t>
  </si>
  <si>
    <t>MEDRANO ORTA RODRIGO</t>
  </si>
  <si>
    <t>GALLEGOS ARCINIEGA BOGAR GERARDO</t>
  </si>
  <si>
    <t>ROJAS RODRIGUEZ ERNESTO</t>
  </si>
  <si>
    <t>GUZMAN VILLASEÑOR EVA REGINA</t>
  </si>
  <si>
    <t>ORTA CRUZ MARCO ARTURO</t>
  </si>
  <si>
    <t>ORTA CRUZ LEONEL MAXIMILIANO</t>
  </si>
  <si>
    <t>BELLO ARIAS MARCELIANO</t>
  </si>
  <si>
    <t>GAYTAN OROZCO MARIO ARTURO</t>
  </si>
  <si>
    <t>MORENO TOSCANO JAAZIEL ALEJANDRO</t>
  </si>
  <si>
    <t>HUITRON SANCHEZ JOSE MAURICIO</t>
  </si>
  <si>
    <t>ROSALES VARGAS ALFONSO</t>
  </si>
  <si>
    <t>RUIZ GARCIA JUAN PABLO</t>
  </si>
  <si>
    <t>SANDOVAL VALENZUELA LISSET</t>
  </si>
  <si>
    <t>ROSAS PEREZ ROSARIO</t>
  </si>
  <si>
    <t>HERNANDEZ HERNANDEZ MARIA ANTONIA</t>
  </si>
  <si>
    <t>HERNANDEZ HERNANDEZ HERMELINDA</t>
  </si>
  <si>
    <t>LOZANO DE LA O LUNA DALAI</t>
  </si>
  <si>
    <t>TORIZ MARTINEZ DIEGO ALFONSO</t>
  </si>
  <si>
    <t>GALLO ACEVES VALERIA</t>
  </si>
  <si>
    <t>PIÑON CARO SALVADOR NICOLAS</t>
  </si>
  <si>
    <t>CORONADO CABRERA JOSE MARIA</t>
  </si>
  <si>
    <t>GONZALEZ LOPEZ ULISES JOSELL</t>
  </si>
  <si>
    <t>MARTINEZ MARTINEZ RODRIGO</t>
  </si>
  <si>
    <t>ALVES CORNEJO ISABELY</t>
  </si>
  <si>
    <t>GONZALEZ PARRA ANGEL</t>
  </si>
  <si>
    <t>OROZCO RIVAS ESTEFANI NICOLE</t>
  </si>
  <si>
    <t>ESQUIVEL ENCARNACION MYRIAM SOFIA</t>
  </si>
  <si>
    <t>FRANCO MENDEZ VICTOR HUGO</t>
  </si>
  <si>
    <t>SANDOVAL CARDENAS ADAN OSWALDO</t>
  </si>
  <si>
    <t>GOMEZ RAMOS MARIO ISAIAS</t>
  </si>
  <si>
    <t>HERNANDEZ VENDRAMINI DANIELA</t>
  </si>
  <si>
    <t>GOMEZ GAONA ESMERALDA GABRIELA</t>
  </si>
  <si>
    <t>SANCHEZ GIL DOMINGUEZ MARISOL</t>
  </si>
  <si>
    <t>MARTINEZ BUENROSTRO MARIANO</t>
  </si>
  <si>
    <t>FLORES MORA PABLO SAMUEL</t>
  </si>
  <si>
    <t>RODRIGUEZ AGUAYO JOSE MANUEL</t>
  </si>
  <si>
    <t>PADILLA SALINAS KITZYA ANGELINA</t>
  </si>
  <si>
    <t>GRACIANO VARGAS EMILIANO</t>
  </si>
  <si>
    <t>CAYO DIAZ OSCAR EMILIO</t>
  </si>
  <si>
    <t>CISNEROS CORTES JOSE ISAAC</t>
  </si>
  <si>
    <t>GARCIA VILLANUEVA MARIANA</t>
  </si>
  <si>
    <t>RAMIREZ TABAREZ DIANA SARAHI</t>
  </si>
  <si>
    <t>OSORNIO CONTRERAS AUREA EMILY</t>
  </si>
  <si>
    <t>ARGANDA RUBIO JESUS BENJAMIN</t>
  </si>
  <si>
    <t>IZQUIERDO MARTINEZ NATALIA</t>
  </si>
  <si>
    <t>FLORES AGUILAR MARIANGEL</t>
  </si>
  <si>
    <t>AMARO BALTIERRA ADRIANA</t>
  </si>
  <si>
    <t>LOPEZ LUVIAN MARCO ANTONIO</t>
  </si>
  <si>
    <t>LOZANO ESPARZA EMMANUEL</t>
  </si>
  <si>
    <t>PEREZ ALVAREZ BRAULIO ISAIAS</t>
  </si>
  <si>
    <t>RAMOS ARIAS ALONDRA MARISOL</t>
  </si>
  <si>
    <t>CONTRERAS SANCHEZ TANIA DE LOS ANGELES</t>
  </si>
  <si>
    <t>SALAZAR TORRES LUIS FERNANDO</t>
  </si>
  <si>
    <t>CABRERA CHAVIRA ANDRES</t>
  </si>
  <si>
    <t>GOMEZ MURGUIA MARIFER</t>
  </si>
  <si>
    <t>MOYA ROBLES ALEXA</t>
  </si>
  <si>
    <t>VAZQUEZ GUERRERO EDUARDO</t>
  </si>
  <si>
    <t>ZEA GOMEZ JOAQUIN</t>
  </si>
  <si>
    <t>GRAJALES MASINI KARLA GUADALUPE</t>
  </si>
  <si>
    <t>ZEPEDA LOPEZ DIEGGO</t>
  </si>
  <si>
    <t>MARMOLEJO RODRIGUEZ SONIA XIMENA</t>
  </si>
  <si>
    <t>RAMOS AVALOS ALONDRA</t>
  </si>
  <si>
    <t>MARTINEZ ORTEGA NEIZER JESUS</t>
  </si>
  <si>
    <t>GARCIA MEJIA SEBASTIAN</t>
  </si>
  <si>
    <t>ALVAREZ ESPINOSA RODRIGO</t>
  </si>
  <si>
    <t>SANTILLAN BARRAGAN GIOVANNA</t>
  </si>
  <si>
    <t>FONG URQUIDY ANA LUCIA</t>
  </si>
  <si>
    <t>TORRES CAMACHO MARIANA</t>
  </si>
  <si>
    <t>DE LA PEÑA PEREZ ALVARO</t>
  </si>
  <si>
    <t>LOPEZ ALFEREZ RODRIGO SAUL</t>
  </si>
  <si>
    <t>GODOY FLORES ABRIL ISABELLA</t>
  </si>
  <si>
    <t>HERNANDEZ VARGAS GLORIA MIRANDA</t>
  </si>
  <si>
    <t>VILLASEÑOR CLAUDIN DIEGO</t>
  </si>
  <si>
    <t>ESPARZA CONTRERAS MARIA SOFIA</t>
  </si>
  <si>
    <t>ALVAREZ LOPEZ MARIA FERNANDA</t>
  </si>
  <si>
    <t>SANTANA AGUILAR LUIS ANTONIO</t>
  </si>
  <si>
    <t>VELAZQUEZ CASTRO ALONDRA JAMILETH</t>
  </si>
  <si>
    <t>HUERTA LOPEZ LYA ABIGAIL</t>
  </si>
  <si>
    <t>TOLEDO SEGOVIA ENRIQUE RENE</t>
  </si>
  <si>
    <t>AVILA ESTRADA MARIANA</t>
  </si>
  <si>
    <t>IÑIGUEZ OSEGUERA LAURA MARIA</t>
  </si>
  <si>
    <t>FRANCO OROZCO EMILIANO</t>
  </si>
  <si>
    <t>PADILLA VIDALES BRENDA SUSANA</t>
  </si>
  <si>
    <t>DIAZ ESPARZA JORGE ARMANDO</t>
  </si>
  <si>
    <t>PELAYO ESPINOSA SANTIAGO</t>
  </si>
  <si>
    <t>ESQUER QUINTANILLA NATALIA</t>
  </si>
  <si>
    <t>MERCADO TORRES DANA JOANELLE</t>
  </si>
  <si>
    <t>GONZALEZ JIMENEZ KAREN JANETTE</t>
  </si>
  <si>
    <t>FIGUEROA RODRIGUEZ JUAN PABLO</t>
  </si>
  <si>
    <t>VEGA PACHECO JOSE RAMON</t>
  </si>
  <si>
    <t>ROCHA LOZANO SEBASTIAN</t>
  </si>
  <si>
    <t>ANAYA RODRIGUEZ EMILIO</t>
  </si>
  <si>
    <t>AGUILAR CALLEJAS KENNIA GUADALUPE</t>
  </si>
  <si>
    <t>GATICA CANO BRAULIO AARON</t>
  </si>
  <si>
    <t>AVILA ESTRADA MELANY DENISSE</t>
  </si>
  <si>
    <t>RUELAS NAVARRO ANA PAULA</t>
  </si>
  <si>
    <t>CEJA PEREZ LAURA SUSANA</t>
  </si>
  <si>
    <t>MARISCAL SANCHEZ HECTOR ENRIQUE</t>
  </si>
  <si>
    <t>SANDOVAL BERUMEN CAROLINA ALEXANDRA</t>
  </si>
  <si>
    <t>LOPEZ OROZCO LUIS FERNANDO</t>
  </si>
  <si>
    <t>LARIOS IÑIGUEZ ALBERTO</t>
  </si>
  <si>
    <t>REYES PALACIOS KARLA ALEXIA</t>
  </si>
  <si>
    <t>ARCE ESPINO FATIMA DENNISE</t>
  </si>
  <si>
    <t>GALLI MARTINEZ TATIANA</t>
  </si>
  <si>
    <t>CERVANTES PANDURO VICTOR MANUEL</t>
  </si>
  <si>
    <t>MUÑOZ RODRIGUEZ ORLANDO BARU</t>
  </si>
  <si>
    <t>ROJAS LOPEZ DANIELA</t>
  </si>
  <si>
    <t>AGUILAR DARIO</t>
  </si>
  <si>
    <t>AYALA ESPARZA JAVIER</t>
  </si>
  <si>
    <t>MATA DE LA MORA JOSUE SEBASTIAN EMILIANO</t>
  </si>
  <si>
    <t>COVARRUBIAS LIMON GABRIELA MONSERRAT</t>
  </si>
  <si>
    <t>COVARRUBIAS LIMON XIMENA</t>
  </si>
  <si>
    <t>RODRIGUEZ MARTINEZ ADRIANA PAOLA</t>
  </si>
  <si>
    <t>CHAVEZ ORTIZ ANAILY GUADALUPE</t>
  </si>
  <si>
    <t>NEGRETE CASTRO AOLANI XAXBE</t>
  </si>
  <si>
    <t>VAZQUEZ RODRIGUEZ SHARON SOFIA</t>
  </si>
  <si>
    <t>JIMENEZ MC LANE NICOLE</t>
  </si>
  <si>
    <t>JUAREZ CASTAÑEDA ANA CECILIA</t>
  </si>
  <si>
    <t>OCHOA GONZALEZ MICHELLE CAROLINA</t>
  </si>
  <si>
    <t>GONZALEZ GUERRA LAYSSA</t>
  </si>
  <si>
    <t>FIGUEROA NUÑO OSMAR ANDREY</t>
  </si>
  <si>
    <t>VAZQUEZ OCHOA ALAN YAEL</t>
  </si>
  <si>
    <t>CASTILLO GONZALEZ MARIA FERNANDA</t>
  </si>
  <si>
    <t>CORONADO TIRADO DIANA PAOLA</t>
  </si>
  <si>
    <t>RODRIGUEZ LAZARO ANDY</t>
  </si>
  <si>
    <t>VALADEZ RIVERA PAULINA NATALY</t>
  </si>
  <si>
    <t>OCEGUEDA GIL ANA BELEN</t>
  </si>
  <si>
    <t>RAMIREZ ARREOLA CLAUDIA FERNANDA</t>
  </si>
  <si>
    <t>SERRANO AMADOR CARLOS FERNANDO</t>
  </si>
  <si>
    <t>ZAMUDIO VAZQUEZ CRISTIAN FABIAN</t>
  </si>
  <si>
    <t>HERNANDEZ JACKELINE</t>
  </si>
  <si>
    <t>CASTILLO GOMEZ DYLAN ADRIAN</t>
  </si>
  <si>
    <t>GUERRERO FLORES VICTORIA</t>
  </si>
  <si>
    <t>ALATORRE GOMEZ MELISSA ITZEL</t>
  </si>
  <si>
    <t>SILVA MARTINEZ MELISSA ITZEL</t>
  </si>
  <si>
    <t>APONTE NAVARRO SEBASTIAN EMILIANO</t>
  </si>
  <si>
    <t>RUIZ VALENZUELA MICHELLE</t>
  </si>
  <si>
    <t>MEJIA DE LA ROSA SANTIAGO RENE</t>
  </si>
  <si>
    <t>VEGA RODRIGUEZ ANGEL GUILLERMO</t>
  </si>
  <si>
    <t>ALEJO GONZALEZ VALERIA</t>
  </si>
  <si>
    <t>BAJO PEREZ SARAHI</t>
  </si>
  <si>
    <t>GUZMAN MORENO MARISOL</t>
  </si>
  <si>
    <t>RODRIGUEZ VEGA ANDREA PAOLA</t>
  </si>
  <si>
    <t>RIVERA RANGEL TANIA FERNANDA</t>
  </si>
  <si>
    <t>VALDIVIA ANGUIANO HECTOR ORLANDO</t>
  </si>
  <si>
    <t>ARELLANO BAÑUELOS REGINA MARGARITA</t>
  </si>
  <si>
    <t>CAJERO EINUNG SARA AGALI</t>
  </si>
  <si>
    <t>VILLALOBOS CARRILLO SAUL DE JESUS</t>
  </si>
  <si>
    <t>GODINEZ SANCHEZ ANA VALERIA</t>
  </si>
  <si>
    <t>COLDIVAR FLORES ESTEPHANY</t>
  </si>
  <si>
    <t>CASTRO GARCIA EMMANUEL SEBASTIAN</t>
  </si>
  <si>
    <t>RENDON DEL RIO DANA ELENA</t>
  </si>
  <si>
    <t>DELGADO MIGUEL</t>
  </si>
  <si>
    <t>MARISCAL REYES JAVIER ANTONIO</t>
  </si>
  <si>
    <t>HERNANDEZ QUEZADA KEVIN EMMANUEL</t>
  </si>
  <si>
    <t>BECERRIL GARCIA JOSE EMMANUEL</t>
  </si>
  <si>
    <t>NERI FLORES ALEJANDRA</t>
  </si>
  <si>
    <t>RUIZ GOMEZ PABLO MANUEL</t>
  </si>
  <si>
    <t>SOLORZANO GARCIA KIARA MAUREEN</t>
  </si>
  <si>
    <t>ISIDORO QUIÑONES ERICK GERMAIN</t>
  </si>
  <si>
    <t>FIERROS LUNA ANA SOFIA</t>
  </si>
  <si>
    <t>AMEZCUA CASTELLANOS FABIAN</t>
  </si>
  <si>
    <t>RIVERA ACOSTA BRAYAN JOSE</t>
  </si>
  <si>
    <t>MONTAÑO AMBROCIO ZARA SOFIA</t>
  </si>
  <si>
    <t>JASSO ESPINOSA MARIANA JOSELYNE</t>
  </si>
  <si>
    <t>IÑIGUEZ OSEGUERA BLANCA LETICIA</t>
  </si>
  <si>
    <t>VALDENEBRO MARTINEZ JOAQUIN ALEJANDRO</t>
  </si>
  <si>
    <t>ESPARZA SANCHEZ LUIS ALEJANDRO</t>
  </si>
  <si>
    <t>BUENO GUTIERREZ MELANI RACHEL</t>
  </si>
  <si>
    <t>CASTRO ANZOATEGUI JUAN CARLOS</t>
  </si>
  <si>
    <t>SANCHEZ VAZQUEZ DIEGO CRISTAN</t>
  </si>
  <si>
    <t>JUAREZ JIMENEZ DAFNE MONTSERRAT</t>
  </si>
  <si>
    <t>CASTRO ANZOATEGUI MARIANA</t>
  </si>
  <si>
    <t>FLORES FLORES JUAN ARMANDO</t>
  </si>
  <si>
    <t>GORIBAR LOZA ISABELLA</t>
  </si>
  <si>
    <t>BARAJAS MICHEL FERNANDA DANAE</t>
  </si>
  <si>
    <t>CASTAÑEDA HERNANDEZ ARTURO EMMANUEL</t>
  </si>
  <si>
    <t>SANCHEZ REYES KEVIN CARLOS</t>
  </si>
  <si>
    <t>TINOCO ARICEAGA ROBERTO</t>
  </si>
  <si>
    <t>PEREZ DIEZ CARLOS SANTIAGO</t>
  </si>
  <si>
    <t>ESCALANTE RAMIREZ VALENTINA</t>
  </si>
  <si>
    <t>RAMIREZ ROBLES KAHLEB ALEJANDRO</t>
  </si>
  <si>
    <t>GUILLEN HERNANDEZ ZAHID LIEVICH</t>
  </si>
  <si>
    <t>CECEÑA PONCE ANGEL MARTIN</t>
  </si>
  <si>
    <t>RUIZ MARTIN MARIAN ISABELLA</t>
  </si>
  <si>
    <t>DAVALOS GARCIA ANGEL AIOROS</t>
  </si>
  <si>
    <t>BARRAGAN LAGOS IAN FERNANDO</t>
  </si>
  <si>
    <t>ORTIZ RODRIGUEZ JORGE JULIAN</t>
  </si>
  <si>
    <t>VAZQUEZ CARDONA ISAAC</t>
  </si>
  <si>
    <t>CISNEROS GARCIA KARIM DANIEL</t>
  </si>
  <si>
    <t>TADEO ALVAREZ EMILIO</t>
  </si>
  <si>
    <t>PALACIOS REYES ALEJANDRO</t>
  </si>
  <si>
    <t>VILLEGAS ANGEL KARINA</t>
  </si>
  <si>
    <t>OCHOA REYES VALERIA SOFIA</t>
  </si>
  <si>
    <t>NAVA VELASCO EMILIANO</t>
  </si>
  <si>
    <t>ROJO GARCIA DANIELA</t>
  </si>
  <si>
    <t>SERRANO GONZALEZ HELI</t>
  </si>
  <si>
    <t>DOMINGUEZ HERVERT ALEJANDRO</t>
  </si>
  <si>
    <t>MARTINEZ NAVARRO SANDRA</t>
  </si>
  <si>
    <t>GUERRERO GRIMALDO SANDRA BEATRIZ</t>
  </si>
  <si>
    <t>PRECIADO LARA DIEGO FRANCISCO</t>
  </si>
  <si>
    <t>LUNA BARRIENTOS EDWIN FERNANDO</t>
  </si>
  <si>
    <t>CASTILLERO SOLANO JUAN CARLOS</t>
  </si>
  <si>
    <t>CUETO RAMOS ANGEL EMANUEL</t>
  </si>
  <si>
    <t>DURAN RUVALCABA JONATHAN OSWALDO</t>
  </si>
  <si>
    <t>ZAVALA CUELLAR DIEGO MARTIN</t>
  </si>
  <si>
    <t>NUÑEZ RAMOS ANDRES EZEQUIEL</t>
  </si>
  <si>
    <t>VERA DE LA ROSA SAMUEL RICARDO</t>
  </si>
  <si>
    <t>QUESNEY CABRERA JANETH</t>
  </si>
  <si>
    <t>GARCIA CAZARES RICARDO ALBERTO</t>
  </si>
  <si>
    <t>DIAZ DE LEON GARCIA JOSE HUMBERTO</t>
  </si>
  <si>
    <t>RODRIGUEZ GUZMAN EMILIANO</t>
  </si>
  <si>
    <t>MARTINEZ RUAN LEONARDO</t>
  </si>
  <si>
    <t>CABRERA LIZARRAGA ENRIQUE JESUS</t>
  </si>
  <si>
    <t>PICENO CASTELLANOS KARINA ITZELL</t>
  </si>
  <si>
    <t>REBOLLAR ARRIERO ANDREA NAOMI</t>
  </si>
  <si>
    <t>RUBIO ORTIZ PEDRO EMILIANO</t>
  </si>
  <si>
    <t>PALMA LOPEZ KATIA</t>
  </si>
  <si>
    <t>MARQUEZ GONZALEZ ANA PAOLA</t>
  </si>
  <si>
    <t>LOPEZ VARGAS MIRANDA CAROLINA</t>
  </si>
  <si>
    <t>GASCA TELLEZ JOSHUA ALEJANDRO</t>
  </si>
  <si>
    <t>FIGUEROA BAÑUELOS JONATHAN ULISES</t>
  </si>
  <si>
    <t>NAVARRETE TERRONES JESUS ABRAHAM</t>
  </si>
  <si>
    <t>GARCIA CHERRINGTON ANGEL ANDRES</t>
  </si>
  <si>
    <t>MUÑOZ SEVILLA JOSE ANTONIO</t>
  </si>
  <si>
    <t>ZACARIAS AGUILAR JUAN JESUS</t>
  </si>
  <si>
    <t>PATIÑO MEJIA DIEGO MISAEL</t>
  </si>
  <si>
    <t>PREZA RUVALCABA MARCO GABRIEL</t>
  </si>
  <si>
    <t>DE JESUS PRADO ILICH LENIN</t>
  </si>
  <si>
    <t>SAUCEDO LUPERCIO CRISTOPHER ADRIAN</t>
  </si>
  <si>
    <t>QUINTERO URZUA MAURICIO JAVIER</t>
  </si>
  <si>
    <t>AVILES BRETADO PERLA BEATRIZ</t>
  </si>
  <si>
    <t>FLORES TAPIA FARAH ISABELLA</t>
  </si>
  <si>
    <t>MUÑOZ SANDOVAL JAIME GABRIEL</t>
  </si>
  <si>
    <t>MIRANDA GUERRA AIRAM VICTORIA</t>
  </si>
  <si>
    <t>ZUÑIGA HERNANDEZ DAYRA MICHELLE</t>
  </si>
  <si>
    <t>JIMENEZ MARTINEZ ANA KAROL</t>
  </si>
  <si>
    <t>INUKAI MORALES ISABEL HIROMI</t>
  </si>
  <si>
    <t>LOPEZ ALVAREZ REGINA</t>
  </si>
  <si>
    <t>ALFARO RUIZ CLAUDIA BERENICE</t>
  </si>
  <si>
    <t>PEREZ LOPEZ JOSUE JAVIER</t>
  </si>
  <si>
    <t>PEREZ CONTRERAS JOSE ANGEL</t>
  </si>
  <si>
    <t>PELAYO DIAZ ABBY DESSIRE</t>
  </si>
  <si>
    <t>VILLARRUEL SANDOVAL CRISTIAN</t>
  </si>
  <si>
    <t>SOSA Y AVILA GONZALEZ GUILLERMO JOSE</t>
  </si>
  <si>
    <t>SALCEDO ROMERO RODRIGO</t>
  </si>
  <si>
    <t>ORTIZ LOPEZ NATALIA</t>
  </si>
  <si>
    <t>ESTRADA GIL VALERIA ALEJANDRA</t>
  </si>
  <si>
    <t>NAVARRO ZAPATA MICHELLE ANAHI</t>
  </si>
  <si>
    <t>HORTA SOLTERO JOSE LUIS</t>
  </si>
  <si>
    <t>JAIME OJEDA ADRIAN</t>
  </si>
  <si>
    <t>TORRES FARIAS VALERIA</t>
  </si>
  <si>
    <t>CAMPOS CARDENAS HECTOR</t>
  </si>
  <si>
    <t>ROCHA GARCIA OLIVER</t>
  </si>
  <si>
    <t>GUZMAN APARICIO BERTHA ERICA</t>
  </si>
  <si>
    <t>VAZQUEZ CASTELLANOS LEONARDO AUGUSTO</t>
  </si>
  <si>
    <t>VEGA CASTAÑEDA ADRIAN BRYANT</t>
  </si>
  <si>
    <t>SANCHEZ URZUA DAHYANA PAULINA</t>
  </si>
  <si>
    <t>GOMEZ OSORIO LUZ ANGELICA NAOMI</t>
  </si>
  <si>
    <t>BAÑUELOS PEREZ JUAN CARLOS</t>
  </si>
  <si>
    <t>VILLALOBOS MENDOZA KEVIN</t>
  </si>
  <si>
    <t>BOJADO DEL REAL BRENDA GUADALUPE</t>
  </si>
  <si>
    <t>CHAVEZ SAAVEDRA ISAAC EMILIANO</t>
  </si>
  <si>
    <t>SANCHEZ LOPEZ ANGEL DAVID</t>
  </si>
  <si>
    <t>CADENA BOBADILLA ESMERALDA</t>
  </si>
  <si>
    <t>MARTINEZ REYNOSO CLAUDIA PATRICIA</t>
  </si>
  <si>
    <t>ROMERO GARCIA FERNANDA ARACELI</t>
  </si>
  <si>
    <t>ROMERO GOMEZ VICTORIA</t>
  </si>
  <si>
    <t>ELIZALDE QUINTERO VALENTINO</t>
  </si>
  <si>
    <t>GONZALEZ DE LOZA HECTOR FABIAN</t>
  </si>
  <si>
    <t>ENRIQUEZ SANCHEZ ZAHIRA PAULETTE</t>
  </si>
  <si>
    <t>DE ALBA TOVAR GIOVANNI</t>
  </si>
  <si>
    <t>SOLIS CERPA BRENDA MELISSA</t>
  </si>
  <si>
    <t>CASTILLO LOPEZ VALERIA</t>
  </si>
  <si>
    <t>GARCIA GARCIA LUIS ALONSO</t>
  </si>
  <si>
    <t>PEREZ LIMON ALEJANDRA</t>
  </si>
  <si>
    <t>MORALES REYES JESUS ANDRES</t>
  </si>
  <si>
    <t>GONZALEZ CAMPOS OSCAR ROBERTO</t>
  </si>
  <si>
    <t>RODRIGUEZ MARTINEZ MIRIAM ALEJANDRA</t>
  </si>
  <si>
    <t>SOLIS ARRIOLA ALEJANDRO</t>
  </si>
  <si>
    <t>PRECIADO VALLE JUAN LUIS</t>
  </si>
  <si>
    <t>PEREZ ENCISO LUIS FERNANDO</t>
  </si>
  <si>
    <t>VIRGEN SERRANO ANGEL ALEXANDER</t>
  </si>
  <si>
    <t>MORA ZEPEDA KEVIN JOSUE</t>
  </si>
  <si>
    <t>ALENCASTRO ROJO FRIDA SOPHIA</t>
  </si>
  <si>
    <t>SALCIDO RAMOS PABLO OSCAR</t>
  </si>
  <si>
    <t>MARTINEZ ALVARADO DAMIAN</t>
  </si>
  <si>
    <t>DE LA MORA SANCHEZ LEONARDO ALEJANDRO</t>
  </si>
  <si>
    <t>MARTINEZ RAMIREZ CHELSEA VIANNEY</t>
  </si>
  <si>
    <t>AGUIRRE RIOS EDUARDO ANTONIO</t>
  </si>
  <si>
    <t>MOLINA ZAMORA OSWALDO JOSAFAT</t>
  </si>
  <si>
    <t>OROZCO VIZCARRA BRENDA XIMENA</t>
  </si>
  <si>
    <t>AVENDAÑO PANI UBALDO</t>
  </si>
  <si>
    <t>RUIZ MARTINEZ KAREN GUADALUPE</t>
  </si>
  <si>
    <t>CAREY RAMIREZ RENATA GABRIELA</t>
  </si>
  <si>
    <t>RESENDIZ PIÑA MAXIMILIANO</t>
  </si>
  <si>
    <t>DESSAVRE GONZALEZ BERNARDO</t>
  </si>
  <si>
    <t>FLORES ZAVALETA PAOLA</t>
  </si>
  <si>
    <t>MENDOZA VILLELA ABIGAIL</t>
  </si>
  <si>
    <t>GARCIA NAVARRO MAURO</t>
  </si>
  <si>
    <t>CARBAJAL VALENCIA HUGO FERNANDO</t>
  </si>
  <si>
    <t>RAYGOZA GOMEZ RICARDO</t>
  </si>
  <si>
    <t>ANGULO JIMENEZ ALAN</t>
  </si>
  <si>
    <t>SANCHEZ RANGEL YESSIKA MICHELL</t>
  </si>
  <si>
    <t>GONZALEZ HERNANDEZ ARMANDO</t>
  </si>
  <si>
    <t>HERNANDEZ GARCIA GABRIEL OMAR</t>
  </si>
  <si>
    <t>CENTENO REA ISRAEL</t>
  </si>
  <si>
    <t>VAZQUEZ GARCIA ALAN ENRIQUE</t>
  </si>
  <si>
    <t>RAMIREZ HIDALGO NAOMI DANAI</t>
  </si>
  <si>
    <t>CARDENAS RUIZ ANGEL YAEL</t>
  </si>
  <si>
    <t>SAAVEDRA RAMIREZ ALVARO DANIEL</t>
  </si>
  <si>
    <t>SILVA SOTELO LUIS ALBERTO</t>
  </si>
  <si>
    <t>MARRON PEREZ REGINA</t>
  </si>
  <si>
    <t>SANDOVAL VEGA KAROL GUADALUPE</t>
  </si>
  <si>
    <t>PEREZ ORTIZ ANDREA</t>
  </si>
  <si>
    <t>MARQUEZ DELGADILLO MARIANO ADONAI</t>
  </si>
  <si>
    <t>GUTIERREZ DE LA CRUZ ANGEL DANIEL</t>
  </si>
  <si>
    <t>ROMO GUADARRAMA RODRIGO</t>
  </si>
  <si>
    <t>SERRANO GUEVARA ARTURO ALEXEI</t>
  </si>
  <si>
    <t>ROJAS SANCHEZ MANUELA MARIA</t>
  </si>
  <si>
    <t>ENTZIN TAPIA EMILIANO SANTIAGO</t>
  </si>
  <si>
    <t>RODRIGUEZ DURAN MARIA FERNANDA</t>
  </si>
  <si>
    <t>GARCIA RODRIGUEZ RICARDO ALEXANDER</t>
  </si>
  <si>
    <t>CEJA CORRALES ALEJANDRO</t>
  </si>
  <si>
    <t>CASTRO SOLIS JORGE EDUARDO</t>
  </si>
  <si>
    <t>GUZMAN VAZQUEZ OSCAR ANDRES</t>
  </si>
  <si>
    <t>MORGAN GALLARDO DUILIO ALFONSO</t>
  </si>
  <si>
    <t>MENDOZA GOMEZ GABRIEL FRANCISCO</t>
  </si>
  <si>
    <t>GARCIA DURAN SALVADOR CEO</t>
  </si>
  <si>
    <t>GONZALEZ MIRANDA ROBERTO ANTONIO</t>
  </si>
  <si>
    <t>CORONA HERNANDEZ JAVIER ALEJANDRO</t>
  </si>
  <si>
    <t>SILVA LUGO NATALIA</t>
  </si>
  <si>
    <t>RIVERA NUÑEZ ANGEL LEONEL</t>
  </si>
  <si>
    <t>PALAFOX FIGUEROA SEBASTIAN ALONSO</t>
  </si>
  <si>
    <t>JASSO VARGAS GUSTAVO EMILIANO</t>
  </si>
  <si>
    <t>VEGA RUELAS ADOLFO ALEXANDER</t>
  </si>
  <si>
    <t>CASTRO MARQUEZ JORGE LUIS</t>
  </si>
  <si>
    <t>MUÑOZ GUTIERREZ BRUNO SANTIAGO</t>
  </si>
  <si>
    <t>ESCOBEDO GARCIA JOSE</t>
  </si>
  <si>
    <t>LOZANO SANCHEZ LUIS RODOLFO</t>
  </si>
  <si>
    <t>DE LA TORRE PEREZ ANDRES</t>
  </si>
  <si>
    <t>MEDINA DIAZ CARLOS OSVALDO</t>
  </si>
  <si>
    <t>ROMERO VALERIO FRANCO EDUARDO</t>
  </si>
  <si>
    <t>PALOMINO RODRIGUEZ VALENTINA</t>
  </si>
  <si>
    <t>PEREZ PEREZ ANDRES ISMAEL</t>
  </si>
  <si>
    <t>VAZQUEZ MUÑOZ OSCAR ISRAEL</t>
  </si>
  <si>
    <t>NUÑEZ VEGA JACOBO</t>
  </si>
  <si>
    <t>VILLA CRUZ MARIANA SUJEY</t>
  </si>
  <si>
    <t>ALCARAZ ARROYO DARIA MADAI</t>
  </si>
  <si>
    <t>FERNLEY SUCCAR NATALIE</t>
  </si>
  <si>
    <t>ESPARZA AMARAL EMILIO</t>
  </si>
  <si>
    <t>MORENO DIAZ CARLOS ALONSO</t>
  </si>
  <si>
    <t>BALCAZAR FERREL JUAN PABLO</t>
  </si>
  <si>
    <t>ZABRANA KÖNIG ARIF BENJAMIN</t>
  </si>
  <si>
    <t>CENDEJAS VIZCARRA FRANCISCO</t>
  </si>
  <si>
    <t>MORALES ORTIZ ADRIAN ENRIQUE</t>
  </si>
  <si>
    <t>TORRES LUA JOSE EDUARDO</t>
  </si>
  <si>
    <t>ZAVALA FLORES ADRIANA</t>
  </si>
  <si>
    <t>CASTAÑEDA ELIZALDE GIOVANNA PAOLA</t>
  </si>
  <si>
    <t>ENCISO GOMEZ ANDRES ENRIQUE</t>
  </si>
  <si>
    <t>CALDERON GONZALEZ SANTIAGO</t>
  </si>
  <si>
    <t>MARTINEZ SALAZAR JESSIE ESTEFANIA</t>
  </si>
  <si>
    <t>GONZALEZ SANCHEZ DIEGO</t>
  </si>
  <si>
    <t>SANCHEZ RAMIREZ JORGE SANTANA</t>
  </si>
  <si>
    <t>SAKODA NOZOMI</t>
  </si>
  <si>
    <t>LOPEZ CEBALLOS BRUNO GAEL</t>
  </si>
  <si>
    <t>NUÑO ARANA MIGUEL ANGEL</t>
  </si>
  <si>
    <t>CAMARGO CARMONA CAROL VANESSA</t>
  </si>
  <si>
    <t>AVILA PLASCENCIA JAVIER ISAIAS</t>
  </si>
  <si>
    <t>ORTIZ BARRAGAN FRANCO</t>
  </si>
  <si>
    <t>RUIZ LOPEZ DANIELA</t>
  </si>
  <si>
    <t>GOMEZ GOMEZ JUAN PABLO</t>
  </si>
  <si>
    <t>ROMERO MANZANO CESAR ALEJANDRO</t>
  </si>
  <si>
    <t>RIOS LARA OMAR</t>
  </si>
  <si>
    <t>VILLALOBOS GARCIA DANIEL ENRIQUE</t>
  </si>
  <si>
    <t>JURADO PEREZ GUSTAVO KALEN</t>
  </si>
  <si>
    <t>ZEPEDA JIMENEZ CAMILLA</t>
  </si>
  <si>
    <t>RUIZ GONZALEZ YOCELIN YAZMIN</t>
  </si>
  <si>
    <t>RUIZ GAMARRA MIGUEL ANGEL SNAYDER</t>
  </si>
  <si>
    <t>MUÑOZ HERRERA GRAHAM ANTONIO</t>
  </si>
  <si>
    <t>CARDENAS ORTIZ JESUS EMMANUEL</t>
  </si>
  <si>
    <t>SALDAÑA VARGAS VALERIA</t>
  </si>
  <si>
    <t>BARBOSA CUEVAS RENATA</t>
  </si>
  <si>
    <t>ZAMORA SALAZAR ROBERTO EMMANUEL</t>
  </si>
  <si>
    <t>CABRERA AVILA CESAR ISMAEL</t>
  </si>
  <si>
    <t>ARELLANO LOPEZ BRANDO CRISTOPHER</t>
  </si>
  <si>
    <t>CARRANZA LESPRON ZARA PAULINA</t>
  </si>
  <si>
    <t>VELEZ REYNOSO OSCAR URIEL</t>
  </si>
  <si>
    <t>REVELES GUTIERREZ FATIMA MARISOL</t>
  </si>
  <si>
    <t>ACEVES BARRAGAN ELIA SOFIA</t>
  </si>
  <si>
    <t>AGUILAR RUIZ JENIFER VANESSA</t>
  </si>
  <si>
    <t>GUTIERREZ CHAVEZ LUIS RODOLFO</t>
  </si>
  <si>
    <t>GUTIERREZ VELASCO FERNANDO</t>
  </si>
  <si>
    <t>BARAJAS RAMIREZ SOFIA</t>
  </si>
  <si>
    <t>LOZANO RIOS JULIANA VALENTINA</t>
  </si>
  <si>
    <t>LARA RAFAEL VALENTIN</t>
  </si>
  <si>
    <t>ALVAREZ DEL TORO DIEGO ALBERTO</t>
  </si>
  <si>
    <t>ANTUNEZ BRACHO ANDRES</t>
  </si>
  <si>
    <t>SERRANO VARELA DIEGO ALBERTO</t>
  </si>
  <si>
    <t>VAZQUEZ ECHEAGARAY KEVIN MATTHEW</t>
  </si>
  <si>
    <t>GONZALEZ AGUAYO KAREN ALEJANDRA</t>
  </si>
  <si>
    <t>OLIVA RODRIGUEZ OSCAR HIRAM</t>
  </si>
  <si>
    <t>DE ANDA MONZON DIEGO</t>
  </si>
  <si>
    <t>MEJIA GARCIA KAROL NICOLAS</t>
  </si>
  <si>
    <t>ENRIQUEZ PEREZ ANA LUCIA</t>
  </si>
  <si>
    <t>RUIZ ALLAR DIEGO</t>
  </si>
  <si>
    <t>MONTERO JARAMILLO DAVID RICARDO</t>
  </si>
  <si>
    <t>SANCHEZ GONZALEZ EDWIN ELIAS</t>
  </si>
  <si>
    <t>OLIVAS TORRES JOSE MAURICIO</t>
  </si>
  <si>
    <t>RODRIGUEZ CISNEROS XIMENA SOFIA</t>
  </si>
  <si>
    <t>VALLADOLID GARCIA JARED ESAU</t>
  </si>
  <si>
    <t>MOSQUEIRA YAÑEZ DANIEL</t>
  </si>
  <si>
    <t>NARVAEZ LOZANO NATALIA</t>
  </si>
  <si>
    <t>HERNANDEZ GOMEZ VALERIA</t>
  </si>
  <si>
    <t>DELGADILLO BAUTISTA GAEL</t>
  </si>
  <si>
    <t>RAMIREZ RAMOS OSCAR ALFREDO</t>
  </si>
  <si>
    <t>DE LOS SANTOS DOMINGUEZ DENZZEL</t>
  </si>
  <si>
    <t>NAVARRO LESPRON CARLOS ERNESTO</t>
  </si>
  <si>
    <t>ALVAREZ CRUZ OSWALDO</t>
  </si>
  <si>
    <t>GUTIERREZ TORRES ARTURO ALEJANDRO</t>
  </si>
  <si>
    <t>GARCIA FERNANDEZ LUIS DANIEL</t>
  </si>
  <si>
    <t>OÑATE RAMIREZ CRISTIAN YAEL</t>
  </si>
  <si>
    <t>NORIEGA OROZCO EFREN</t>
  </si>
  <si>
    <t>MARTINEZ FLORES LUIS ANGEL</t>
  </si>
  <si>
    <t>DURAZO ESPINOZA ALFONSO</t>
  </si>
  <si>
    <t>MOLINA REYES GABRIEL ANDRE</t>
  </si>
  <si>
    <t>RAMOS VAZQUEZ SAUL</t>
  </si>
  <si>
    <t>LEMUS VILLALVAZO VICTOR MIGUEL</t>
  </si>
  <si>
    <t>DE ALBA ZUÑIGA DIEGO MOISES</t>
  </si>
  <si>
    <t>LOMELI ALCANTARA FERNANDA AIDE</t>
  </si>
  <si>
    <t>ROMO RODRIGUEZ VLADIMIR</t>
  </si>
  <si>
    <t>GOMEZ MADERO LUIS VIRGILIO</t>
  </si>
  <si>
    <t>HERNANDEZ RODRIGUEZ JUAN PABLO</t>
  </si>
  <si>
    <t>RODRIGUEZ TREVIÑO DAVID</t>
  </si>
  <si>
    <t>RAMIREZ ORTEGA ERIK SANTIAGO</t>
  </si>
  <si>
    <t>MARTINEZ CORTES CARLOS ALBERTO</t>
  </si>
  <si>
    <t>FERRAGUT MIRANDA DANTE EMILIANO</t>
  </si>
  <si>
    <t>ANDRADE PALACIOS RODRIGO JOSUE</t>
  </si>
  <si>
    <t>PEREZ CARDOSO DANIEL ANTONIO</t>
  </si>
  <si>
    <t>ALVAREZ MATA HECTOR ALEJANDRO</t>
  </si>
  <si>
    <t>PREZA SUAREZ IKER MATIAS</t>
  </si>
  <si>
    <t>PEREZ MARTINEZ ZUA MALINALI</t>
  </si>
  <si>
    <t>MENDEZ JAUREGUI MARA ISABELLA</t>
  </si>
  <si>
    <t>GARCIA CASTELLANOS HECTOR OCIEL</t>
  </si>
  <si>
    <t>ROBLES RIVERA CARLOS ISAIAS</t>
  </si>
  <si>
    <t>PACHECO SALAS MARISELA</t>
  </si>
  <si>
    <t>ESQUIVEL OCHOA ANDREA ANAHI</t>
  </si>
  <si>
    <t>LEYVA CEDILLO MARIA JOSE</t>
  </si>
  <si>
    <t>DE LOZA SANCHEZ AISHA</t>
  </si>
  <si>
    <t>MENDOZA CONTRERAS ANDREA</t>
  </si>
  <si>
    <t>PEREZ HERMOSILLO CARLOS ISAAC</t>
  </si>
  <si>
    <t>CUEVAS CERERO YAN CARLO GIOVANY</t>
  </si>
  <si>
    <t>OLMEDO CASILLAS CAMILA</t>
  </si>
  <si>
    <t>VASQUEZ VILLALOBOS MARIA JOSE</t>
  </si>
  <si>
    <t>QUIROZ AVILA LUIS GERARDO</t>
  </si>
  <si>
    <t>JIMENEZ AYALA ANA LUCIA</t>
  </si>
  <si>
    <t>VILLA GOMEZ LUZ CECILIA</t>
  </si>
  <si>
    <t>ROBLES FLORES SANTIAGO</t>
  </si>
  <si>
    <t>LEON GARCIA YURITZI ELIZABETH</t>
  </si>
  <si>
    <t>HERNANDEZ CUADRA ANA PAOLA</t>
  </si>
  <si>
    <t>VALLES PEREZ CAMILA</t>
  </si>
  <si>
    <t>MONTERO RIVAS ANDRE GAEL</t>
  </si>
  <si>
    <t>MADRIGAL VELAZQUEZ DANIEL SEBASTIAN</t>
  </si>
  <si>
    <t>HERNANDEZ VEGA DAFNE ANELY</t>
  </si>
  <si>
    <t>PACHECO SOSTENES JORGE</t>
  </si>
  <si>
    <t>GUERRERO CRUZ JUAN PABLO</t>
  </si>
  <si>
    <t>BARBA TORRES DIEGO OSMAR</t>
  </si>
  <si>
    <t>RODRIGUEZ GOMEZ RAFAEL ALEJANDRO</t>
  </si>
  <si>
    <t>PULIDO ONOFRE SWAHILY SOFIA</t>
  </si>
  <si>
    <t>RODRIGUEZ ESQUIVIAS EPHRAM</t>
  </si>
  <si>
    <t>ALVARADO ALVARADO ANGEL ISRAEL</t>
  </si>
  <si>
    <t>RAMOS MARTINEZ SHALIM VALENTINO</t>
  </si>
  <si>
    <t>HERNANDEZ ALARCON ALEJANDRA</t>
  </si>
  <si>
    <t>BLANCO SOLORZANO DOMINICK MARCELO</t>
  </si>
  <si>
    <t>CAPETILLO RUIZ SANTIAGO</t>
  </si>
  <si>
    <t>VELAZQUEZ JIMENEZ ZURISADAI</t>
  </si>
  <si>
    <t>GAUNA GALVAN JORDAN</t>
  </si>
  <si>
    <t>HERNANDEZ GARCIA MARIA FERNANDA</t>
  </si>
  <si>
    <t>VILLAREJO PALMA BRISA YARETZI</t>
  </si>
  <si>
    <t>PARRA AZOCAR DANIEL ALEXANDER</t>
  </si>
  <si>
    <t>ADRIAN RODRIGUEZ ANGEL DAVID</t>
  </si>
  <si>
    <t>RUVALCABA VILLANUEVA CARLOS DANIEL</t>
  </si>
  <si>
    <t>VALDES GONZALEZ ANDREA JANETH</t>
  </si>
  <si>
    <t>BARRAGAN BRAMBILA DONOVAN ISAEL</t>
  </si>
  <si>
    <t>ZEPEDA MAGALLON EMILIANO</t>
  </si>
  <si>
    <t>URIBE JIMENEZ MAXIMO SAUL</t>
  </si>
  <si>
    <t>MONTEON ARIAS SEBASTIAN DE GALILEO</t>
  </si>
  <si>
    <t>HERNANDEZ JIMENEZ DIEGO FERNANDO</t>
  </si>
  <si>
    <t>INFANTE MARES ALEJANDRO</t>
  </si>
  <si>
    <t>DIAZ SANTANA GERALDINE</t>
  </si>
  <si>
    <t>MARTINEZ GUTIERREZ JOSE LUIS</t>
  </si>
  <si>
    <t>CHAVEZ CUIN KISHTIAN EZEQUIEL</t>
  </si>
  <si>
    <t>LOPEZ BRITO ANGEL DE JESUS</t>
  </si>
  <si>
    <t>SIGALA DE LA ROSA ERICK JOSUE</t>
  </si>
  <si>
    <t>LIMONES VICENTE ALBERTO GABRIEL</t>
  </si>
  <si>
    <t>NAJERA ESTRADA ALEJANDRA</t>
  </si>
  <si>
    <t>ROMERO MARISCAL ALEJANDRO</t>
  </si>
  <si>
    <t>EUFRACIO CASILLAS EDGAR ALEJANDRO</t>
  </si>
  <si>
    <t>MOMBRUN LEYVA NESDALY MAURINE</t>
  </si>
  <si>
    <t>MARTINEZ BARRAGAN OSWALDO</t>
  </si>
  <si>
    <t>BARBOZA GARIBAY EDUARDO</t>
  </si>
  <si>
    <t>FIERROS DAVALOS EMMANUEL</t>
  </si>
  <si>
    <t>MARQUEZ DELGADILLO MAYA ALEXANDRA</t>
  </si>
  <si>
    <t>HERNANDEZ GONZALEZ SANTIAGO</t>
  </si>
  <si>
    <t>LOPEZ FONSECA MARIA FERNANDA</t>
  </si>
  <si>
    <t>GONZALEZ VALDEZ ALDO ENRIQUE</t>
  </si>
  <si>
    <t>SOLTERO CRUZ JOSE ANGEL</t>
  </si>
  <si>
    <t>PAUL LOUIS OSCAR</t>
  </si>
  <si>
    <t>BAUTISTA MARIANO BERNARDA</t>
  </si>
  <si>
    <t>CARRERA</t>
  </si>
  <si>
    <t>INGENIERIA CIBERNETICA Y EN SISTEMAS COMPUTACIONALES</t>
  </si>
  <si>
    <t>NUTRICION Y GASTRONOMIA</t>
  </si>
  <si>
    <t>INGENIERIA AEROESPACIAL</t>
  </si>
  <si>
    <t>PSICOLOGIA</t>
  </si>
  <si>
    <t>ADMINISTRACION Y DIRECCION DE NEGOCIOS</t>
  </si>
  <si>
    <t>INGENIERIA INDUSTRIAL Y EN SISTEMAS ORGANIZACIONALES</t>
  </si>
  <si>
    <t>ARQUITECTURA</t>
  </si>
  <si>
    <t>ANIMACION DIGITAL Y VIDEOJUEGOS</t>
  </si>
  <si>
    <t>INGENIERÍA AUTOMOTRIZ</t>
  </si>
  <si>
    <t>DERECHO</t>
  </si>
  <si>
    <t>DISEÑO GRAFICO Y DIGITAL</t>
  </si>
  <si>
    <t>INGENIERÍA EN INTELIGENCIA ARTIFICIAL</t>
  </si>
  <si>
    <t>GRADO</t>
  </si>
  <si>
    <t>9no</t>
  </si>
  <si>
    <t>5to</t>
  </si>
  <si>
    <t>7mo</t>
  </si>
  <si>
    <t>3ro</t>
  </si>
  <si>
    <t>1ro</t>
  </si>
  <si>
    <t>8vo</t>
  </si>
  <si>
    <t>SEXO</t>
  </si>
  <si>
    <t>Masculino</t>
  </si>
  <si>
    <t>Femenino</t>
  </si>
  <si>
    <t>GRUPO</t>
  </si>
  <si>
    <t>CIB 9°</t>
  </si>
  <si>
    <t>NUT 9°</t>
  </si>
  <si>
    <t>AERO 9°</t>
  </si>
  <si>
    <t>PSI 5°</t>
  </si>
  <si>
    <t>ADMON 7°</t>
  </si>
  <si>
    <t>IND 7°</t>
  </si>
  <si>
    <t>AERO 7°</t>
  </si>
  <si>
    <t>NUT 7°</t>
  </si>
  <si>
    <t>ARQ 7°</t>
  </si>
  <si>
    <t>ANIM 7°</t>
  </si>
  <si>
    <t>NUT 5°</t>
  </si>
  <si>
    <t>ANIM 5°</t>
  </si>
  <si>
    <t>ARQ 5°</t>
  </si>
  <si>
    <t>ARQ 3°</t>
  </si>
  <si>
    <t>ARQ 1°</t>
  </si>
  <si>
    <t>AUTO 7°</t>
  </si>
  <si>
    <t>DER 9°</t>
  </si>
  <si>
    <t>DGD 7°</t>
  </si>
  <si>
    <t>PSI 7°</t>
  </si>
  <si>
    <t>IA 7°</t>
  </si>
  <si>
    <t>CIB 7°</t>
  </si>
  <si>
    <t>AERO 5°A</t>
  </si>
  <si>
    <t>ADMON 5°</t>
  </si>
  <si>
    <t>AERO 5°B</t>
  </si>
  <si>
    <t>AUTO 5°</t>
  </si>
  <si>
    <t>IA 5°</t>
  </si>
  <si>
    <t>NUT 3°</t>
  </si>
  <si>
    <t>AUTO 1° B</t>
  </si>
  <si>
    <t>AUTO 3° A</t>
  </si>
  <si>
    <t>AERO 3°B</t>
  </si>
  <si>
    <t>AERO 3°A</t>
  </si>
  <si>
    <t>ANIM 3°</t>
  </si>
  <si>
    <t>AUTO 3° B</t>
  </si>
  <si>
    <t>PSI 3°</t>
  </si>
  <si>
    <t>IA 3°</t>
  </si>
  <si>
    <t>ADMON 3°</t>
  </si>
  <si>
    <t>AUTO 1° A</t>
  </si>
  <si>
    <t>AERO 1°A</t>
  </si>
  <si>
    <t>PSI 1°</t>
  </si>
  <si>
    <t>SITUACION</t>
  </si>
  <si>
    <t>Activo</t>
  </si>
  <si>
    <t>Nível</t>
  </si>
  <si>
    <t>Grupo</t>
  </si>
  <si>
    <t>Sello</t>
  </si>
  <si>
    <t>INSERT INTO profesores (id,nivel,carrera,grupo,nombre,materia,sexo,sello) VALUES (</t>
  </si>
  <si>
    <t>IDIOMAS</t>
  </si>
  <si>
    <t>MATERIAS INSTITUCIONALES</t>
  </si>
  <si>
    <t>TIDIOMAS_4</t>
  </si>
  <si>
    <t>TIDIOMAS_5</t>
  </si>
  <si>
    <t>TIDIOMAS_6</t>
  </si>
  <si>
    <t>TIDIOMAS_7</t>
  </si>
  <si>
    <t>TIDIOMAS_1</t>
  </si>
  <si>
    <t>TIDIOMAS_8</t>
  </si>
  <si>
    <t>TIDIOMAS_3</t>
  </si>
  <si>
    <t>TIDIOMAS_2</t>
  </si>
  <si>
    <t>TC0702_1</t>
  </si>
  <si>
    <t>TC0702_2</t>
  </si>
  <si>
    <t>TC0702_3</t>
  </si>
  <si>
    <t>TC0702_4</t>
  </si>
  <si>
    <t>TC0702_5</t>
  </si>
  <si>
    <t>TC0702_6</t>
  </si>
  <si>
    <t>TC0103_1</t>
  </si>
  <si>
    <t>TC0103_2</t>
  </si>
  <si>
    <t>TC0503_1</t>
  </si>
  <si>
    <t>TC0503_2</t>
  </si>
  <si>
    <t>TC0503_3</t>
  </si>
  <si>
    <t>TC0503_4</t>
  </si>
  <si>
    <t>TC0503_5</t>
  </si>
  <si>
    <t>TC0503_6</t>
  </si>
  <si>
    <t>TC0503_7</t>
  </si>
  <si>
    <t>TC0101_1</t>
  </si>
  <si>
    <t>TC0101_2</t>
  </si>
  <si>
    <t>TC0501_1</t>
  </si>
  <si>
    <t>TC0501_2</t>
  </si>
  <si>
    <t>TC0501_3</t>
  </si>
  <si>
    <t>TC0501_4</t>
  </si>
  <si>
    <t>TC0501_5</t>
  </si>
  <si>
    <t>TC0501_6</t>
  </si>
  <si>
    <t>TC0501_7</t>
  </si>
  <si>
    <t>TC0601_1</t>
  </si>
  <si>
    <t>TC0701_1</t>
  </si>
  <si>
    <t>TC0701_2</t>
  </si>
  <si>
    <t>TC0701_3</t>
  </si>
  <si>
    <t>TC0701_4</t>
  </si>
  <si>
    <t>TC0701_5</t>
  </si>
  <si>
    <t>TC0701_10</t>
  </si>
  <si>
    <t>TC0701_6</t>
  </si>
  <si>
    <t>TC0701_7</t>
  </si>
  <si>
    <t>TC0701_8</t>
  </si>
  <si>
    <t>TC0701_9</t>
  </si>
  <si>
    <t>TC0302_1</t>
  </si>
  <si>
    <t>TC0302_2</t>
  </si>
  <si>
    <t>TC0302_3</t>
  </si>
  <si>
    <t>TC0302_4</t>
  </si>
  <si>
    <t>TC0302_5</t>
  </si>
  <si>
    <t>TC0302_6</t>
  </si>
  <si>
    <t>TC0102_1</t>
  </si>
  <si>
    <t>TC0102_2</t>
  </si>
  <si>
    <t>TC0303_1</t>
  </si>
  <si>
    <t>TC0303_2</t>
  </si>
  <si>
    <t>TC0303_3</t>
  </si>
  <si>
    <t>TC0303_4</t>
  </si>
  <si>
    <t>TC0303_5</t>
  </si>
  <si>
    <t>TC0303_6</t>
  </si>
  <si>
    <t>HERNANDEZ SALDIVAR LUIS FERNANDO</t>
  </si>
  <si>
    <t>GOMEZ LEDEZMA JESUS ALEJANDRO</t>
  </si>
  <si>
    <t>RENTERIA JIMENEZ AMANDA JANETTE</t>
  </si>
  <si>
    <t>RODRIGUEZ ROMERO DENIS PAUL</t>
  </si>
  <si>
    <t>TORRES FERNANDEZ CLAUDIA CECILIA</t>
  </si>
  <si>
    <t>CASILLAS CASTILLO CRISTINA DEL SOCORRO</t>
  </si>
  <si>
    <t>ROJAS MALDONADO ADRIAN</t>
  </si>
  <si>
    <t>ACEVES REYNAGA DAVID EDUARDO</t>
  </si>
  <si>
    <t>DE ALBA GONZALEZ JULIETA</t>
  </si>
  <si>
    <t>RAMIREZ GUZMAN MARTIN</t>
  </si>
  <si>
    <t>ESCARCEGA GARCIA DE LEON MIGUEL ANGEL</t>
  </si>
  <si>
    <t>PADILLA MARTINEZ ELSA GEORGINA</t>
  </si>
  <si>
    <t>ZEPEDA REYNOSO JESUS EMMANUEL</t>
  </si>
  <si>
    <t>RIOS NUÑO RAFAEL</t>
  </si>
  <si>
    <t>HOBART GARCIA ELISA</t>
  </si>
  <si>
    <t>MORELOS VELAZQUEZ CARLA DANIELA</t>
  </si>
  <si>
    <t>ACOSTA NUÑEZ JORGE</t>
  </si>
  <si>
    <t>HERNANDEZ GONZALEZ BARCENA NICOLE</t>
  </si>
  <si>
    <t>GOMEZ OROZCO SAMUEL</t>
  </si>
  <si>
    <t>SALCEDO RONDON JAVIER EDUARDO</t>
  </si>
  <si>
    <t>FLORES MONTAÑO SAUL EMMANUEL</t>
  </si>
  <si>
    <t>ABREU TEJEDA RAQUEL ABIGAIL</t>
  </si>
  <si>
    <t>RAMIREZ ORNELAS FRANCISCO JAVIER</t>
  </si>
  <si>
    <t>ZAMBRANO LOPEZ ZAIRA MARLENE</t>
  </si>
  <si>
    <t>GOMEZ CANALES ALAM</t>
  </si>
  <si>
    <t>TORRES ESPINOSA CARLOS ALBERTO</t>
  </si>
  <si>
    <t>LOPEZ VIDAURRI FERNANDO ABIF</t>
  </si>
  <si>
    <t>MICHEL SANDOVAL LAURA LIVIER</t>
  </si>
  <si>
    <t xml:space="preserve">BENITEZ LOZANO GABRIEL </t>
  </si>
  <si>
    <t>PONCE CUEVAS JUAN</t>
  </si>
  <si>
    <t>SEGOVIANO MARTINEZ HUGO MIGUEL</t>
  </si>
  <si>
    <t>SILVA HERRERA RAYMUNDO</t>
  </si>
  <si>
    <t>MONTELONGO AGUAYO DANIEL</t>
  </si>
  <si>
    <t>SANCHEZ ARAIZA GABRIEL</t>
  </si>
  <si>
    <t>CASTELLANOS MEZA IRMA ELIZABETH</t>
  </si>
  <si>
    <t>ESPINO CAMPOS NYDIA</t>
  </si>
  <si>
    <t>GUDIÑO GONZALEZ JESUS ANTONIO</t>
  </si>
  <si>
    <t>SANCHEZ MUÑOZ JOSE JORGE</t>
  </si>
  <si>
    <t>ALVARADO BAEZ DULCE CARMINA</t>
  </si>
  <si>
    <t>PEREZ GUTIERREZ JORGE HUMBERTO</t>
  </si>
  <si>
    <t>CALDERON CHAVARIN NOEMI MONSERRAT</t>
  </si>
  <si>
    <t>RUIZ NAVARRETE DIEGO</t>
  </si>
  <si>
    <t>MARTINEZ GOMEZ LETICIA</t>
  </si>
  <si>
    <t>RUIZ VELASCO RESENDIZ DIEGO RAUL</t>
  </si>
  <si>
    <t>PALOMERA JIMENEZ ALBERTO</t>
  </si>
  <si>
    <t>BAHENA VANEGAS LAURA YANET</t>
  </si>
  <si>
    <t>SALAZAR LOPEZ LUIS GILBERTO</t>
  </si>
  <si>
    <t>CASTILLO NUÑEZ PEDRO ALBERTO</t>
  </si>
  <si>
    <t>PADILLA GALINDO EMMANUEL</t>
  </si>
  <si>
    <t>ANTOLIN LUNA MARIA DE GUADALUPE</t>
  </si>
  <si>
    <t>BAUTISTA PARRA CLAUDIA LUCIA</t>
  </si>
  <si>
    <t>MORENO LLAMAS HECTOR RAUL</t>
  </si>
  <si>
    <t>FLORES GIL ARACELI</t>
  </si>
  <si>
    <t>PEREZ ORTIZ MERCEDES</t>
  </si>
  <si>
    <t>FUENTES TALAVERA JOCELYN MOTSERRAT</t>
  </si>
  <si>
    <t>CORTES VELASCO CLAUDIA PAOLA</t>
  </si>
  <si>
    <t>DE LA ROSA RICARIO MELISSA</t>
  </si>
  <si>
    <t>ESCOBEDO GARCIA CLAUDIA MAYELA</t>
  </si>
  <si>
    <t>ESPEJO REGALADO ERIKA</t>
  </si>
  <si>
    <t>FRIAS REYNAGA MIGUEL ANGEL</t>
  </si>
  <si>
    <t>GARIBAY GARCIA GABRIELA</t>
  </si>
  <si>
    <t>LAGOS LOPEZ ALEJANDRO GABRIEL</t>
  </si>
  <si>
    <t>RAMOS DE LA TORRE ANA LAURA</t>
  </si>
  <si>
    <t>TRUJILLO TORRES RAFAEL</t>
  </si>
  <si>
    <t>ZARATE  TOMAS CIRO</t>
  </si>
  <si>
    <t xml:space="preserve">DE ANDA  DEL MURO  MARTIN EDUARDO </t>
  </si>
  <si>
    <t>RODRIGUEZ MIRANDA JOSE BENJAMIN</t>
  </si>
  <si>
    <t>SALDIVAR OROZCO EMMANUEL</t>
  </si>
  <si>
    <t>MENDEZ JIMENEZ ALBERTO</t>
  </si>
  <si>
    <t>MEDEL JUAREZ VICTOR MANUEL</t>
  </si>
  <si>
    <t>SHINDO  DAISUKE</t>
  </si>
  <si>
    <t>ANDRADE HERNANDEZ GISELLE</t>
  </si>
  <si>
    <t>ALBORES MONTOYA ELIASIN ALEJANDRO</t>
  </si>
  <si>
    <t>RUBIO DELGADO ALFREDO</t>
  </si>
  <si>
    <t>RODRIGUEZ CABRERA JUAN JOSE</t>
  </si>
  <si>
    <t>GARCIA FLORES JOSE LUIS</t>
  </si>
  <si>
    <t>QUEZADA NAVARRO VICTOR MANUEL</t>
  </si>
  <si>
    <t>SANCHEZ LOPEZ FERNANDO</t>
  </si>
  <si>
    <t>JIMENEZ ANDALON ENRIQUE</t>
  </si>
  <si>
    <t>FERRER LOPEZ BERTHA LUCRECIA</t>
  </si>
  <si>
    <t>HERNANDEZ ARRAMBIDE OSWALDO</t>
  </si>
  <si>
    <t>MONTAÑO ALVIZO JUAN CARLOS</t>
  </si>
  <si>
    <t>LARA FAVELA DANIEL</t>
  </si>
  <si>
    <t>ZAPARI ROMERO CESAR FERNANDO</t>
  </si>
  <si>
    <t>VELA TORRES FATIMA ALEJANDRA</t>
  </si>
  <si>
    <t>MARTINEZ  ALVARADO JUAN CARLOS</t>
  </si>
  <si>
    <t xml:space="preserve">NUÑEZ VELAZQUEZ ANA MARIA </t>
  </si>
  <si>
    <t>CORREA BALTAZAR JUAN CARLOS</t>
  </si>
  <si>
    <t>ESQUIVEL LEAL ALEJANDRO GUADALUPE</t>
  </si>
  <si>
    <t>IRETA VELAZQUEZ OSVALDO</t>
  </si>
  <si>
    <t>CARDENAS CASTILLO SANTIAGO</t>
  </si>
  <si>
    <t>MACIAS GARZA JORGE ENRIQUE</t>
  </si>
  <si>
    <t>MADRIGAL RODRIGUEZ GRISELDA</t>
  </si>
  <si>
    <t>PARRA ALDRETE JOSE LUIS</t>
  </si>
  <si>
    <t>PEÑA MARTIN CARLOS AZAEL</t>
  </si>
  <si>
    <t>SALAZAR PEÑA RODOLFO</t>
  </si>
  <si>
    <t>RODRIGUEZ ROBLES MARTIN ONESIMO</t>
  </si>
  <si>
    <t xml:space="preserve">SANTACRUZ MOTTE MARCO ANTONIO </t>
  </si>
  <si>
    <t>GONZALEZ AMADOR ENRIQUE ALEJANDRO</t>
  </si>
  <si>
    <t>BAEZA MONTIEL RICARDO IGNACIO</t>
  </si>
  <si>
    <t>MAGAÑA SANCHEZ SALVADOR</t>
  </si>
  <si>
    <t>OCHOA FLORES CLAUDIA ELIZABETH</t>
  </si>
  <si>
    <t>VELAZQUEZ SANTOS ALFREDO DE JESUS</t>
  </si>
  <si>
    <t>VIÑAS TELLO LUCIANO SI-CHEN</t>
  </si>
  <si>
    <t>MEJIA GONZALEZ LUIS ANDRES</t>
  </si>
  <si>
    <t>ESQUIVEL VARAS JOSE MANUEL</t>
  </si>
  <si>
    <t xml:space="preserve">GARCIA  SANCHEZ  MARIA LUISA </t>
  </si>
  <si>
    <t>AVALOS MEDINA SALVADOR</t>
  </si>
  <si>
    <t>BARUCH MORALES MARTHA IXCHEL</t>
  </si>
  <si>
    <t>MORENO QUEZADA JOSE ALBERTO</t>
  </si>
  <si>
    <t>RODRIGUEZ AVILA HECTOR</t>
  </si>
  <si>
    <t>GONZALEZ PACAS DANIEL</t>
  </si>
  <si>
    <t>GODOY BERRUETA RAUL</t>
  </si>
  <si>
    <t>HERNANDEZ MONTAÑO AIDA CITLALI</t>
  </si>
  <si>
    <t>LUNA HERRERA JOSE CARLOS</t>
  </si>
  <si>
    <t>SALCEDO ROSALES ERIKA IVETTE</t>
  </si>
  <si>
    <t>TAPIA VELAZQUEZ FRANCISCO</t>
  </si>
  <si>
    <t>RESTREPO MUÑOZ DANIEL</t>
  </si>
  <si>
    <t>MORONES MUÑOZ MARIANA ELISA</t>
  </si>
  <si>
    <t>RAMOS RENTERIA MONTSERRAT FABIOLA</t>
  </si>
  <si>
    <t>CORTES SORIANO DHALIA</t>
  </si>
  <si>
    <t>MARTINEZ MEDINA LILIANA</t>
  </si>
  <si>
    <t>FARIAS CASTELLANOS ISIS</t>
  </si>
  <si>
    <t>CHAN  NUÑEZ MARIA ELENA</t>
  </si>
  <si>
    <t>GUDIÑO SEGOVIANO VICTOR MANUEL</t>
  </si>
  <si>
    <t>ANGUIANO SUAREZ DEL REAL ANA LORENA</t>
  </si>
  <si>
    <t>FLORES FERNANDEZ IVAN</t>
  </si>
  <si>
    <t>FLORES MARTIN VICTOR DIEGO</t>
  </si>
  <si>
    <t>DE LEON GUTIERREZ CESAR JAVIER</t>
  </si>
  <si>
    <t>BARTOLO TONIX JOSE DE JESUS</t>
  </si>
  <si>
    <t>MIRANDA MORTERA MARIA DOLORES</t>
  </si>
  <si>
    <t>RIVAS MELANO MARLEN</t>
  </si>
  <si>
    <t>VEGA ROMAN CITLALIN</t>
  </si>
  <si>
    <t>CHILPA ABOYTES ABIGAIL NOHEMI</t>
  </si>
  <si>
    <t>MUÑOZ ALVAREZ ELIAS ISAAC</t>
  </si>
  <si>
    <t>BEGINES CINCO JESUS HIRAM</t>
  </si>
  <si>
    <t>CAVALLO  MAZZITELLI HERNAN ANDRES</t>
  </si>
  <si>
    <t>RIVAS RODRIGUEZ LAURA</t>
  </si>
  <si>
    <t>ARTEAGA CARDONA HORACIO</t>
  </si>
  <si>
    <t>GONZALEZ ALVAREZ MARIA TERESA</t>
  </si>
  <si>
    <t>RODRIGUEZ ALONSO IRVING TRINIDAD</t>
  </si>
  <si>
    <t>GONZALEZ GONZALEZ ENRIQUE</t>
  </si>
  <si>
    <t>MARQUEZ CORONA FRANCISCO ALBERTO</t>
  </si>
  <si>
    <t>DOMINGUEZ LOPEZ MARIA ALEJANDRA</t>
  </si>
  <si>
    <t>PEÑA CAMACHO RODRIGO</t>
  </si>
  <si>
    <t>AGUILAR FLETES LUCILA GORETY</t>
  </si>
  <si>
    <t>BAÑUELOS MAGAÑA JESUS</t>
  </si>
  <si>
    <t>PONCE SAAVEDRA ERIKA ALICIA</t>
  </si>
  <si>
    <t>CAMACHO BUENROSTRO DENNIS</t>
  </si>
  <si>
    <t>ROBLES AVALOS RICARDO</t>
  </si>
  <si>
    <t>URIBE LOPEZ ALEJANDRO</t>
  </si>
  <si>
    <t>FLORES GUZMAN HECTOR ALFONSO</t>
  </si>
  <si>
    <t>RAMIREZ RAMIREZ RICARDO</t>
  </si>
  <si>
    <t>HERRERA ARAGON DAVID</t>
  </si>
  <si>
    <t>GOMEZ PEREZ DAVID UBALDO</t>
  </si>
  <si>
    <t>RIZO AVALOS JOSE DE JESUS</t>
  </si>
  <si>
    <t>BARRERA SANCHEZ IAN ALEJANDRO</t>
  </si>
  <si>
    <t>ZEPEDA  GOMEZ MANUEL GUSTAVO</t>
  </si>
  <si>
    <t>PEREZ CAMACHO MONSERRAT MARLEM</t>
  </si>
  <si>
    <t>VALERIO PRIETO ERIKA</t>
  </si>
  <si>
    <t>GUERRA RIOS BRENDA JEANNETTE</t>
  </si>
  <si>
    <t>MATERIA</t>
  </si>
  <si>
    <t>ADMINISTRACION DE LA CALIDAD I</t>
  </si>
  <si>
    <t>ADMINISTRACION Y DESARROLLO SUSTENTABLE</t>
  </si>
  <si>
    <t>ADQUISICIONES Y ABASTECIMIENTO</t>
  </si>
  <si>
    <t>COMERCIALIZACION</t>
  </si>
  <si>
    <t>COMPORTAMIENTO HUMANO EN LAS ORGANIZACIONES</t>
  </si>
  <si>
    <t>DERECHO CORPORATIVO</t>
  </si>
  <si>
    <t>DERECHO LABORAL</t>
  </si>
  <si>
    <t>DIRECCION DEL CAPITAL HUMANO I</t>
  </si>
  <si>
    <t>EMPRESAS FAMILIARES</t>
  </si>
  <si>
    <t>ESTADISTICA II</t>
  </si>
  <si>
    <t>FUNDAMENTOS DE COSTOS</t>
  </si>
  <si>
    <t>GESTION DE LA PRODUCCION</t>
  </si>
  <si>
    <t>GESTION DE PRESUPUESTOS DE MERCADOTECNIA</t>
  </si>
  <si>
    <t>INTELIGENCIA DE NEGOCIOS</t>
  </si>
  <si>
    <t>MACROECONOMIA</t>
  </si>
  <si>
    <t>MODELOS DE NEGOCIOS</t>
  </si>
  <si>
    <t>NEGOCIACION Y GENERACION DE CONTRATOS</t>
  </si>
  <si>
    <t>ANIMACION 2D II</t>
  </si>
  <si>
    <t>APRECIACION ARTISTICA</t>
  </si>
  <si>
    <t>DISEÑO DE ESCENARIOS</t>
  </si>
  <si>
    <t>DISEÑO DE PERSONAJES I</t>
  </si>
  <si>
    <t>DISEÑO DE SISTEMAS DE JUEGOS</t>
  </si>
  <si>
    <t>DISEÑO DE VIDEOJUEGOS</t>
  </si>
  <si>
    <t>ESQUELETOS I</t>
  </si>
  <si>
    <t>ESQUELETOS II</t>
  </si>
  <si>
    <t>LOGICA Y ALGORITMOS</t>
  </si>
  <si>
    <t>MODELADO 3D INORGANICO</t>
  </si>
  <si>
    <t>MOTORES PARA VIDEOJUEGOS I</t>
  </si>
  <si>
    <t>POSTPRODUCCION Y COMPOSICION I</t>
  </si>
  <si>
    <t>PRODUCCION AUDIOVISUAL</t>
  </si>
  <si>
    <t>PRODUCCION DE ANIMACION 2D</t>
  </si>
  <si>
    <t>PROGRAMACION</t>
  </si>
  <si>
    <t>TALLER DE ANIMACION 3D</t>
  </si>
  <si>
    <t>TALLER DE ESCRITURA</t>
  </si>
  <si>
    <t>TALLER DE STOPMOTION 2</t>
  </si>
  <si>
    <t>VIDEOJUEGOS DE IMPACTO SOCIAL</t>
  </si>
  <si>
    <t>LENGUAJE CINEMATOGRÁFICO</t>
  </si>
  <si>
    <t>ADMINISTRACION DE LA EMPRESA CONSTRUCTORA  Y PROMOCION DEL ARQUITECTO</t>
  </si>
  <si>
    <t>ANALISIS ESTRUCTURAL</t>
  </si>
  <si>
    <t>DIBUJO</t>
  </si>
  <si>
    <t>DISEÑO DE ESTRUCTURA, CONCRETOS, MAMPOSTERIA Y SISMOS</t>
  </si>
  <si>
    <t>DISEÑO DE INSTALACIONES ELECTRICAS Y ESPECIALES</t>
  </si>
  <si>
    <t>DISEÑO DEL ESPACIO HABITACIONAL PLURIFAMILIAR</t>
  </si>
  <si>
    <t>DISEÑO DEL ESPACIO PARA EL COMERCIO Y SERVICIO</t>
  </si>
  <si>
    <t>DISEÑO DEL ESPACIO TURISTICO Y HOTELERO</t>
  </si>
  <si>
    <t>DISEÑO Y CERTIFICACION SUSTENTABLE</t>
  </si>
  <si>
    <t>ELEMENTOS DE LA PLANEACION URBANA</t>
  </si>
  <si>
    <t>FUNDAMENTOS TECNICOS DE LA EDIFICACION</t>
  </si>
  <si>
    <t>FUNDAMENTOS Y PRINCIPIOS DEL DISEÑO ARQUITECTÓNICO</t>
  </si>
  <si>
    <t>GEOMETRÍA DESCRIPTIVA</t>
  </si>
  <si>
    <t>HISTORIA CRITICA DE LA ARQUITECTURA Y URBANISMO INTERMEDIA</t>
  </si>
  <si>
    <t>HISTORIA CRITICA DE LA ARQUITECTURA Y URBANISMO SUPERIOR</t>
  </si>
  <si>
    <t>IDENTIDAD Y PATRIMONIO CULTURAL</t>
  </si>
  <si>
    <t>INVESTIGACION APLICADA</t>
  </si>
  <si>
    <t>MAQUETAS DIGITALES</t>
  </si>
  <si>
    <t>MATEMÁTICAS APLICADAS</t>
  </si>
  <si>
    <t>MODELADO TRIDIMENSIONAL DIGITAL</t>
  </si>
  <si>
    <t>NORMATIVIDAD EN LA ARQUITECTURA</t>
  </si>
  <si>
    <t>REPRESENTACIÓN ARQUITECTÓNICA</t>
  </si>
  <si>
    <t>REPRESENTACION GRAFICA VIRTUAL</t>
  </si>
  <si>
    <t>SEMIÓTICA Y CONCEPTUALIZACIÓN</t>
  </si>
  <si>
    <t>TECNICAS DE EDIFICACION BIOCLIMATICAS</t>
  </si>
  <si>
    <t>TECNICAS DE REPRESENTACION</t>
  </si>
  <si>
    <t>TEORIA DE LA ARQUITECTURA SUSTENTABLE</t>
  </si>
  <si>
    <t>TOPOGRAFÍA Y MECÁNICA DE SUELOS</t>
  </si>
  <si>
    <t>URBANISTICA APLICADA</t>
  </si>
  <si>
    <t>ARBITRAJE INTERNACIONAL</t>
  </si>
  <si>
    <t>DERECHO CONCURSAL</t>
  </si>
  <si>
    <t>DERECHO FIDUCIARIO</t>
  </si>
  <si>
    <t>DERECHO INTERNACIONAL PRIVADO</t>
  </si>
  <si>
    <t>DERECHO PROCESAL MERCANTIL</t>
  </si>
  <si>
    <t>GESTION DE POLITICAS PUBLICAS</t>
  </si>
  <si>
    <t>PRAXIOLOGIA JURIDICA</t>
  </si>
  <si>
    <t>DISEÑO DE CAMPAÑA PUBLICITARIA</t>
  </si>
  <si>
    <t>DISEÑO DE SITIOS DIGITALES</t>
  </si>
  <si>
    <t>DISEÑO EDITORAL AVANZADO</t>
  </si>
  <si>
    <t>MERCADOTECNIA DIGITAL PARA EL DISEÑO</t>
  </si>
  <si>
    <t>TALLER DE ANIMACION</t>
  </si>
  <si>
    <t>TALLER DE IDIOMAS (NB1-GA)</t>
  </si>
  <si>
    <t>TALLER DE IDIOMAS (NB1-GB)</t>
  </si>
  <si>
    <t>TALLER DE IDIOMAS (NB1-GC)</t>
  </si>
  <si>
    <t>TALLER DE IDIOMAS (NB2-GA)</t>
  </si>
  <si>
    <t>TALLER DE IDIOMAS (NA1-GA)</t>
  </si>
  <si>
    <t>TALLER DE IDIOMAS (NB2-GB)</t>
  </si>
  <si>
    <t>TALLER DE IDIOMAS (NA2-GA)</t>
  </si>
  <si>
    <t>TALLER DE IDIOMAS (NA1-GB)</t>
  </si>
  <si>
    <t>AERODINAMICA I</t>
  </si>
  <si>
    <t>AERODINAMICA II</t>
  </si>
  <si>
    <t>ÁLGEBRA LINEAL</t>
  </si>
  <si>
    <t>AVIONICA</t>
  </si>
  <si>
    <t>CÁLCULO DIFERENCIAL</t>
  </si>
  <si>
    <t>CALCULO MULTIVARIABLE</t>
  </si>
  <si>
    <t>CIRCUITOS ELECTRONICOS</t>
  </si>
  <si>
    <t>COMUNICACIÓN ORAL Y ESCRITA</t>
  </si>
  <si>
    <t>CORROSION Y PROTECCION</t>
  </si>
  <si>
    <t>DINAMICA</t>
  </si>
  <si>
    <t>DISEÑO ESTRUCTURAL DE AVIONES</t>
  </si>
  <si>
    <t>ECUACIONES DIFERENCIALES</t>
  </si>
  <si>
    <t>ELASTICIDAD Y RESISTENCIA DE MATERIALES</t>
  </si>
  <si>
    <t>FÍSICA I</t>
  </si>
  <si>
    <t>FUNDAMENTOS DE INGENIERÍA AEROESPACIAL</t>
  </si>
  <si>
    <t>FUNDAMENTOS DE NAVEGACION AEREA</t>
  </si>
  <si>
    <t>FUNDAMENTOS DE PROPULSION</t>
  </si>
  <si>
    <t>METODOS DE ELEMENTO FINITO</t>
  </si>
  <si>
    <t>MOTORES TURBORREACTORES Y SUS SISTEMAS</t>
  </si>
  <si>
    <t>NORMATIVIDAD AERONAUTICA II</t>
  </si>
  <si>
    <t>OPERACION DE VEHICULOS AEREOS NO TRIPULADOS</t>
  </si>
  <si>
    <t>PROBABILIDAD Y ESTADÍSTICA</t>
  </si>
  <si>
    <t>QUÍMICA GENERAL</t>
  </si>
  <si>
    <t>SISTEMAS DE AERONAVES II</t>
  </si>
  <si>
    <t>SISTEMAS DE NAVEGACION</t>
  </si>
  <si>
    <t>SISTEMAS ELECTRONICOS DE COMUNICACIONES</t>
  </si>
  <si>
    <t>SISTEMAS Y MISIONES ESPACIALES</t>
  </si>
  <si>
    <t>VIBRACIONES</t>
  </si>
  <si>
    <t xml:space="preserve">AUTOMOTIVE ANATOMY I </t>
  </si>
  <si>
    <t>AUTOMOTIVE ANATOMY II</t>
  </si>
  <si>
    <t xml:space="preserve">CALCULO DIFERENCIAL E INTEGRAL </t>
  </si>
  <si>
    <t xml:space="preserve">CALCULO VECTORIAL Y VARIABLE COMPLEJA </t>
  </si>
  <si>
    <t>CONTROL ANALOGICO</t>
  </si>
  <si>
    <t>DIBUJO ASISTIDO POR COMPUTADORA II</t>
  </si>
  <si>
    <t xml:space="preserve">DISEÑO DE ELEMENTOS DE MÁQUINA </t>
  </si>
  <si>
    <t xml:space="preserve">DISEÑO DEL AUTOMOVIL </t>
  </si>
  <si>
    <t xml:space="preserve">ELECTRICIDAD Y MAGNETISMO </t>
  </si>
  <si>
    <t>ELECTRONICA APLICADA PARA EL AUTOMOVIL</t>
  </si>
  <si>
    <t xml:space="preserve">ERGONOMIA DEL AUTOMOVIL </t>
  </si>
  <si>
    <t>ESTATICA</t>
  </si>
  <si>
    <t xml:space="preserve">GESTION DE MANTENIMIENTO AUTOMOTRIZ </t>
  </si>
  <si>
    <t xml:space="preserve">INTRODUCCION A LA MECANICA AUTOMOTRIZ </t>
  </si>
  <si>
    <t>INTRODUCCION A LA PROGRAMACION</t>
  </si>
  <si>
    <t>MECANICA DE FLUIDOS</t>
  </si>
  <si>
    <t xml:space="preserve">MOTORES DE COMBUSTIÓN INTERNA </t>
  </si>
  <si>
    <t>NORMATIVIDAD AUTOMOTRIZ</t>
  </si>
  <si>
    <t xml:space="preserve">PROBABILIDAD Y ESTADISTICA </t>
  </si>
  <si>
    <t xml:space="preserve">PROGRAMACION DE SOFTWARE AUTOMOTRIZ </t>
  </si>
  <si>
    <t>SISTEMAS DE TRANSMISIÓN DE POTENCIA</t>
  </si>
  <si>
    <t xml:space="preserve">SISTEMAS ELÉCTRICOS AUTOMOTRICES </t>
  </si>
  <si>
    <t>SISTEMAS HIDRAULICOS Y NEUMATICOS</t>
  </si>
  <si>
    <t>APRENDIZAJE AUTOMATICO</t>
  </si>
  <si>
    <t>ESTANDARES DE TECNOLOGIAS DE INFORMACION</t>
  </si>
  <si>
    <t>INFORMATICA FORENSE</t>
  </si>
  <si>
    <t>LENGUAJE ENSAMBLADOR</t>
  </si>
  <si>
    <t>MEGADATOS</t>
  </si>
  <si>
    <t>NUBE</t>
  </si>
  <si>
    <t>PROCESAMIENTO DIGITAL DE IMAGENES</t>
  </si>
  <si>
    <t>PROTOCOLOS DE COMUNICACION</t>
  </si>
  <si>
    <t>REDES DE COMPUTADORAS</t>
  </si>
  <si>
    <t>TOPICOS DE INTELIGENCIA ARTIFICIAL</t>
  </si>
  <si>
    <t>ALGEBRA LINEAL</t>
  </si>
  <si>
    <t xml:space="preserve">APLICACIONES CON REALIDAD AUMENTADA </t>
  </si>
  <si>
    <t>APRENDIZAJE MÁQUINA</t>
  </si>
  <si>
    <t>BASES DE DATOS</t>
  </si>
  <si>
    <t>BIÓNICA</t>
  </si>
  <si>
    <t>CIENCIA DE DATOS II</t>
  </si>
  <si>
    <t xml:space="preserve">CONTROL DIGITAL </t>
  </si>
  <si>
    <t>PROCESAMIENTO DIGITAL DE IMÁGENES</t>
  </si>
  <si>
    <t xml:space="preserve">PROGRAMACIÓN MULTIPARADIGMA </t>
  </si>
  <si>
    <t>PROYECTO TERMINAL I</t>
  </si>
  <si>
    <t xml:space="preserve">RESOLUCIÓN DE PROBLEMAS </t>
  </si>
  <si>
    <t>ROBÓTICA</t>
  </si>
  <si>
    <t xml:space="preserve">SISTEMAS EXPERTOS </t>
  </si>
  <si>
    <t>SISTEMAS OPERATIVOS APLICADOS</t>
  </si>
  <si>
    <t xml:space="preserve">TEORIA COMPUTACIONAL </t>
  </si>
  <si>
    <t xml:space="preserve">VISIÓN ARTIFICIAL </t>
  </si>
  <si>
    <t xml:space="preserve">WEB SEMÁNTICA </t>
  </si>
  <si>
    <t>ADMINISTRACION DE PRODUCCION II</t>
  </si>
  <si>
    <t>ASEGURAMIENTO Y AUDITORIA DE LA CALIDAD</t>
  </si>
  <si>
    <t>DISTRIBUCION Y LOGISTICA</t>
  </si>
  <si>
    <t>HIGIENE Y SEGURIDAD INDUSTRIAL</t>
  </si>
  <si>
    <t>MANUFACTURA INTEGRADA POR COMPUTADORA</t>
  </si>
  <si>
    <t>MODELOS DE SIMULACION</t>
  </si>
  <si>
    <t>ASPECTOS LEGALES DE PROYECTOS DE NEGOCIOS</t>
  </si>
  <si>
    <t>BASES PARA EL DESARROLLO PERSONAL</t>
  </si>
  <si>
    <t>CIUDADANIA Y DESARROLLO PROFESIONAL</t>
  </si>
  <si>
    <t>CULTURA DIGITAL</t>
  </si>
  <si>
    <t>DISEÑO DE PROYECTO DE NEGOCIOS</t>
  </si>
  <si>
    <t>ESCENARIOS DE INTERVENCION SOCIAL I</t>
  </si>
  <si>
    <t>ESCENARIOS DE INTERVENCION SOCIAL II</t>
  </si>
  <si>
    <t>FUNDAMENTOS DE LA GESTION DE CONOCIMIENTO CIENTIFICO</t>
  </si>
  <si>
    <t>HERRAMIENTAS TECNOLOGICAS Y SU USO COTIDIANO</t>
  </si>
  <si>
    <t>IDENTIDAD MARISTA Y PROYECTO DE VIDA</t>
  </si>
  <si>
    <t>LA DIVERSIDAD ESPIRITUAL</t>
  </si>
  <si>
    <t>ADMINISTRACION EN LA ALIMENTACION INSTITUCIONAL</t>
  </si>
  <si>
    <t>BEBIDAS BASICAS</t>
  </si>
  <si>
    <t>BIOLOGIA CELULAR Y BIOQUIMICA</t>
  </si>
  <si>
    <t>BIOLOGIA MOLECULAR Y NUTRIGENETICA</t>
  </si>
  <si>
    <t>BIOTECNOLOGIA</t>
  </si>
  <si>
    <t>BROMATOLOGIA</t>
  </si>
  <si>
    <t>COCINA ASIATICA</t>
  </si>
  <si>
    <t>COCINA DE AMERICA</t>
  </si>
  <si>
    <t>COCINA FRANCESA</t>
  </si>
  <si>
    <t>COCINA FUSION</t>
  </si>
  <si>
    <t>COCINA MEDITERRANEA II</t>
  </si>
  <si>
    <t>COCINA MEXICANA</t>
  </si>
  <si>
    <t>DESARROLLO Y CONSERVACION DE NUEVOS PRODUCTOS</t>
  </si>
  <si>
    <t>DIETETICA</t>
  </si>
  <si>
    <t>FISIOLOGIA DEL EJERCICIO</t>
  </si>
  <si>
    <t>FISIOPATOLOGIA</t>
  </si>
  <si>
    <t>INMUNONUTRICION</t>
  </si>
  <si>
    <t>MICROBIOLOGIA Y TOXICOLOGIA DE ALIMENTOS</t>
  </si>
  <si>
    <t>NUTRICION CLINICA II</t>
  </si>
  <si>
    <t>NUTRICION COMUNITARIA</t>
  </si>
  <si>
    <t>NUTRICION ENTERAL Y PARENTERAL</t>
  </si>
  <si>
    <t>NUTRICION Y CICLO DE VIDA</t>
  </si>
  <si>
    <t>PANADERIA AVANZADA</t>
  </si>
  <si>
    <t>REPOSTERIA AVANZADA</t>
  </si>
  <si>
    <t>SERVICIOS DE ALIMENTOS</t>
  </si>
  <si>
    <t>TRATAMIENTOS ALTERNATIVOS Y NUTRICION</t>
  </si>
  <si>
    <t>ANTROPOLOGIA</t>
  </si>
  <si>
    <t>BASES BIOLOGICAS</t>
  </si>
  <si>
    <t>COACHING Y PSICOLOGIA</t>
  </si>
  <si>
    <t>COMUNICACION Y MERCADOTECNIA</t>
  </si>
  <si>
    <t>ESTADISTICAS</t>
  </si>
  <si>
    <t>ETICA DEL PSICOLOGO</t>
  </si>
  <si>
    <t>FUNDAMENTOS FILOSOFICOS</t>
  </si>
  <si>
    <t>INTERVENCION EN CRISIS</t>
  </si>
  <si>
    <t>INTERVENCION PSICOLOGICA DESDE EL COGNITIVO-CONDUCTUAL</t>
  </si>
  <si>
    <t>INTERVENCION PSICOLOGICA DESDE EL PSICOANALISIS</t>
  </si>
  <si>
    <t>MODELOS PSICOLOGICOS DE INTERVENCION I</t>
  </si>
  <si>
    <t>MODELOS PSICOLOGICOS DE INTERVENCION III</t>
  </si>
  <si>
    <t>NEUROPSICOLOGIA</t>
  </si>
  <si>
    <t>PROBLEMAS DE APRENDIZAJE</t>
  </si>
  <si>
    <t>PRUEBAS PSICOMETRICAS</t>
  </si>
  <si>
    <t>PSICOLOGIA DEL ADULTO</t>
  </si>
  <si>
    <t>PSICOLOGIA DEL DEPORTE</t>
  </si>
  <si>
    <t>PSICOLOGIA GENERAL</t>
  </si>
  <si>
    <t>PSICOLOGIA NEONATAL</t>
  </si>
  <si>
    <t>PSICOLOGIA ORGANIZACIONAL</t>
  </si>
  <si>
    <t>TALLER DE ENTREVISTAS PSICOLOGICAS</t>
  </si>
  <si>
    <t>TEORIAS DE LA PERSONALIDAD II</t>
  </si>
  <si>
    <t>TEORIAS Y ENFOQUES PSICOLOGICOS</t>
  </si>
  <si>
    <t>MASCULINO</t>
  </si>
  <si>
    <t>FEMENINO</t>
  </si>
  <si>
    <t>INSERT INTO grupos (id,matricula,grupo) values (</t>
  </si>
  <si>
    <t xml:space="preserve">006890    </t>
  </si>
  <si>
    <t xml:space="preserve">007079    </t>
  </si>
  <si>
    <t xml:space="preserve">007093    </t>
  </si>
  <si>
    <t xml:space="preserve">007290    </t>
  </si>
  <si>
    <t xml:space="preserve">007359    </t>
  </si>
  <si>
    <t>TC0703_3</t>
  </si>
  <si>
    <t xml:space="preserve">007424    </t>
  </si>
  <si>
    <t xml:space="preserve">007486    </t>
  </si>
  <si>
    <t xml:space="preserve">007492    </t>
  </si>
  <si>
    <t xml:space="preserve">007514    </t>
  </si>
  <si>
    <t xml:space="preserve">007521    </t>
  </si>
  <si>
    <t xml:space="preserve">007595    </t>
  </si>
  <si>
    <t xml:space="preserve">007662    </t>
  </si>
  <si>
    <t xml:space="preserve">007663    </t>
  </si>
  <si>
    <t xml:space="preserve">007756    </t>
  </si>
  <si>
    <t xml:space="preserve">007758    </t>
  </si>
  <si>
    <t xml:space="preserve">007760    </t>
  </si>
  <si>
    <t xml:space="preserve">007767    </t>
  </si>
  <si>
    <t xml:space="preserve">007936    </t>
  </si>
  <si>
    <t xml:space="preserve">007948    </t>
  </si>
  <si>
    <t xml:space="preserve">008250    </t>
  </si>
  <si>
    <t xml:space="preserve">008268    </t>
  </si>
  <si>
    <t xml:space="preserve">109374    </t>
  </si>
  <si>
    <t xml:space="preserve">109978    </t>
  </si>
  <si>
    <t>TC0703_8</t>
  </si>
  <si>
    <t xml:space="preserve">109984    </t>
  </si>
  <si>
    <t xml:space="preserve">110472    </t>
  </si>
  <si>
    <t xml:space="preserve">110475    </t>
  </si>
  <si>
    <t xml:space="preserve">110477    </t>
  </si>
  <si>
    <t xml:space="preserve">110478    </t>
  </si>
  <si>
    <t xml:space="preserve">110481    </t>
  </si>
  <si>
    <t xml:space="preserve">110492    </t>
  </si>
  <si>
    <t xml:space="preserve">110493    </t>
  </si>
  <si>
    <t xml:space="preserve">110495    </t>
  </si>
  <si>
    <t xml:space="preserve">110497    </t>
  </si>
  <si>
    <t xml:space="preserve">110501    </t>
  </si>
  <si>
    <t xml:space="preserve">110504    </t>
  </si>
  <si>
    <t xml:space="preserve">110518    </t>
  </si>
  <si>
    <t xml:space="preserve">110523    </t>
  </si>
  <si>
    <t xml:space="preserve">110527    </t>
  </si>
  <si>
    <t xml:space="preserve">110553    </t>
  </si>
  <si>
    <t xml:space="preserve">110556    </t>
  </si>
  <si>
    <t xml:space="preserve">110561    </t>
  </si>
  <si>
    <t xml:space="preserve">110596    </t>
  </si>
  <si>
    <t xml:space="preserve">110604    </t>
  </si>
  <si>
    <t xml:space="preserve">110612    </t>
  </si>
  <si>
    <t xml:space="preserve">110616    </t>
  </si>
  <si>
    <t xml:space="preserve">110617    </t>
  </si>
  <si>
    <t xml:space="preserve">110623    </t>
  </si>
  <si>
    <t xml:space="preserve">110628    </t>
  </si>
  <si>
    <t xml:space="preserve">110630    </t>
  </si>
  <si>
    <t xml:space="preserve">110643    </t>
  </si>
  <si>
    <t xml:space="preserve">110664    </t>
  </si>
  <si>
    <t xml:space="preserve">110667    </t>
  </si>
  <si>
    <t xml:space="preserve">110674    </t>
  </si>
  <si>
    <t xml:space="preserve">110714    </t>
  </si>
  <si>
    <t xml:space="preserve">110730    </t>
  </si>
  <si>
    <t xml:space="preserve">110763    </t>
  </si>
  <si>
    <t xml:space="preserve">111028    </t>
  </si>
  <si>
    <t xml:space="preserve">111030    </t>
  </si>
  <si>
    <t xml:space="preserve">111031    </t>
  </si>
  <si>
    <t xml:space="preserve">111032    </t>
  </si>
  <si>
    <t xml:space="preserve">111034    </t>
  </si>
  <si>
    <t xml:space="preserve">111035    </t>
  </si>
  <si>
    <t xml:space="preserve">111036    </t>
  </si>
  <si>
    <t xml:space="preserve">111037    </t>
  </si>
  <si>
    <t xml:space="preserve">111040    </t>
  </si>
  <si>
    <t xml:space="preserve">111042    </t>
  </si>
  <si>
    <t xml:space="preserve">111043    </t>
  </si>
  <si>
    <t xml:space="preserve">111044    </t>
  </si>
  <si>
    <t xml:space="preserve">111049    </t>
  </si>
  <si>
    <t xml:space="preserve">111050    </t>
  </si>
  <si>
    <t xml:space="preserve">111051    </t>
  </si>
  <si>
    <t xml:space="preserve">111052    </t>
  </si>
  <si>
    <t xml:space="preserve">111053    </t>
  </si>
  <si>
    <t xml:space="preserve">111054    </t>
  </si>
  <si>
    <t xml:space="preserve">111055    </t>
  </si>
  <si>
    <t xml:space="preserve">111063    </t>
  </si>
  <si>
    <t xml:space="preserve">111065    </t>
  </si>
  <si>
    <t xml:space="preserve">111068    </t>
  </si>
  <si>
    <t xml:space="preserve">111069    </t>
  </si>
  <si>
    <t xml:space="preserve">111070    </t>
  </si>
  <si>
    <t xml:space="preserve">111072    </t>
  </si>
  <si>
    <t xml:space="preserve">111074    </t>
  </si>
  <si>
    <t xml:space="preserve">111075    </t>
  </si>
  <si>
    <t xml:space="preserve">111076    </t>
  </si>
  <si>
    <t xml:space="preserve">111077    </t>
  </si>
  <si>
    <t xml:space="preserve">111078    </t>
  </si>
  <si>
    <t xml:space="preserve">111082    </t>
  </si>
  <si>
    <t xml:space="preserve">111083    </t>
  </si>
  <si>
    <t xml:space="preserve">111084    </t>
  </si>
  <si>
    <t xml:space="preserve">111085    </t>
  </si>
  <si>
    <t xml:space="preserve">111086    </t>
  </si>
  <si>
    <t xml:space="preserve">111088    </t>
  </si>
  <si>
    <t xml:space="preserve">111091    </t>
  </si>
  <si>
    <t xml:space="preserve">111092    </t>
  </si>
  <si>
    <t xml:space="preserve">111093    </t>
  </si>
  <si>
    <t xml:space="preserve">111094    </t>
  </si>
  <si>
    <t xml:space="preserve">111095    </t>
  </si>
  <si>
    <t xml:space="preserve">111097    </t>
  </si>
  <si>
    <t xml:space="preserve">111098    </t>
  </si>
  <si>
    <t xml:space="preserve">111100    </t>
  </si>
  <si>
    <t xml:space="preserve">111102    </t>
  </si>
  <si>
    <t xml:space="preserve">111103    </t>
  </si>
  <si>
    <t xml:space="preserve">111105    </t>
  </si>
  <si>
    <t xml:space="preserve">111108    </t>
  </si>
  <si>
    <t xml:space="preserve">111110    </t>
  </si>
  <si>
    <t xml:space="preserve">111111    </t>
  </si>
  <si>
    <t xml:space="preserve">111112    </t>
  </si>
  <si>
    <t xml:space="preserve">111113    </t>
  </si>
  <si>
    <t xml:space="preserve">111114    </t>
  </si>
  <si>
    <t xml:space="preserve">111115    </t>
  </si>
  <si>
    <t xml:space="preserve">111116    </t>
  </si>
  <si>
    <t xml:space="preserve">111117    </t>
  </si>
  <si>
    <t xml:space="preserve">111118    </t>
  </si>
  <si>
    <t xml:space="preserve">111119    </t>
  </si>
  <si>
    <t xml:space="preserve">111120    </t>
  </si>
  <si>
    <t xml:space="preserve">111121    </t>
  </si>
  <si>
    <t xml:space="preserve">111122    </t>
  </si>
  <si>
    <t xml:space="preserve">111123    </t>
  </si>
  <si>
    <t xml:space="preserve">111124    </t>
  </si>
  <si>
    <t xml:space="preserve">111125    </t>
  </si>
  <si>
    <t xml:space="preserve">111126    </t>
  </si>
  <si>
    <t xml:space="preserve">111127    </t>
  </si>
  <si>
    <t xml:space="preserve">111128    </t>
  </si>
  <si>
    <t xml:space="preserve">111129    </t>
  </si>
  <si>
    <t xml:space="preserve">111130    </t>
  </si>
  <si>
    <t xml:space="preserve">111150    </t>
  </si>
  <si>
    <t xml:space="preserve">111152    </t>
  </si>
  <si>
    <t xml:space="preserve">111153    </t>
  </si>
  <si>
    <t xml:space="preserve">111154    </t>
  </si>
  <si>
    <t xml:space="preserve">111155    </t>
  </si>
  <si>
    <t xml:space="preserve">111157    </t>
  </si>
  <si>
    <t xml:space="preserve">111159    </t>
  </si>
  <si>
    <t xml:space="preserve">111162    </t>
  </si>
  <si>
    <t xml:space="preserve">111163    </t>
  </si>
  <si>
    <t xml:space="preserve">111165    </t>
  </si>
  <si>
    <t xml:space="preserve">111166    </t>
  </si>
  <si>
    <t xml:space="preserve">111168    </t>
  </si>
  <si>
    <t xml:space="preserve">111169    </t>
  </si>
  <si>
    <t xml:space="preserve">111170    </t>
  </si>
  <si>
    <t xml:space="preserve">111171    </t>
  </si>
  <si>
    <t xml:space="preserve">111172    </t>
  </si>
  <si>
    <t xml:space="preserve">111174    </t>
  </si>
  <si>
    <t xml:space="preserve">111178    </t>
  </si>
  <si>
    <t xml:space="preserve">111179    </t>
  </si>
  <si>
    <t xml:space="preserve">111181    </t>
  </si>
  <si>
    <t xml:space="preserve">111182    </t>
  </si>
  <si>
    <t xml:space="preserve">111183    </t>
  </si>
  <si>
    <t xml:space="preserve">111186    </t>
  </si>
  <si>
    <t xml:space="preserve">111188    </t>
  </si>
  <si>
    <t xml:space="preserve">111189    </t>
  </si>
  <si>
    <t xml:space="preserve">111190    </t>
  </si>
  <si>
    <t xml:space="preserve">111191    </t>
  </si>
  <si>
    <t xml:space="preserve">111193    </t>
  </si>
  <si>
    <t xml:space="preserve">111197    </t>
  </si>
  <si>
    <t xml:space="preserve">111201    </t>
  </si>
  <si>
    <t xml:space="preserve">111202    </t>
  </si>
  <si>
    <t xml:space="preserve">111203    </t>
  </si>
  <si>
    <t xml:space="preserve">111204    </t>
  </si>
  <si>
    <t xml:space="preserve">111206    </t>
  </si>
  <si>
    <t xml:space="preserve">111208    </t>
  </si>
  <si>
    <t xml:space="preserve">111210    </t>
  </si>
  <si>
    <t xml:space="preserve">111213    </t>
  </si>
  <si>
    <t xml:space="preserve">111214    </t>
  </si>
  <si>
    <t xml:space="preserve">111221    </t>
  </si>
  <si>
    <t xml:space="preserve">111223    </t>
  </si>
  <si>
    <t xml:space="preserve">111225    </t>
  </si>
  <si>
    <t xml:space="preserve">111226    </t>
  </si>
  <si>
    <t xml:space="preserve">111228    </t>
  </si>
  <si>
    <t xml:space="preserve">111236    </t>
  </si>
  <si>
    <t xml:space="preserve">111237    </t>
  </si>
  <si>
    <t xml:space="preserve">111238    </t>
  </si>
  <si>
    <t xml:space="preserve">111250    </t>
  </si>
  <si>
    <t xml:space="preserve">111251    </t>
  </si>
  <si>
    <t xml:space="preserve">111276    </t>
  </si>
  <si>
    <t xml:space="preserve">111311    </t>
  </si>
  <si>
    <t xml:space="preserve">111326    </t>
  </si>
  <si>
    <t xml:space="preserve">111336    </t>
  </si>
  <si>
    <t xml:space="preserve">111366    </t>
  </si>
  <si>
    <t xml:space="preserve">111532    </t>
  </si>
  <si>
    <t xml:space="preserve">111604    </t>
  </si>
  <si>
    <t xml:space="preserve">111605    </t>
  </si>
  <si>
    <t xml:space="preserve">111607    </t>
  </si>
  <si>
    <t xml:space="preserve">111608    </t>
  </si>
  <si>
    <t xml:space="preserve">111610    </t>
  </si>
  <si>
    <t xml:space="preserve">111613    </t>
  </si>
  <si>
    <t xml:space="preserve">111615    </t>
  </si>
  <si>
    <t xml:space="preserve">111616    </t>
  </si>
  <si>
    <t xml:space="preserve">111618    </t>
  </si>
  <si>
    <t xml:space="preserve">111619    </t>
  </si>
  <si>
    <t xml:space="preserve">111622    </t>
  </si>
  <si>
    <t xml:space="preserve">111624    </t>
  </si>
  <si>
    <t xml:space="preserve">111625    </t>
  </si>
  <si>
    <t xml:space="preserve">111626    </t>
  </si>
  <si>
    <t xml:space="preserve">111627    </t>
  </si>
  <si>
    <t xml:space="preserve">111628    </t>
  </si>
  <si>
    <t xml:space="preserve">111632    </t>
  </si>
  <si>
    <t xml:space="preserve">111636    </t>
  </si>
  <si>
    <t xml:space="preserve">111638    </t>
  </si>
  <si>
    <t xml:space="preserve">111642    </t>
  </si>
  <si>
    <t xml:space="preserve">111644    </t>
  </si>
  <si>
    <t xml:space="preserve">111645    </t>
  </si>
  <si>
    <t xml:space="preserve">111646    </t>
  </si>
  <si>
    <t xml:space="preserve">111647    </t>
  </si>
  <si>
    <t xml:space="preserve">111648    </t>
  </si>
  <si>
    <t xml:space="preserve">111650    </t>
  </si>
  <si>
    <t xml:space="preserve">111654    </t>
  </si>
  <si>
    <t xml:space="preserve">111655    </t>
  </si>
  <si>
    <t xml:space="preserve">111656    </t>
  </si>
  <si>
    <t xml:space="preserve">111658    </t>
  </si>
  <si>
    <t xml:space="preserve">111661    </t>
  </si>
  <si>
    <t xml:space="preserve">111663    </t>
  </si>
  <si>
    <t xml:space="preserve">111664    </t>
  </si>
  <si>
    <t xml:space="preserve">111666    </t>
  </si>
  <si>
    <t xml:space="preserve">111667    </t>
  </si>
  <si>
    <t xml:space="preserve">111668    </t>
  </si>
  <si>
    <t xml:space="preserve">111669    </t>
  </si>
  <si>
    <t xml:space="preserve">111670    </t>
  </si>
  <si>
    <t xml:space="preserve">111671    </t>
  </si>
  <si>
    <t xml:space="preserve">111672    </t>
  </si>
  <si>
    <t xml:space="preserve">111673    </t>
  </si>
  <si>
    <t xml:space="preserve">111674    </t>
  </si>
  <si>
    <t xml:space="preserve">111676    </t>
  </si>
  <si>
    <t xml:space="preserve">111677    </t>
  </si>
  <si>
    <t xml:space="preserve">111678    </t>
  </si>
  <si>
    <t xml:space="preserve">111680    </t>
  </si>
  <si>
    <t xml:space="preserve">111682    </t>
  </si>
  <si>
    <t xml:space="preserve">111684    </t>
  </si>
  <si>
    <t xml:space="preserve">111686    </t>
  </si>
  <si>
    <t xml:space="preserve">111687    </t>
  </si>
  <si>
    <t xml:space="preserve">111688    </t>
  </si>
  <si>
    <t xml:space="preserve">111690    </t>
  </si>
  <si>
    <t xml:space="preserve">111699    </t>
  </si>
  <si>
    <t xml:space="preserve">111703    </t>
  </si>
  <si>
    <t xml:space="preserve">111722    </t>
  </si>
  <si>
    <t xml:space="preserve">111723    </t>
  </si>
  <si>
    <t xml:space="preserve">111724    </t>
  </si>
  <si>
    <t xml:space="preserve">111726    </t>
  </si>
  <si>
    <t xml:space="preserve">111727    </t>
  </si>
  <si>
    <t xml:space="preserve">111728    </t>
  </si>
  <si>
    <t xml:space="preserve">111729    </t>
  </si>
  <si>
    <t xml:space="preserve">111731    </t>
  </si>
  <si>
    <t xml:space="preserve">111733    </t>
  </si>
  <si>
    <t xml:space="preserve">111735    </t>
  </si>
  <si>
    <t xml:space="preserve">111737    </t>
  </si>
  <si>
    <t xml:space="preserve">111739    </t>
  </si>
  <si>
    <t xml:space="preserve">111740    </t>
  </si>
  <si>
    <t xml:space="preserve">111741    </t>
  </si>
  <si>
    <t xml:space="preserve">111742    </t>
  </si>
  <si>
    <t xml:space="preserve">111743    </t>
  </si>
  <si>
    <t xml:space="preserve">111744    </t>
  </si>
  <si>
    <t xml:space="preserve">111745    </t>
  </si>
  <si>
    <t>TC0102_4</t>
  </si>
  <si>
    <t xml:space="preserve">111746    </t>
  </si>
  <si>
    <t xml:space="preserve">111747    </t>
  </si>
  <si>
    <t xml:space="preserve">111748    </t>
  </si>
  <si>
    <t xml:space="preserve">111749    </t>
  </si>
  <si>
    <t xml:space="preserve">111750    </t>
  </si>
  <si>
    <t xml:space="preserve">111751    </t>
  </si>
  <si>
    <t xml:space="preserve">111752    </t>
  </si>
  <si>
    <t xml:space="preserve">111753    </t>
  </si>
  <si>
    <t xml:space="preserve">111755    </t>
  </si>
  <si>
    <t xml:space="preserve">111756    </t>
  </si>
  <si>
    <t xml:space="preserve">111757    </t>
  </si>
  <si>
    <t xml:space="preserve">111759    </t>
  </si>
  <si>
    <t xml:space="preserve">111760    </t>
  </si>
  <si>
    <t xml:space="preserve">111761    </t>
  </si>
  <si>
    <t xml:space="preserve">111762    </t>
  </si>
  <si>
    <t xml:space="preserve">111763    </t>
  </si>
  <si>
    <t xml:space="preserve">111764    </t>
  </si>
  <si>
    <t xml:space="preserve">111765    </t>
  </si>
  <si>
    <t xml:space="preserve">111766    </t>
  </si>
  <si>
    <t xml:space="preserve">111767    </t>
  </si>
  <si>
    <t xml:space="preserve">111768    </t>
  </si>
  <si>
    <t xml:space="preserve">111770    </t>
  </si>
  <si>
    <t xml:space="preserve">111771    </t>
  </si>
  <si>
    <t xml:space="preserve">111772    </t>
  </si>
  <si>
    <t xml:space="preserve">111773    </t>
  </si>
  <si>
    <t xml:space="preserve">111774    </t>
  </si>
  <si>
    <t xml:space="preserve">111775    </t>
  </si>
  <si>
    <t xml:space="preserve">111777    </t>
  </si>
  <si>
    <t xml:space="preserve">111778    </t>
  </si>
  <si>
    <t xml:space="preserve">111779    </t>
  </si>
  <si>
    <t xml:space="preserve">111783    </t>
  </si>
  <si>
    <t xml:space="preserve">111784    </t>
  </si>
  <si>
    <t xml:space="preserve">111785    </t>
  </si>
  <si>
    <t xml:space="preserve">111787    </t>
  </si>
  <si>
    <t xml:space="preserve">111788    </t>
  </si>
  <si>
    <t xml:space="preserve">111791    </t>
  </si>
  <si>
    <t xml:space="preserve">111792    </t>
  </si>
  <si>
    <t xml:space="preserve">111793    </t>
  </si>
  <si>
    <t xml:space="preserve">111794    </t>
  </si>
  <si>
    <t xml:space="preserve">111795    </t>
  </si>
  <si>
    <t xml:space="preserve">111796    </t>
  </si>
  <si>
    <t xml:space="preserve">111797    </t>
  </si>
  <si>
    <t xml:space="preserve">111798    </t>
  </si>
  <si>
    <t xml:space="preserve">111800    </t>
  </si>
  <si>
    <t xml:space="preserve">111802    </t>
  </si>
  <si>
    <t xml:space="preserve">111804    </t>
  </si>
  <si>
    <t xml:space="preserve">111805    </t>
  </si>
  <si>
    <t xml:space="preserve">111806    </t>
  </si>
  <si>
    <t xml:space="preserve">111807    </t>
  </si>
  <si>
    <t xml:space="preserve">111808    </t>
  </si>
  <si>
    <t xml:space="preserve">111809    </t>
  </si>
  <si>
    <t xml:space="preserve">111811    </t>
  </si>
  <si>
    <t xml:space="preserve">111812    </t>
  </si>
  <si>
    <t xml:space="preserve">111815    </t>
  </si>
  <si>
    <t xml:space="preserve">111816    </t>
  </si>
  <si>
    <t xml:space="preserve">111817    </t>
  </si>
  <si>
    <t xml:space="preserve">111819    </t>
  </si>
  <si>
    <t xml:space="preserve">111820    </t>
  </si>
  <si>
    <t xml:space="preserve">111822    </t>
  </si>
  <si>
    <t xml:space="preserve">111824    </t>
  </si>
  <si>
    <t xml:space="preserve">111827    </t>
  </si>
  <si>
    <t xml:space="preserve">111830    </t>
  </si>
  <si>
    <t xml:space="preserve">111838    </t>
  </si>
  <si>
    <t xml:space="preserve">111839    </t>
  </si>
  <si>
    <t xml:space="preserve">111842    </t>
  </si>
  <si>
    <t xml:space="preserve">111845    </t>
  </si>
  <si>
    <t xml:space="preserve">111853    </t>
  </si>
  <si>
    <t xml:space="preserve">111854    </t>
  </si>
  <si>
    <t xml:space="preserve">112016    </t>
  </si>
  <si>
    <t xml:space="preserve">112141    </t>
  </si>
  <si>
    <t xml:space="preserve">112143    </t>
  </si>
  <si>
    <t xml:space="preserve">112144    </t>
  </si>
  <si>
    <t xml:space="preserve">112145    </t>
  </si>
  <si>
    <t xml:space="preserve">112147    </t>
  </si>
  <si>
    <t xml:space="preserve">112148    </t>
  </si>
  <si>
    <t xml:space="preserve">112149    </t>
  </si>
  <si>
    <t xml:space="preserve">112150    </t>
  </si>
  <si>
    <t xml:space="preserve">112151    </t>
  </si>
  <si>
    <t xml:space="preserve">112152    </t>
  </si>
  <si>
    <t xml:space="preserve">112154    </t>
  </si>
  <si>
    <t xml:space="preserve">112156    </t>
  </si>
  <si>
    <t xml:space="preserve">112157    </t>
  </si>
  <si>
    <t xml:space="preserve">112158    </t>
  </si>
  <si>
    <t xml:space="preserve">112159    </t>
  </si>
  <si>
    <t xml:space="preserve">112160    </t>
  </si>
  <si>
    <t xml:space="preserve">112162    </t>
  </si>
  <si>
    <t xml:space="preserve">112163    </t>
  </si>
  <si>
    <t xml:space="preserve">112164    </t>
  </si>
  <si>
    <t xml:space="preserve">112165    </t>
  </si>
  <si>
    <t xml:space="preserve">112166    </t>
  </si>
  <si>
    <t xml:space="preserve">112167    </t>
  </si>
  <si>
    <t xml:space="preserve">112168    </t>
  </si>
  <si>
    <t xml:space="preserve">112169    </t>
  </si>
  <si>
    <t xml:space="preserve">112170    </t>
  </si>
  <si>
    <t xml:space="preserve">112171    </t>
  </si>
  <si>
    <t xml:space="preserve">112172    </t>
  </si>
  <si>
    <t xml:space="preserve">112173    </t>
  </si>
  <si>
    <t xml:space="preserve">112174    </t>
  </si>
  <si>
    <t xml:space="preserve">112175    </t>
  </si>
  <si>
    <t xml:space="preserve">112176    </t>
  </si>
  <si>
    <t xml:space="preserve">112177    </t>
  </si>
  <si>
    <t xml:space="preserve">112178    </t>
  </si>
  <si>
    <t xml:space="preserve">112179    </t>
  </si>
  <si>
    <t xml:space="preserve">112180    </t>
  </si>
  <si>
    <t xml:space="preserve">112181    </t>
  </si>
  <si>
    <t xml:space="preserve">112182    </t>
  </si>
  <si>
    <t xml:space="preserve">112183    </t>
  </si>
  <si>
    <t xml:space="preserve">112184    </t>
  </si>
  <si>
    <t xml:space="preserve">112185    </t>
  </si>
  <si>
    <t xml:space="preserve">112186    </t>
  </si>
  <si>
    <t xml:space="preserve">112187    </t>
  </si>
  <si>
    <t xml:space="preserve">112188    </t>
  </si>
  <si>
    <t xml:space="preserve">112189    </t>
  </si>
  <si>
    <t xml:space="preserve">112190    </t>
  </si>
  <si>
    <t xml:space="preserve">112191    </t>
  </si>
  <si>
    <t xml:space="preserve">112192    </t>
  </si>
  <si>
    <t xml:space="preserve">112193    </t>
  </si>
  <si>
    <t xml:space="preserve">112194    </t>
  </si>
  <si>
    <t xml:space="preserve">112195    </t>
  </si>
  <si>
    <t xml:space="preserve">112196    </t>
  </si>
  <si>
    <t xml:space="preserve">112197    </t>
  </si>
  <si>
    <t xml:space="preserve">112198    </t>
  </si>
  <si>
    <t xml:space="preserve">112200    </t>
  </si>
  <si>
    <t xml:space="preserve">112201    </t>
  </si>
  <si>
    <t xml:space="preserve">112202    </t>
  </si>
  <si>
    <t xml:space="preserve">112204    </t>
  </si>
  <si>
    <t xml:space="preserve">112206    </t>
  </si>
  <si>
    <t xml:space="preserve">112210    </t>
  </si>
  <si>
    <t xml:space="preserve">112211    </t>
  </si>
  <si>
    <t xml:space="preserve">112213    </t>
  </si>
  <si>
    <t xml:space="preserve">112215    </t>
  </si>
  <si>
    <t xml:space="preserve">112216    </t>
  </si>
  <si>
    <t xml:space="preserve">112217    </t>
  </si>
  <si>
    <t xml:space="preserve">112218    </t>
  </si>
  <si>
    <t xml:space="preserve">112219    </t>
  </si>
  <si>
    <t xml:space="preserve">112221    </t>
  </si>
  <si>
    <t xml:space="preserve">112222    </t>
  </si>
  <si>
    <t xml:space="preserve">112223    </t>
  </si>
  <si>
    <t xml:space="preserve">112224    </t>
  </si>
  <si>
    <t xml:space="preserve">112225    </t>
  </si>
  <si>
    <t xml:space="preserve">112226    </t>
  </si>
  <si>
    <t xml:space="preserve">112227    </t>
  </si>
  <si>
    <t xml:space="preserve">112229    </t>
  </si>
  <si>
    <t xml:space="preserve">112230    </t>
  </si>
  <si>
    <t xml:space="preserve">112232    </t>
  </si>
  <si>
    <t xml:space="preserve">112233    </t>
  </si>
  <si>
    <t xml:space="preserve">112234    </t>
  </si>
  <si>
    <t xml:space="preserve">112235    </t>
  </si>
  <si>
    <t xml:space="preserve">112236    </t>
  </si>
  <si>
    <t xml:space="preserve">112237    </t>
  </si>
  <si>
    <t xml:space="preserve">112238    </t>
  </si>
  <si>
    <t xml:space="preserve">112240    </t>
  </si>
  <si>
    <t xml:space="preserve">112241    </t>
  </si>
  <si>
    <t xml:space="preserve">112242    </t>
  </si>
  <si>
    <t xml:space="preserve">112244    </t>
  </si>
  <si>
    <t xml:space="preserve">112245    </t>
  </si>
  <si>
    <t xml:space="preserve">112246    </t>
  </si>
  <si>
    <t xml:space="preserve">112247    </t>
  </si>
  <si>
    <t xml:space="preserve">112248    </t>
  </si>
  <si>
    <t xml:space="preserve">112249    </t>
  </si>
  <si>
    <t xml:space="preserve">112251    </t>
  </si>
  <si>
    <t xml:space="preserve">112252    </t>
  </si>
  <si>
    <t xml:space="preserve">112253    </t>
  </si>
  <si>
    <t xml:space="preserve">112254    </t>
  </si>
  <si>
    <t xml:space="preserve">112255    </t>
  </si>
  <si>
    <t xml:space="preserve">112256    </t>
  </si>
  <si>
    <t xml:space="preserve">112257    </t>
  </si>
  <si>
    <t xml:space="preserve">112258    </t>
  </si>
  <si>
    <t xml:space="preserve">112259    </t>
  </si>
  <si>
    <t xml:space="preserve">112261    </t>
  </si>
  <si>
    <t xml:space="preserve">112262    </t>
  </si>
  <si>
    <t xml:space="preserve">112264    </t>
  </si>
  <si>
    <t xml:space="preserve">112266    </t>
  </si>
  <si>
    <t xml:space="preserve">112268    </t>
  </si>
  <si>
    <t xml:space="preserve">112269    </t>
  </si>
  <si>
    <t xml:space="preserve">112270    </t>
  </si>
  <si>
    <t xml:space="preserve">112271    </t>
  </si>
  <si>
    <t xml:space="preserve">112272    </t>
  </si>
  <si>
    <t xml:space="preserve">112275    </t>
  </si>
  <si>
    <t xml:space="preserve">112277    </t>
  </si>
  <si>
    <t xml:space="preserve">112278    </t>
  </si>
  <si>
    <t xml:space="preserve">112280    </t>
  </si>
  <si>
    <t xml:space="preserve">112282    </t>
  </si>
  <si>
    <t xml:space="preserve">112283    </t>
  </si>
  <si>
    <t xml:space="preserve">112286    </t>
  </si>
  <si>
    <t xml:space="preserve">112292    </t>
  </si>
  <si>
    <t xml:space="preserve">112293    </t>
  </si>
  <si>
    <t xml:space="preserve">112296    </t>
  </si>
  <si>
    <t xml:space="preserve">112298    </t>
  </si>
  <si>
    <t xml:space="preserve">112299    </t>
  </si>
  <si>
    <t xml:space="preserve">112300    </t>
  </si>
  <si>
    <t xml:space="preserve">112301    </t>
  </si>
  <si>
    <t xml:space="preserve">112302    </t>
  </si>
  <si>
    <t xml:space="preserve">112306    </t>
  </si>
  <si>
    <t xml:space="preserve">112307    </t>
  </si>
  <si>
    <t xml:space="preserve">112308    </t>
  </si>
  <si>
    <t xml:space="preserve">112309    </t>
  </si>
  <si>
    <t xml:space="preserve">112316    </t>
  </si>
  <si>
    <t xml:space="preserve">112318    </t>
  </si>
  <si>
    <t xml:space="preserve">112346    </t>
  </si>
  <si>
    <t xml:space="preserve">112353    </t>
  </si>
  <si>
    <t xml:space="preserve">112358    </t>
  </si>
  <si>
    <t xml:space="preserve">112362    </t>
  </si>
  <si>
    <t xml:space="preserve">112465    </t>
  </si>
  <si>
    <t xml:space="preserve">112466    </t>
  </si>
  <si>
    <t>TC0102_3</t>
  </si>
  <si>
    <t xml:space="preserve">112467    </t>
  </si>
  <si>
    <t xml:space="preserve">112468    </t>
  </si>
  <si>
    <t xml:space="preserve">112469    </t>
  </si>
  <si>
    <t xml:space="preserve">112470    </t>
  </si>
  <si>
    <t xml:space="preserve">112471    </t>
  </si>
  <si>
    <t xml:space="preserve">112472    </t>
  </si>
  <si>
    <t xml:space="preserve">112473    </t>
  </si>
  <si>
    <t xml:space="preserve">112474    </t>
  </si>
  <si>
    <t xml:space="preserve">112475    </t>
  </si>
  <si>
    <t xml:space="preserve">112476    </t>
  </si>
  <si>
    <t xml:space="preserve">112477    </t>
  </si>
  <si>
    <t xml:space="preserve">112478    </t>
  </si>
  <si>
    <t xml:space="preserve">112479    </t>
  </si>
  <si>
    <t xml:space="preserve">112480    </t>
  </si>
  <si>
    <t xml:space="preserve">112481    </t>
  </si>
  <si>
    <t xml:space="preserve">112482    </t>
  </si>
  <si>
    <t xml:space="preserve">112483    </t>
  </si>
  <si>
    <t xml:space="preserve">112484    </t>
  </si>
  <si>
    <t xml:space="preserve">112485    </t>
  </si>
  <si>
    <t xml:space="preserve">112486    </t>
  </si>
  <si>
    <t xml:space="preserve">112488    </t>
  </si>
  <si>
    <t xml:space="preserve">112489    </t>
  </si>
  <si>
    <t xml:space="preserve">112490    </t>
  </si>
  <si>
    <t xml:space="preserve">112491    </t>
  </si>
  <si>
    <t xml:space="preserve">112492    </t>
  </si>
  <si>
    <t xml:space="preserve">112493    </t>
  </si>
  <si>
    <t xml:space="preserve">112494    </t>
  </si>
  <si>
    <t xml:space="preserve">112495    </t>
  </si>
  <si>
    <t xml:space="preserve">112496    </t>
  </si>
  <si>
    <t xml:space="preserve">112497    </t>
  </si>
  <si>
    <t xml:space="preserve">112498    </t>
  </si>
  <si>
    <t xml:space="preserve">112499    </t>
  </si>
  <si>
    <t xml:space="preserve">112500    </t>
  </si>
  <si>
    <t xml:space="preserve">112501    </t>
  </si>
  <si>
    <t xml:space="preserve">112502    </t>
  </si>
  <si>
    <t xml:space="preserve">112503    </t>
  </si>
  <si>
    <t xml:space="preserve">112504    </t>
  </si>
  <si>
    <t xml:space="preserve">112505    </t>
  </si>
  <si>
    <t xml:space="preserve">112506    </t>
  </si>
  <si>
    <t xml:space="preserve">112507    </t>
  </si>
  <si>
    <t xml:space="preserve">112508    </t>
  </si>
  <si>
    <t xml:space="preserve">112509    </t>
  </si>
  <si>
    <t xml:space="preserve">112510    </t>
  </si>
  <si>
    <t xml:space="preserve">112511    </t>
  </si>
  <si>
    <t xml:space="preserve">112512    </t>
  </si>
  <si>
    <t xml:space="preserve">112513    </t>
  </si>
  <si>
    <t xml:space="preserve">112514    </t>
  </si>
  <si>
    <t xml:space="preserve">112516    </t>
  </si>
  <si>
    <t xml:space="preserve">112517    </t>
  </si>
  <si>
    <t xml:space="preserve">112518    </t>
  </si>
  <si>
    <t xml:space="preserve">112520    </t>
  </si>
  <si>
    <t xml:space="preserve">112521    </t>
  </si>
  <si>
    <t xml:space="preserve">112522    </t>
  </si>
  <si>
    <t xml:space="preserve">112523    </t>
  </si>
  <si>
    <t xml:space="preserve">112524    </t>
  </si>
  <si>
    <t xml:space="preserve">112525    </t>
  </si>
  <si>
    <t xml:space="preserve">112526    </t>
  </si>
  <si>
    <t xml:space="preserve">112527    </t>
  </si>
  <si>
    <t xml:space="preserve">112528    </t>
  </si>
  <si>
    <t xml:space="preserve">112529    </t>
  </si>
  <si>
    <t xml:space="preserve">112535    </t>
  </si>
  <si>
    <t xml:space="preserve">112536    </t>
  </si>
  <si>
    <t xml:space="preserve">112538    </t>
  </si>
  <si>
    <t xml:space="preserve">112539    </t>
  </si>
  <si>
    <t xml:space="preserve">112544    </t>
  </si>
  <si>
    <t xml:space="preserve">112545    </t>
  </si>
  <si>
    <t xml:space="preserve">112546    </t>
  </si>
  <si>
    <t xml:space="preserve">112548    </t>
  </si>
  <si>
    <t xml:space="preserve">112550    </t>
  </si>
  <si>
    <t xml:space="preserve">112551    </t>
  </si>
  <si>
    <t xml:space="preserve">112552    </t>
  </si>
  <si>
    <t xml:space="preserve">112553    </t>
  </si>
  <si>
    <t xml:space="preserve">112554    </t>
  </si>
  <si>
    <t xml:space="preserve">112555    </t>
  </si>
  <si>
    <t xml:space="preserve">112557    </t>
  </si>
  <si>
    <t xml:space="preserve">112558    </t>
  </si>
  <si>
    <t xml:space="preserve">112564    </t>
  </si>
  <si>
    <t xml:space="preserve">112566    </t>
  </si>
  <si>
    <t xml:space="preserve">112567    </t>
  </si>
  <si>
    <t xml:space="preserve">112568    </t>
  </si>
  <si>
    <t xml:space="preserve">112569    </t>
  </si>
  <si>
    <t xml:space="preserve">112570    </t>
  </si>
  <si>
    <t xml:space="preserve">112577    </t>
  </si>
  <si>
    <t xml:space="preserve">112579    </t>
  </si>
  <si>
    <t>PROFESORES</t>
  </si>
  <si>
    <t>CORREO ELECTRÓNICO</t>
  </si>
  <si>
    <t>luis.hernandez</t>
  </si>
  <si>
    <t>jesus.gomez</t>
  </si>
  <si>
    <t>amanda.renteria</t>
  </si>
  <si>
    <t>denis.rodriguez</t>
  </si>
  <si>
    <t>claudia.torres</t>
  </si>
  <si>
    <t>cristina.casillas</t>
  </si>
  <si>
    <t>adrian.rojas</t>
  </si>
  <si>
    <t>david.aceves</t>
  </si>
  <si>
    <t>julieta.dealba</t>
  </si>
  <si>
    <t>martin.ramirez</t>
  </si>
  <si>
    <t>miguel.escarcega</t>
  </si>
  <si>
    <t>elsa.padilla</t>
  </si>
  <si>
    <t>jesus.zepeda</t>
  </si>
  <si>
    <t>rafael.rios</t>
  </si>
  <si>
    <t>elisa.hobart</t>
  </si>
  <si>
    <t>carla.morelos</t>
  </si>
  <si>
    <t>jorge.acosta</t>
  </si>
  <si>
    <t>nicole.hernandezgonzalez</t>
  </si>
  <si>
    <t>samuel.gomez</t>
  </si>
  <si>
    <t>javier.salcedo</t>
  </si>
  <si>
    <t>saul.flores</t>
  </si>
  <si>
    <t>raquel.abreu</t>
  </si>
  <si>
    <t>francisco.ramirez</t>
  </si>
  <si>
    <t>zaira.zambrano</t>
  </si>
  <si>
    <t>alam.gomez</t>
  </si>
  <si>
    <t>carlos.torres</t>
  </si>
  <si>
    <t>fernando.lopez</t>
  </si>
  <si>
    <t>laura.michel</t>
  </si>
  <si>
    <t>gabriel.benitez</t>
  </si>
  <si>
    <t>juan.ponce</t>
  </si>
  <si>
    <t>hugo.segoviano</t>
  </si>
  <si>
    <t>raymundo.silva</t>
  </si>
  <si>
    <t>daniel.montelongo</t>
  </si>
  <si>
    <t>gabriel.sanchez</t>
  </si>
  <si>
    <t>irma.castellanos</t>
  </si>
  <si>
    <t>nydia.espino</t>
  </si>
  <si>
    <t>jesus.gudino</t>
  </si>
  <si>
    <t>jose.sanchez</t>
  </si>
  <si>
    <t>dulce.alvarado</t>
  </si>
  <si>
    <t>jorge.perez</t>
  </si>
  <si>
    <t>noemi.calderon</t>
  </si>
  <si>
    <t>diego.ruiz</t>
  </si>
  <si>
    <t>leticia.martinez</t>
  </si>
  <si>
    <t>diego.ruizvelasco</t>
  </si>
  <si>
    <t>alberto.palomera</t>
  </si>
  <si>
    <t>laura.bahena</t>
  </si>
  <si>
    <t>luis.salazar</t>
  </si>
  <si>
    <t>pedro.castillo</t>
  </si>
  <si>
    <t>emmanuel.padilla</t>
  </si>
  <si>
    <t>maria.antolin</t>
  </si>
  <si>
    <t>claudia.bautista</t>
  </si>
  <si>
    <t>hector.moreno</t>
  </si>
  <si>
    <t>araceli.flores</t>
  </si>
  <si>
    <t>mercedes.perez</t>
  </si>
  <si>
    <t>jocelyn.fuentes</t>
  </si>
  <si>
    <t>claudia.cortes</t>
  </si>
  <si>
    <t>melissa.delarosa</t>
  </si>
  <si>
    <t>claudia.escobedo</t>
  </si>
  <si>
    <t>erika.espejo</t>
  </si>
  <si>
    <t>miguel.frias</t>
  </si>
  <si>
    <t>gabriela.garibay</t>
  </si>
  <si>
    <t>alejandro.lagos</t>
  </si>
  <si>
    <t>ana.ramos</t>
  </si>
  <si>
    <t>rafael.trujillo</t>
  </si>
  <si>
    <t>ciro.zarate</t>
  </si>
  <si>
    <t>martin.deanda</t>
  </si>
  <si>
    <t>jose.rodriguez</t>
  </si>
  <si>
    <t>emmanuel.saldivar</t>
  </si>
  <si>
    <t>alberto.mendez</t>
  </si>
  <si>
    <t>victor.medel</t>
  </si>
  <si>
    <t>daisuke.shindo</t>
  </si>
  <si>
    <t>giselle.andrade</t>
  </si>
  <si>
    <t>eliasin.albores</t>
  </si>
  <si>
    <t>alfredo.rubio</t>
  </si>
  <si>
    <t>juan.rodriguez</t>
  </si>
  <si>
    <t>enrique.gonzaleza</t>
  </si>
  <si>
    <t>victor.quezada</t>
  </si>
  <si>
    <t>fernando.sanchez</t>
  </si>
  <si>
    <t>enrique.jimenez</t>
  </si>
  <si>
    <t>bertha.ferrer</t>
  </si>
  <si>
    <t>oswaldo.hernandez</t>
  </si>
  <si>
    <t>juan.montano</t>
  </si>
  <si>
    <t>daniel.lara</t>
  </si>
  <si>
    <t>cesar.zapari</t>
  </si>
  <si>
    <t>fatima.vela</t>
  </si>
  <si>
    <t>juan.martinez</t>
  </si>
  <si>
    <t>ana.nunez</t>
  </si>
  <si>
    <t>juan.correa</t>
  </si>
  <si>
    <t>alejandro.esquivel</t>
  </si>
  <si>
    <t>osvaldo.ireta</t>
  </si>
  <si>
    <t>santiago.cardenas</t>
  </si>
  <si>
    <t>jorge.macias</t>
  </si>
  <si>
    <t>griselda.madrigal</t>
  </si>
  <si>
    <t>jose.parra</t>
  </si>
  <si>
    <t>carlos.pena</t>
  </si>
  <si>
    <t>rodolfo.salazar</t>
  </si>
  <si>
    <t>martin.rodriguez</t>
  </si>
  <si>
    <t>marco.santacruz</t>
  </si>
  <si>
    <t>enrique.gonzalez</t>
  </si>
  <si>
    <t>ricardo.baeza</t>
  </si>
  <si>
    <t>salvador.magana</t>
  </si>
  <si>
    <t>claudia.ochoa</t>
  </si>
  <si>
    <t>alfredo.velazquez</t>
  </si>
  <si>
    <t>luciano.vinas</t>
  </si>
  <si>
    <t>luis.mejia</t>
  </si>
  <si>
    <t>jose.esquivel</t>
  </si>
  <si>
    <t>maria.garcias</t>
  </si>
  <si>
    <t>salvador.avalos</t>
  </si>
  <si>
    <t>martha.baruch</t>
  </si>
  <si>
    <t>jose.moreno</t>
  </si>
  <si>
    <t>hector.rodriguez</t>
  </si>
  <si>
    <t>daniel.gonzalez</t>
  </si>
  <si>
    <t>raul.godoy</t>
  </si>
  <si>
    <t>aida.hernandez</t>
  </si>
  <si>
    <t>jose.luna</t>
  </si>
  <si>
    <t>erika.salcedo</t>
  </si>
  <si>
    <t>francisco.tapia</t>
  </si>
  <si>
    <t>daniel.restrepo</t>
  </si>
  <si>
    <t>mariana.morones</t>
  </si>
  <si>
    <t>montserrat.ramos</t>
  </si>
  <si>
    <t>dhalia.cortes</t>
  </si>
  <si>
    <t>liliana.martinez</t>
  </si>
  <si>
    <t>isis.farias</t>
  </si>
  <si>
    <t>maria.chan</t>
  </si>
  <si>
    <t>victor.gudino</t>
  </si>
  <si>
    <t>ana.anguiano</t>
  </si>
  <si>
    <t>ivan.flores</t>
  </si>
  <si>
    <t>victor.flores</t>
  </si>
  <si>
    <t>cesar.deleon</t>
  </si>
  <si>
    <t>jose.bartolo</t>
  </si>
  <si>
    <t>maria.miranda</t>
  </si>
  <si>
    <t>marlen.rivas</t>
  </si>
  <si>
    <t>citlain.vega</t>
  </si>
  <si>
    <t>abigail.chilpa</t>
  </si>
  <si>
    <t>elias.munoz</t>
  </si>
  <si>
    <t>jesus.begines</t>
  </si>
  <si>
    <t>hernan.cavallo</t>
  </si>
  <si>
    <t>laura.rivas</t>
  </si>
  <si>
    <t>horacio.arteaga</t>
  </si>
  <si>
    <t>maria.gonzalez</t>
  </si>
  <si>
    <t>irving.rodriguez</t>
  </si>
  <si>
    <t>francisco.marquez</t>
  </si>
  <si>
    <t>maria.dominguez</t>
  </si>
  <si>
    <t>rodrigo.pena</t>
  </si>
  <si>
    <t>lucila.aguilar</t>
  </si>
  <si>
    <t>jesus.banuelos</t>
  </si>
  <si>
    <t>erika.ponce</t>
  </si>
  <si>
    <t>dennis.camacho</t>
  </si>
  <si>
    <t>ricardo.robles</t>
  </si>
  <si>
    <t>alejandro.uribe</t>
  </si>
  <si>
    <t>hector.flores</t>
  </si>
  <si>
    <t>ricardo.ramirez</t>
  </si>
  <si>
    <t>david.herrera</t>
  </si>
  <si>
    <t>david.gomez</t>
  </si>
  <si>
    <t>jose.rizo</t>
  </si>
  <si>
    <t>ian.barrera</t>
  </si>
  <si>
    <t>manuel.zepeda</t>
  </si>
  <si>
    <t>monserrat.perez</t>
  </si>
  <si>
    <t>erika.valerio</t>
  </si>
  <si>
    <t>brenda.guerra</t>
  </si>
  <si>
    <t>MAESTRO</t>
  </si>
  <si>
    <t>BLG1791</t>
  </si>
  <si>
    <t>CVC1898</t>
  </si>
  <si>
    <t>DRM1880</t>
  </si>
  <si>
    <t>EGC2011</t>
  </si>
  <si>
    <t>ERE1767</t>
  </si>
  <si>
    <t>GGG1774</t>
  </si>
  <si>
    <t>LLA2001</t>
  </si>
  <si>
    <t>RDA2045</t>
  </si>
  <si>
    <t>HZL0661</t>
  </si>
  <si>
    <t>GLJ1802</t>
  </si>
  <si>
    <t>RJA1850</t>
  </si>
  <si>
    <t>RRD1854</t>
  </si>
  <si>
    <t>TFC1678</t>
  </si>
  <si>
    <t>CCC1964</t>
  </si>
  <si>
    <t>RMA2027</t>
  </si>
  <si>
    <t>ARD1864</t>
  </si>
  <si>
    <t>DGJ1732</t>
  </si>
  <si>
    <t>RGM2024</t>
  </si>
  <si>
    <t>EGM1892</t>
  </si>
  <si>
    <t>PME1742</t>
  </si>
  <si>
    <t>ZRJ2030</t>
  </si>
  <si>
    <t>RNR1966</t>
  </si>
  <si>
    <t>HGE1078</t>
  </si>
  <si>
    <t>MVC1563</t>
  </si>
  <si>
    <t>AMJ1423</t>
  </si>
  <si>
    <t>HBN1668</t>
  </si>
  <si>
    <t>GOS1311</t>
  </si>
  <si>
    <t>SRJ1260</t>
  </si>
  <si>
    <t>FMS1800</t>
  </si>
  <si>
    <t>ATR1755</t>
  </si>
  <si>
    <t>ROF1352</t>
  </si>
  <si>
    <t>ZLZ1862</t>
  </si>
  <si>
    <t>GCA1735</t>
  </si>
  <si>
    <t>TEC1066</t>
  </si>
  <si>
    <t>LVF1601</t>
  </si>
  <si>
    <t>MSL1607</t>
  </si>
  <si>
    <t>PCJ1177</t>
  </si>
  <si>
    <t>SMH1905</t>
  </si>
  <si>
    <t>SHR1973</t>
  </si>
  <si>
    <t>MAD0975</t>
  </si>
  <si>
    <t>SAG2053</t>
  </si>
  <si>
    <t>CMI1010</t>
  </si>
  <si>
    <t>ECN0993</t>
  </si>
  <si>
    <t>GGJ1869</t>
  </si>
  <si>
    <t>SMJ0539</t>
  </si>
  <si>
    <t>ABD1972</t>
  </si>
  <si>
    <t>PGJ1240</t>
  </si>
  <si>
    <t>CCN1952</t>
  </si>
  <si>
    <t>RND2054</t>
  </si>
  <si>
    <t>MGL0928</t>
  </si>
  <si>
    <t>RRD1608</t>
  </si>
  <si>
    <t>PJA1958</t>
  </si>
  <si>
    <t>BVL2038</t>
  </si>
  <si>
    <t>SLL1959</t>
  </si>
  <si>
    <t>CNP1815</t>
  </si>
  <si>
    <t>PGE1527</t>
  </si>
  <si>
    <t>ALM1223</t>
  </si>
  <si>
    <t>BPC1920</t>
  </si>
  <si>
    <t>MLH1052</t>
  </si>
  <si>
    <t>FGA1042</t>
  </si>
  <si>
    <t>POM0707</t>
  </si>
  <si>
    <t>FTJ2071</t>
  </si>
  <si>
    <t>FRM2000</t>
  </si>
  <si>
    <t>TTR1680</t>
  </si>
  <si>
    <t>ZTC1408</t>
  </si>
  <si>
    <t>DDM0468</t>
  </si>
  <si>
    <t>RMJ1853</t>
  </si>
  <si>
    <t>SE0523</t>
  </si>
  <si>
    <t>MJA1950</t>
  </si>
  <si>
    <t>MJV1996</t>
  </si>
  <si>
    <t>SD0167</t>
  </si>
  <si>
    <t>AHG0679</t>
  </si>
  <si>
    <t>AME2063</t>
  </si>
  <si>
    <t>RDA1460</t>
  </si>
  <si>
    <t>RCJ1881</t>
  </si>
  <si>
    <t>GFJ1530</t>
  </si>
  <si>
    <t>QNV1347</t>
  </si>
  <si>
    <t>SLF1932</t>
  </si>
  <si>
    <t>JAE1729</t>
  </si>
  <si>
    <t>FLB0895</t>
  </si>
  <si>
    <t>HAO2066</t>
  </si>
  <si>
    <t>MAJ1442</t>
  </si>
  <si>
    <t>LFD1482</t>
  </si>
  <si>
    <t>ZRC1887</t>
  </si>
  <si>
    <t>VTF1860</t>
  </si>
  <si>
    <t>MJ0221</t>
  </si>
  <si>
    <t>NVA1745</t>
  </si>
  <si>
    <t>CBJ2070</t>
  </si>
  <si>
    <t>ELA1980</t>
  </si>
  <si>
    <t>IVO1989</t>
  </si>
  <si>
    <t>CCS0709</t>
  </si>
  <si>
    <t>MGJ1410</t>
  </si>
  <si>
    <t>MRG1930</t>
  </si>
  <si>
    <t>PAJ1953</t>
  </si>
  <si>
    <t>PMC2057</t>
  </si>
  <si>
    <t>SPR1937</t>
  </si>
  <si>
    <t>RRM2026</t>
  </si>
  <si>
    <t>SMM2060</t>
  </si>
  <si>
    <t>BMR1221</t>
  </si>
  <si>
    <t>MSS2050</t>
  </si>
  <si>
    <t>OFC1982</t>
  </si>
  <si>
    <t>VSA1861</t>
  </si>
  <si>
    <t>VTL1886</t>
  </si>
  <si>
    <t>MGL1990</t>
  </si>
  <si>
    <t>EVJ2047</t>
  </si>
  <si>
    <t>GSM0224</t>
  </si>
  <si>
    <t>AMS2016</t>
  </si>
  <si>
    <t>BMM2041</t>
  </si>
  <si>
    <t>MQJ1984</t>
  </si>
  <si>
    <t>RAH2003</t>
  </si>
  <si>
    <t>GPD2073</t>
  </si>
  <si>
    <t>GBR1147</t>
  </si>
  <si>
    <t>HMA1841</t>
  </si>
  <si>
    <t>LHJ1611</t>
  </si>
  <si>
    <t>SRE1199</t>
  </si>
  <si>
    <t>TVF1344</t>
  </si>
  <si>
    <t>RMD2043</t>
  </si>
  <si>
    <t>MMM1396</t>
  </si>
  <si>
    <t>RRM1422</t>
  </si>
  <si>
    <t>CSD1537</t>
  </si>
  <si>
    <t>MML1660</t>
  </si>
  <si>
    <t>FCI1701</t>
  </si>
  <si>
    <t>CNM0034</t>
  </si>
  <si>
    <t>GSV2055</t>
  </si>
  <si>
    <t>ASA1552</t>
  </si>
  <si>
    <t>FFI2048</t>
  </si>
  <si>
    <t>FMV1835</t>
  </si>
  <si>
    <t>DGC1832</t>
  </si>
  <si>
    <t>BTJ2046</t>
  </si>
  <si>
    <t>MMM1414</t>
  </si>
  <si>
    <t>RMM1724</t>
  </si>
  <si>
    <t>VRC1859</t>
  </si>
  <si>
    <t>CAA1971</t>
  </si>
  <si>
    <t>MAE1513</t>
  </si>
  <si>
    <t>BCJ1210</t>
  </si>
  <si>
    <t>CMH1305</t>
  </si>
  <si>
    <t>RRL1304</t>
  </si>
  <si>
    <t>ACH1131</t>
  </si>
  <si>
    <t>GAM0556</t>
  </si>
  <si>
    <t>RAI1236</t>
  </si>
  <si>
    <t>GGE1133</t>
  </si>
  <si>
    <t>MCF1923</t>
  </si>
  <si>
    <t>DLM0970</t>
  </si>
  <si>
    <t>PCR0609</t>
  </si>
  <si>
    <t>AFL0465</t>
  </si>
  <si>
    <t>BMJ1960</t>
  </si>
  <si>
    <t>PSE2004</t>
  </si>
  <si>
    <t>CBD0795</t>
  </si>
  <si>
    <t>RAR1948</t>
  </si>
  <si>
    <t>ULA0927</t>
  </si>
  <si>
    <t>FGH1934</t>
  </si>
  <si>
    <t>RRR2052</t>
  </si>
  <si>
    <t>HAD0939</t>
  </si>
  <si>
    <t>GPD1665</t>
  </si>
  <si>
    <t>RAJ1773</t>
  </si>
  <si>
    <t>BSI1910</t>
  </si>
  <si>
    <t>ZGM1566</t>
  </si>
  <si>
    <t>PCM1848</t>
  </si>
  <si>
    <t>VPE1088</t>
  </si>
  <si>
    <t>GRB0956</t>
  </si>
  <si>
    <t>DEPARTAMENTO</t>
  </si>
  <si>
    <t>JEFE</t>
  </si>
  <si>
    <t>DIRECCION GENERAL EDUCATIVA</t>
  </si>
  <si>
    <t>OLIVER LOPEZ ROCIO</t>
  </si>
  <si>
    <t>JEFATURA ACADÉMICA</t>
  </si>
  <si>
    <t>CALERA SUAREZ ALEJANDRO</t>
  </si>
  <si>
    <t>PROYECTOS ACADEMICOS</t>
  </si>
  <si>
    <t>NAVARRO SOTO MARIA DOLORES</t>
  </si>
  <si>
    <t>INSERT INTO departamentos (id, departamento, jefe, sexo) VALUES (</t>
  </si>
  <si>
    <t>COORDINADOR</t>
  </si>
  <si>
    <t>SELLO</t>
  </si>
  <si>
    <t>OCEGUERA LOPEZ BEATRIZ ALEJANDRA</t>
  </si>
  <si>
    <t>VAZQUEZ CARRASCO CHRISTIAN ALAIN</t>
  </si>
  <si>
    <t>SANTANA ROSAS JUAN MANUEL</t>
  </si>
  <si>
    <t>CARRILLO TOVAR CHRISTIAN</t>
  </si>
  <si>
    <t>INGENIERIA EN INTELIGENCIA ARTIFICIAL</t>
  </si>
  <si>
    <t>INGENIERIA AUTOMOTRIZ</t>
  </si>
  <si>
    <t xml:space="preserve">ALANIZ OLGUIN CARLOS IVAN </t>
  </si>
  <si>
    <t>INSERT INTO carreras (id, departamento, carrera, coordinador, sexo, sello) VALUES (</t>
  </si>
  <si>
    <t>LICENCIATURAS</t>
  </si>
  <si>
    <t>coordinacion.nutricion</t>
  </si>
  <si>
    <t xml:space="preserve">jefatura.materiassello </t>
  </si>
  <si>
    <t xml:space="preserve">coordinacion.nutricion </t>
  </si>
  <si>
    <t xml:space="preserve">coordinacion.animacion </t>
  </si>
  <si>
    <t xml:space="preserve">coordinacion.animacion  </t>
  </si>
  <si>
    <t xml:space="preserve">coordinacion.aeroespacial </t>
  </si>
  <si>
    <t xml:space="preserve">coordinacion.ingenierias </t>
  </si>
  <si>
    <t>internacional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</si>
</sst>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0" xfId="0" applyFont="1"/>
    <xf numFmtId="49" fontId="1" fillId="0" borderId="1" xfId="0" applyNumberFormat="1" applyFont="1" applyBorder="1" applyAlignment="1">
      <alignment horizontal="center"/>
    </xf>
    <xf numFmtId="49" fontId="0" fillId="0" borderId="0" xfId="0" quotePrefix="1" applyNumberFormat="1"/>
    <xf numFmtId="49" fontId="0" fillId="0" borderId="0" xfId="0" applyNumberFormat="1"/>
    <xf numFmtId="49" fontId="1" fillId="0" borderId="0" xfId="0" applyNumberFormat="1" applyFont="1"/>
    <xf numFmtId="49" fontId="2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/>
    <xf numFmtId="0" fontId="3" fillId="0" borderId="0" xfId="0" applyFont="1" applyAlignment="1">
      <alignment wrapText="1"/>
    </xf>
    <xf numFmtId="49" fontId="1" fillId="0" borderId="0" xfId="0" applyNumberFormat="1" applyFont="1" applyAlignment="1"/>
    <xf numFmtId="0" fontId="1" fillId="0" borderId="0" xfId="0" applyFont="1" applyAlignment="1"/>
    <xf numFmtId="49" fontId="0" fillId="0" borderId="0" xfId="0" applyNumberFormat="1" applyAlignment="1"/>
    <xf numFmtId="49" fontId="0" fillId="0" borderId="0" xfId="0" quotePrefix="1" applyNumberFormat="1" applyAlignment="1"/>
    <xf numFmtId="0" fontId="0" fillId="0" borderId="0" xfId="0" applyNumberFormat="1" applyAlignme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FF9CC-03FA-4EDA-9423-EB9520DA1272}">
  <dimension ref="A1:L572"/>
  <sheetViews>
    <sheetView topLeftCell="J570" workbookViewId="0">
      <selection activeCell="L2" sqref="L2:L572"/>
    </sheetView>
  </sheetViews>
  <sheetFormatPr baseColWidth="10" defaultRowHeight="14.5" x14ac:dyDescent="0.35"/>
  <cols>
    <col min="1" max="1" width="4.81640625" style="7" bestFit="1" customWidth="1"/>
    <col min="2" max="2" width="13.36328125" style="7" bestFit="1" customWidth="1"/>
    <col min="3" max="3" width="20.7265625" bestFit="1" customWidth="1"/>
    <col min="4" max="5" width="10.90625" style="7"/>
    <col min="6" max="6" width="46.1796875" customWidth="1"/>
    <col min="7" max="7" width="10.90625" style="7"/>
    <col min="8" max="10" width="11.453125"/>
    <col min="11" max="11" width="54.54296875" customWidth="1"/>
    <col min="12" max="12" width="54.54296875" style="12" customWidth="1"/>
  </cols>
  <sheetData>
    <row r="1" spans="1:12" ht="43.5" x14ac:dyDescent="0.35">
      <c r="A1" s="8" t="s">
        <v>4</v>
      </c>
      <c r="B1" s="5" t="s">
        <v>0</v>
      </c>
      <c r="C1" s="4" t="s">
        <v>6</v>
      </c>
      <c r="D1" s="8" t="s">
        <v>578</v>
      </c>
      <c r="E1" s="9" t="s">
        <v>2</v>
      </c>
      <c r="F1" s="4" t="s">
        <v>1150</v>
      </c>
      <c r="G1" s="5" t="s">
        <v>1722</v>
      </c>
      <c r="H1" s="4" t="s">
        <v>1735</v>
      </c>
      <c r="I1" s="4" t="s">
        <v>1742</v>
      </c>
      <c r="J1" s="4" t="s">
        <v>1785</v>
      </c>
      <c r="K1" s="2" t="str">
        <f>CONCATENATE("INSERT INTO participantes (",L1,") VALUES (")</f>
        <v>INSERT INTO participantes (id,nivel,correo,matricula,clave,nombre,carrera,grado,sexo,situacion,evaluados,num_evaluados,total_evaluaciones,ultimo_acceso,nivel_acceso) VALUES (</v>
      </c>
      <c r="L1" s="11" t="s">
        <v>3</v>
      </c>
    </row>
    <row r="2" spans="1:12" ht="130.5" x14ac:dyDescent="0.35">
      <c r="A2" s="7">
        <v>1001</v>
      </c>
      <c r="B2" s="6" t="s">
        <v>5</v>
      </c>
      <c r="C2" t="s">
        <v>7</v>
      </c>
      <c r="D2" s="7" t="s">
        <v>579</v>
      </c>
      <c r="E2" s="7" t="s">
        <v>1149</v>
      </c>
      <c r="F2" t="s">
        <v>1151</v>
      </c>
      <c r="G2" s="7" t="s">
        <v>1723</v>
      </c>
      <c r="H2" t="s">
        <v>1736</v>
      </c>
      <c r="I2" t="s">
        <v>1743</v>
      </c>
      <c r="J2" t="s">
        <v>1786</v>
      </c>
      <c r="K2" s="2" t="str">
        <f>CONCATENATE(A2,",'",B2,"','",C2,"','",D2,"','",E2,"','",F2,"','",G2,"','",H2,"','",UPPER(I2),"','",UPPER(J2),"','',0,0,'','ALUMNO'")</f>
        <v>1001,'LICENCIATURA','david.arechederratrejo','006890','TOMAR DEL SND','ARECHEDERRA TREJO DAVID','INGENIERIA CIBERNETICA Y EN SISTEMAS COMPUTACIONALES','9no','MASCULINO','ACTIVO','',0,0,'','ALUMNO'</v>
      </c>
      <c r="L2" s="10" t="str">
        <f t="shared" ref="L2:L65" si="0">CONCATENATE($K$1,K2,");")</f>
        <v>INSERT INTO participantes (id,nivel,correo,matricula,clave,nombre,carrera,grado,sexo,situacion,evaluados,num_evaluados,total_evaluaciones,ultimo_acceso,nivel_acceso) VALUES (1001,'LICENCIATURA','david.arechederratrejo','006890','TOMAR DEL SND','ARECHEDERRA TREJO DAVID','INGENIERIA CIBERNETICA Y EN SISTEMAS COMPUTACIONALES','9no','MASCULINO','ACTIVO','',0,0,'','ALUMNO');</v>
      </c>
    </row>
    <row r="3" spans="1:12" ht="130.5" x14ac:dyDescent="0.35">
      <c r="A3" s="7">
        <v>1002</v>
      </c>
      <c r="B3" s="6" t="s">
        <v>5</v>
      </c>
      <c r="C3" t="s">
        <v>8</v>
      </c>
      <c r="D3" s="7" t="s">
        <v>580</v>
      </c>
      <c r="E3" s="7" t="s">
        <v>1149</v>
      </c>
      <c r="F3" t="s">
        <v>1152</v>
      </c>
      <c r="G3" s="7" t="s">
        <v>1724</v>
      </c>
      <c r="H3" t="s">
        <v>1736</v>
      </c>
      <c r="I3" t="s">
        <v>1744</v>
      </c>
      <c r="J3" t="s">
        <v>1786</v>
      </c>
      <c r="K3" s="2" t="str">
        <f t="shared" ref="K3:K66" si="1">CONCATENATE(A3,",'",B3,"','",C3,"','",D3,"','",E3,"','",F3,"','",G3,"','",H3,"','",UPPER(I3),"','",UPPER(J3),"','',0,0,'','ALUMNO'")</f>
        <v>1002,'LICENCIATURA','lillianrebeca.barriossandoval','007079','TOMAR DEL SND','BARRIOS SANDOVAL LILLIAN REBECA','NUTRICION Y GASTRONOMIA','9no','FEMENINO','ACTIVO','',0,0,'','ALUMNO'</v>
      </c>
      <c r="L3" s="10" t="str">
        <f t="shared" si="0"/>
        <v>INSERT INTO participantes (id,nivel,correo,matricula,clave,nombre,carrera,grado,sexo,situacion,evaluados,num_evaluados,total_evaluaciones,ultimo_acceso,nivel_acceso) VALUES (1002,'LICENCIATURA','lillianrebeca.barriossandoval','007079','TOMAR DEL SND','BARRIOS SANDOVAL LILLIAN REBECA','NUTRICION Y GASTRONOMIA','9no','FEMENINO','ACTIVO','',0,0,'','ALUMNO');</v>
      </c>
    </row>
    <row r="4" spans="1:12" ht="130.5" x14ac:dyDescent="0.35">
      <c r="A4" s="7">
        <v>1003</v>
      </c>
      <c r="B4" s="6" t="s">
        <v>5</v>
      </c>
      <c r="C4" t="s">
        <v>9</v>
      </c>
      <c r="D4" s="7" t="s">
        <v>581</v>
      </c>
      <c r="E4" s="7" t="s">
        <v>1149</v>
      </c>
      <c r="F4" t="s">
        <v>1153</v>
      </c>
      <c r="G4" s="7" t="s">
        <v>1723</v>
      </c>
      <c r="H4" t="s">
        <v>1736</v>
      </c>
      <c r="I4" t="s">
        <v>1744</v>
      </c>
      <c r="J4" t="s">
        <v>1786</v>
      </c>
      <c r="K4" s="2" t="str">
        <f t="shared" si="1"/>
        <v>1003,'LICENCIATURA','valeria.bañuelosmonteverde','007093','TOMAR DEL SND','BAÑUELOS MONTEVERDE VALERIA','INGENIERIA CIBERNETICA Y EN SISTEMAS COMPUTACIONALES','9no','FEMENINO','ACTIVO','',0,0,'','ALUMNO'</v>
      </c>
      <c r="L4" s="10" t="str">
        <f t="shared" si="0"/>
        <v>INSERT INTO participantes (id,nivel,correo,matricula,clave,nombre,carrera,grado,sexo,situacion,evaluados,num_evaluados,total_evaluaciones,ultimo_acceso,nivel_acceso) VALUES (1003,'LICENCIATURA','valeria.bañuelosmonteverde','007093','TOMAR DEL SND','BAÑUELOS MONTEVERDE VALERIA','INGENIERIA CIBERNETICA Y EN SISTEMAS COMPUTACIONALES','9no','FEMENINO','ACTIVO','',0,0,'','ALUMNO');</v>
      </c>
    </row>
    <row r="5" spans="1:12" ht="130.5" x14ac:dyDescent="0.35">
      <c r="A5" s="7">
        <v>1004</v>
      </c>
      <c r="B5" s="6" t="s">
        <v>5</v>
      </c>
      <c r="C5" t="s">
        <v>10</v>
      </c>
      <c r="D5" s="7" t="s">
        <v>582</v>
      </c>
      <c r="E5" s="7" t="s">
        <v>1149</v>
      </c>
      <c r="F5" t="s">
        <v>1154</v>
      </c>
      <c r="G5" s="7" t="s">
        <v>1725</v>
      </c>
      <c r="H5" t="s">
        <v>1736</v>
      </c>
      <c r="I5" t="s">
        <v>1743</v>
      </c>
      <c r="J5" t="s">
        <v>1786</v>
      </c>
      <c r="K5" s="2" t="str">
        <f t="shared" si="1"/>
        <v>1004,'LICENCIATURA','angel.escalonabueno','007113','TOMAR DEL SND','ESCALONA BUENO ANGEL','INGENIERIA AEROESPACIAL','9no','MASCULINO','ACTIVO','',0,0,'','ALUMNO'</v>
      </c>
      <c r="L5" s="10" t="str">
        <f t="shared" si="0"/>
        <v>INSERT INTO participantes (id,nivel,correo,matricula,clave,nombre,carrera,grado,sexo,situacion,evaluados,num_evaluados,total_evaluaciones,ultimo_acceso,nivel_acceso) VALUES (1004,'LICENCIATURA','angel.escalonabueno','007113','TOMAR DEL SND','ESCALONA BUENO ANGEL','INGENIERIA AEROESPACIAL','9no','MASCULINO','ACTIVO','',0,0,'','ALUMNO');</v>
      </c>
    </row>
    <row r="6" spans="1:12" ht="130.5" x14ac:dyDescent="0.35">
      <c r="A6" s="7">
        <v>1005</v>
      </c>
      <c r="B6" s="6" t="s">
        <v>5</v>
      </c>
      <c r="C6" t="s">
        <v>11</v>
      </c>
      <c r="D6" s="7" t="s">
        <v>583</v>
      </c>
      <c r="E6" s="7" t="s">
        <v>1149</v>
      </c>
      <c r="F6" t="s">
        <v>1155</v>
      </c>
      <c r="G6" s="7" t="s">
        <v>1726</v>
      </c>
      <c r="H6" t="s">
        <v>1737</v>
      </c>
      <c r="I6" t="s">
        <v>1744</v>
      </c>
      <c r="J6" t="s">
        <v>1786</v>
      </c>
      <c r="K6" s="2" t="str">
        <f t="shared" si="1"/>
        <v>1005,'LICENCIATURA','aranzasinhai.alvaradomoreno','007290','TOMAR DEL SND','ALVARADO MORENO ARANZA SINHAI','PSICOLOGIA','5to','FEMENINO','ACTIVO','',0,0,'','ALUMNO'</v>
      </c>
      <c r="L6" s="10" t="str">
        <f t="shared" si="0"/>
        <v>INSERT INTO participantes (id,nivel,correo,matricula,clave,nombre,carrera,grado,sexo,situacion,evaluados,num_evaluados,total_evaluaciones,ultimo_acceso,nivel_acceso) VALUES (1005,'LICENCIATURA','aranzasinhai.alvaradomoreno','007290','TOMAR DEL SND','ALVARADO MORENO ARANZA SINHAI','PSICOLOGIA','5to','FEMENINO','ACTIVO','',0,0,'','ALUMNO');</v>
      </c>
    </row>
    <row r="7" spans="1:12" ht="130.5" x14ac:dyDescent="0.35">
      <c r="A7" s="7">
        <v>1006</v>
      </c>
      <c r="B7" s="6" t="s">
        <v>5</v>
      </c>
      <c r="C7" t="s">
        <v>12</v>
      </c>
      <c r="D7" s="7" t="s">
        <v>584</v>
      </c>
      <c r="E7" s="7" t="s">
        <v>1149</v>
      </c>
      <c r="F7" t="s">
        <v>1156</v>
      </c>
      <c r="G7" s="7" t="s">
        <v>1727</v>
      </c>
      <c r="H7" t="s">
        <v>1738</v>
      </c>
      <c r="I7" t="s">
        <v>1743</v>
      </c>
      <c r="J7" t="s">
        <v>1786</v>
      </c>
      <c r="K7" s="2" t="str">
        <f t="shared" si="1"/>
        <v>1006,'LICENCIATURA','luisfernando.ochoafonseca','007359','TOMAR DEL SND','OCHOA FONSECA LUIS FERNANDO','ADMINISTRACION Y DIRECCION DE NEGOCIOS','7mo','MASCULINO','ACTIVO','',0,0,'','ALUMNO'</v>
      </c>
      <c r="L7" s="10" t="str">
        <f t="shared" si="0"/>
        <v>INSERT INTO participantes (id,nivel,correo,matricula,clave,nombre,carrera,grado,sexo,situacion,evaluados,num_evaluados,total_evaluaciones,ultimo_acceso,nivel_acceso) VALUES (1006,'LICENCIATURA','luisfernando.ochoafonseca','007359','TOMAR DEL SND','OCHOA FONSECA LUIS FERNANDO','ADMINISTRACION Y DIRECCION DE NEGOCIOS','7mo','MASCULINO','ACTIVO','',0,0,'','ALUMNO');</v>
      </c>
    </row>
    <row r="8" spans="1:12" ht="130.5" x14ac:dyDescent="0.35">
      <c r="A8" s="7">
        <v>1007</v>
      </c>
      <c r="B8" s="6" t="s">
        <v>5</v>
      </c>
      <c r="C8" t="s">
        <v>13</v>
      </c>
      <c r="D8" s="7" t="s">
        <v>585</v>
      </c>
      <c r="E8" s="7" t="s">
        <v>1149</v>
      </c>
      <c r="F8" t="s">
        <v>1157</v>
      </c>
      <c r="G8" s="7" t="s">
        <v>1723</v>
      </c>
      <c r="H8" t="s">
        <v>1736</v>
      </c>
      <c r="I8" t="s">
        <v>1743</v>
      </c>
      <c r="J8" t="s">
        <v>1786</v>
      </c>
      <c r="K8" s="2" t="str">
        <f t="shared" si="1"/>
        <v>1007,'LICENCIATURA','elias.leonardorivera','007424','TOMAR DEL SND','LEONARDO RIVERA ELIAS','INGENIERIA CIBERNETICA Y EN SISTEMAS COMPUTACIONALES','9no','MASCULINO','ACTIVO','',0,0,'','ALUMNO'</v>
      </c>
      <c r="L8" s="10" t="str">
        <f t="shared" si="0"/>
        <v>INSERT INTO participantes (id,nivel,correo,matricula,clave,nombre,carrera,grado,sexo,situacion,evaluados,num_evaluados,total_evaluaciones,ultimo_acceso,nivel_acceso) VALUES (1007,'LICENCIATURA','elias.leonardorivera','007424','TOMAR DEL SND','LEONARDO RIVERA ELIAS','INGENIERIA CIBERNETICA Y EN SISTEMAS COMPUTACIONALES','9no','MASCULINO','ACTIVO','',0,0,'','ALUMNO');</v>
      </c>
    </row>
    <row r="9" spans="1:12" ht="130.5" x14ac:dyDescent="0.35">
      <c r="A9" s="7">
        <v>1008</v>
      </c>
      <c r="B9" s="6" t="s">
        <v>5</v>
      </c>
      <c r="C9" t="s">
        <v>14</v>
      </c>
      <c r="D9" s="7" t="s">
        <v>586</v>
      </c>
      <c r="E9" s="7" t="s">
        <v>1149</v>
      </c>
      <c r="F9" t="s">
        <v>1158</v>
      </c>
      <c r="G9" s="7" t="s">
        <v>1728</v>
      </c>
      <c r="H9" t="s">
        <v>1738</v>
      </c>
      <c r="I9" t="s">
        <v>1743</v>
      </c>
      <c r="J9" t="s">
        <v>1786</v>
      </c>
      <c r="K9" s="2" t="str">
        <f t="shared" si="1"/>
        <v>1008,'LICENCIATURA','guillermokaleb.araujovargas','007486','TOMAR DEL SND','ARAUJO VARGAS GUILLERMO KALEB','INGENIERIA INDUSTRIAL Y EN SISTEMAS ORGANIZACIONALES','7mo','MASCULINO','ACTIVO','',0,0,'','ALUMNO'</v>
      </c>
      <c r="L9" s="10" t="str">
        <f t="shared" si="0"/>
        <v>INSERT INTO participantes (id,nivel,correo,matricula,clave,nombre,carrera,grado,sexo,situacion,evaluados,num_evaluados,total_evaluaciones,ultimo_acceso,nivel_acceso) VALUES (1008,'LICENCIATURA','guillermokaleb.araujovargas','007486','TOMAR DEL SND','ARAUJO VARGAS GUILLERMO KALEB','INGENIERIA INDUSTRIAL Y EN SISTEMAS ORGANIZACIONALES','7mo','MASCULINO','ACTIVO','',0,0,'','ALUMNO');</v>
      </c>
    </row>
    <row r="10" spans="1:12" ht="130.5" x14ac:dyDescent="0.35">
      <c r="A10" s="7">
        <v>1009</v>
      </c>
      <c r="B10" s="6" t="s">
        <v>5</v>
      </c>
      <c r="C10" t="s">
        <v>15</v>
      </c>
      <c r="D10" s="7" t="s">
        <v>587</v>
      </c>
      <c r="E10" s="7" t="s">
        <v>1149</v>
      </c>
      <c r="F10" t="s">
        <v>1159</v>
      </c>
      <c r="G10" s="7" t="s">
        <v>1725</v>
      </c>
      <c r="H10" t="s">
        <v>1738</v>
      </c>
      <c r="I10" t="s">
        <v>1743</v>
      </c>
      <c r="J10" t="s">
        <v>1786</v>
      </c>
      <c r="K10" s="2" t="str">
        <f t="shared" si="1"/>
        <v>1009,'LICENCIATURA','oscarosvaldo.ballesterosgalvan','007492','TOMAR DEL SND','BALLESTEROS GALVAN OSCAR OSVALDO','INGENIERIA AEROESPACIAL','7mo','MASCULINO','ACTIVO','',0,0,'','ALUMNO'</v>
      </c>
      <c r="L10" s="10" t="str">
        <f t="shared" si="0"/>
        <v>INSERT INTO participantes (id,nivel,correo,matricula,clave,nombre,carrera,grado,sexo,situacion,evaluados,num_evaluados,total_evaluaciones,ultimo_acceso,nivel_acceso) VALUES (1009,'LICENCIATURA','oscarosvaldo.ballesterosgalvan','007492','TOMAR DEL SND','BALLESTEROS GALVAN OSCAR OSVALDO','INGENIERIA AEROESPACIAL','7mo','MASCULINO','ACTIVO','',0,0,'','ALUMNO');</v>
      </c>
    </row>
    <row r="11" spans="1:12" ht="130.5" x14ac:dyDescent="0.35">
      <c r="A11" s="7">
        <v>1010</v>
      </c>
      <c r="B11" s="6" t="s">
        <v>5</v>
      </c>
      <c r="C11" t="s">
        <v>16</v>
      </c>
      <c r="D11" s="7" t="s">
        <v>588</v>
      </c>
      <c r="E11" s="7" t="s">
        <v>1149</v>
      </c>
      <c r="F11" t="s">
        <v>1160</v>
      </c>
      <c r="G11" s="7" t="s">
        <v>1724</v>
      </c>
      <c r="H11" t="s">
        <v>1738</v>
      </c>
      <c r="I11" t="s">
        <v>1744</v>
      </c>
      <c r="J11" t="s">
        <v>1786</v>
      </c>
      <c r="K11" s="2" t="str">
        <f t="shared" si="1"/>
        <v>1010,'LICENCIATURA','mariafernanda.domingueznieblas','007514','TOMAR DEL SND','DOMINGUEZ NIEBLAS MARIA FERNANDA','NUTRICION Y GASTRONOMIA','7mo','FEMENINO','ACTIVO','',0,0,'','ALUMNO'</v>
      </c>
      <c r="L11" s="10" t="str">
        <f t="shared" si="0"/>
        <v>INSERT INTO participantes (id,nivel,correo,matricula,clave,nombre,carrera,grado,sexo,situacion,evaluados,num_evaluados,total_evaluaciones,ultimo_acceso,nivel_acceso) VALUES (1010,'LICENCIATURA','mariafernanda.domingueznieblas','007514','TOMAR DEL SND','DOMINGUEZ NIEBLAS MARIA FERNANDA','NUTRICION Y GASTRONOMIA','7mo','FEMENINO','ACTIVO','',0,0,'','ALUMNO');</v>
      </c>
    </row>
    <row r="12" spans="1:12" ht="130.5" x14ac:dyDescent="0.35">
      <c r="A12" s="7">
        <v>1011</v>
      </c>
      <c r="B12" s="6" t="s">
        <v>5</v>
      </c>
      <c r="C12" t="s">
        <v>17</v>
      </c>
      <c r="D12" s="7" t="s">
        <v>589</v>
      </c>
      <c r="E12" s="7" t="s">
        <v>1149</v>
      </c>
      <c r="F12" t="s">
        <v>1161</v>
      </c>
      <c r="G12" s="7" t="s">
        <v>1729</v>
      </c>
      <c r="H12" t="s">
        <v>1738</v>
      </c>
      <c r="I12" t="s">
        <v>1744</v>
      </c>
      <c r="J12" t="s">
        <v>1786</v>
      </c>
      <c r="K12" s="2" t="str">
        <f t="shared" si="1"/>
        <v>1011,'LICENCIATURA','marianaitzel.floresramirez','007521','TOMAR DEL SND','FLORES RAMIREZ MARIANA ITZEL','ARQUITECTURA','7mo','FEMENINO','ACTIVO','',0,0,'','ALUMNO'</v>
      </c>
      <c r="L12" s="10" t="str">
        <f t="shared" si="0"/>
        <v>INSERT INTO participantes (id,nivel,correo,matricula,clave,nombre,carrera,grado,sexo,situacion,evaluados,num_evaluados,total_evaluaciones,ultimo_acceso,nivel_acceso) VALUES (1011,'LICENCIATURA','marianaitzel.floresramirez','007521','TOMAR DEL SND','FLORES RAMIREZ MARIANA ITZEL','ARQUITECTURA','7mo','FEMENINO','ACTIVO','',0,0,'','ALUMNO');</v>
      </c>
    </row>
    <row r="13" spans="1:12" ht="130.5" x14ac:dyDescent="0.35">
      <c r="A13" s="7">
        <v>1012</v>
      </c>
      <c r="B13" s="6" t="s">
        <v>5</v>
      </c>
      <c r="C13" t="s">
        <v>18</v>
      </c>
      <c r="D13" s="7" t="s">
        <v>590</v>
      </c>
      <c r="E13" s="7" t="s">
        <v>1149</v>
      </c>
      <c r="F13" t="s">
        <v>1162</v>
      </c>
      <c r="G13" s="7" t="s">
        <v>1728</v>
      </c>
      <c r="H13" t="s">
        <v>1738</v>
      </c>
      <c r="I13" t="s">
        <v>1744</v>
      </c>
      <c r="J13" t="s">
        <v>1786</v>
      </c>
      <c r="K13" s="2" t="str">
        <f t="shared" si="1"/>
        <v>1012,'LICENCIATURA','patricia.pereztorres','007595','TOMAR DEL SND','PEREZ TORRES PATRICIA','INGENIERIA INDUSTRIAL Y EN SISTEMAS ORGANIZACIONALES','7mo','FEMENINO','ACTIVO','',0,0,'','ALUMNO'</v>
      </c>
      <c r="L13" s="10" t="str">
        <f t="shared" si="0"/>
        <v>INSERT INTO participantes (id,nivel,correo,matricula,clave,nombre,carrera,grado,sexo,situacion,evaluados,num_evaluados,total_evaluaciones,ultimo_acceso,nivel_acceso) VALUES (1012,'LICENCIATURA','patricia.pereztorres','007595','TOMAR DEL SND','PEREZ TORRES PATRICIA','INGENIERIA INDUSTRIAL Y EN SISTEMAS ORGANIZACIONALES','7mo','FEMENINO','ACTIVO','',0,0,'','ALUMNO');</v>
      </c>
    </row>
    <row r="14" spans="1:12" ht="130.5" x14ac:dyDescent="0.35">
      <c r="A14" s="7">
        <v>1013</v>
      </c>
      <c r="B14" s="6" t="s">
        <v>5</v>
      </c>
      <c r="C14" t="s">
        <v>19</v>
      </c>
      <c r="D14" s="7" t="s">
        <v>591</v>
      </c>
      <c r="E14" s="7" t="s">
        <v>1149</v>
      </c>
      <c r="F14" t="s">
        <v>1163</v>
      </c>
      <c r="G14" s="7" t="s">
        <v>1730</v>
      </c>
      <c r="H14" t="s">
        <v>1738</v>
      </c>
      <c r="I14" t="s">
        <v>1744</v>
      </c>
      <c r="J14" t="s">
        <v>1786</v>
      </c>
      <c r="K14" s="2" t="str">
        <f t="shared" si="1"/>
        <v>1013,'LICENCIATURA','monicaalejandra.gonzalezblanco','007662','TOMAR DEL SND','GONZALEZ BLANCO MONICA ALEJANDRA','ANIMACION DIGITAL Y VIDEOJUEGOS','7mo','FEMENINO','ACTIVO','',0,0,'','ALUMNO'</v>
      </c>
      <c r="L14" s="10" t="str">
        <f t="shared" si="0"/>
        <v>INSERT INTO participantes (id,nivel,correo,matricula,clave,nombre,carrera,grado,sexo,situacion,evaluados,num_evaluados,total_evaluaciones,ultimo_acceso,nivel_acceso) VALUES (1013,'LICENCIATURA','monicaalejandra.gonzalezblanco','007662','TOMAR DEL SND','GONZALEZ BLANCO MONICA ALEJANDRA','ANIMACION DIGITAL Y VIDEOJUEGOS','7mo','FEMENINO','ACTIVO','',0,0,'','ALUMNO');</v>
      </c>
    </row>
    <row r="15" spans="1:12" ht="130.5" x14ac:dyDescent="0.35">
      <c r="A15" s="7">
        <v>1014</v>
      </c>
      <c r="B15" s="6" t="s">
        <v>5</v>
      </c>
      <c r="C15" t="s">
        <v>20</v>
      </c>
      <c r="D15" s="7" t="s">
        <v>592</v>
      </c>
      <c r="E15" s="7" t="s">
        <v>1149</v>
      </c>
      <c r="F15" t="s">
        <v>1164</v>
      </c>
      <c r="G15" s="7" t="s">
        <v>1728</v>
      </c>
      <c r="H15" t="s">
        <v>1738</v>
      </c>
      <c r="I15" t="s">
        <v>1744</v>
      </c>
      <c r="J15" t="s">
        <v>1786</v>
      </c>
      <c r="K15" s="2" t="str">
        <f t="shared" si="1"/>
        <v>1014,'LICENCIATURA','dafnegalilea.leonardorivera','007663','TOMAR DEL SND','LEONARDO RIVERA DAFNE GALILEA','INGENIERIA INDUSTRIAL Y EN SISTEMAS ORGANIZACIONALES','7mo','FEMENINO','ACTIVO','',0,0,'','ALUMNO'</v>
      </c>
      <c r="L15" s="10" t="str">
        <f t="shared" si="0"/>
        <v>INSERT INTO participantes (id,nivel,correo,matricula,clave,nombre,carrera,grado,sexo,situacion,evaluados,num_evaluados,total_evaluaciones,ultimo_acceso,nivel_acceso) VALUES (1014,'LICENCIATURA','dafnegalilea.leonardorivera','007663','TOMAR DEL SND','LEONARDO RIVERA DAFNE GALILEA','INGENIERIA INDUSTRIAL Y EN SISTEMAS ORGANIZACIONALES','7mo','FEMENINO','ACTIVO','',0,0,'','ALUMNO');</v>
      </c>
    </row>
    <row r="16" spans="1:12" ht="130.5" x14ac:dyDescent="0.35">
      <c r="A16" s="7">
        <v>1015</v>
      </c>
      <c r="B16" s="6" t="s">
        <v>5</v>
      </c>
      <c r="C16" t="s">
        <v>21</v>
      </c>
      <c r="D16" s="7" t="s">
        <v>593</v>
      </c>
      <c r="E16" s="7" t="s">
        <v>1149</v>
      </c>
      <c r="F16" t="s">
        <v>1165</v>
      </c>
      <c r="G16" s="7" t="s">
        <v>1724</v>
      </c>
      <c r="H16" t="s">
        <v>1737</v>
      </c>
      <c r="I16" t="s">
        <v>1744</v>
      </c>
      <c r="J16" t="s">
        <v>1786</v>
      </c>
      <c r="K16" s="2" t="str">
        <f t="shared" si="1"/>
        <v>1015,'LICENCIATURA','mariafernanda.sandovalrodriguez','007756','TOMAR DEL SND','SANDOVAL RODRIGUEZ MARIA FERNANDA','NUTRICION Y GASTRONOMIA','5to','FEMENINO','ACTIVO','',0,0,'','ALUMNO'</v>
      </c>
      <c r="L16" s="10" t="str">
        <f t="shared" si="0"/>
        <v>INSERT INTO participantes (id,nivel,correo,matricula,clave,nombre,carrera,grado,sexo,situacion,evaluados,num_evaluados,total_evaluaciones,ultimo_acceso,nivel_acceso) VALUES (1015,'LICENCIATURA','mariafernanda.sandovalrodriguez','007756','TOMAR DEL SND','SANDOVAL RODRIGUEZ MARIA FERNANDA','NUTRICION Y GASTRONOMIA','5to','FEMENINO','ACTIVO','',0,0,'','ALUMNO');</v>
      </c>
    </row>
    <row r="17" spans="1:12" ht="130.5" x14ac:dyDescent="0.35">
      <c r="A17" s="7">
        <v>1016</v>
      </c>
      <c r="B17" s="6" t="s">
        <v>5</v>
      </c>
      <c r="C17" t="s">
        <v>22</v>
      </c>
      <c r="D17" s="7" t="s">
        <v>594</v>
      </c>
      <c r="E17" s="7" t="s">
        <v>1149</v>
      </c>
      <c r="F17" t="s">
        <v>1166</v>
      </c>
      <c r="G17" s="7" t="s">
        <v>1730</v>
      </c>
      <c r="H17" t="s">
        <v>1737</v>
      </c>
      <c r="I17" t="s">
        <v>1743</v>
      </c>
      <c r="J17" t="s">
        <v>1786</v>
      </c>
      <c r="K17" s="2" t="str">
        <f t="shared" si="1"/>
        <v>1016,'LICENCIATURA','pedroiker.solaeguihernandez','007758','TOMAR DEL SND','SOLAEGUI HERNANDEZ PEDRO IKER','ANIMACION DIGITAL Y VIDEOJUEGOS','5to','MASCULINO','ACTIVO','',0,0,'','ALUMNO'</v>
      </c>
      <c r="L17" s="10" t="str">
        <f t="shared" si="0"/>
        <v>INSERT INTO participantes (id,nivel,correo,matricula,clave,nombre,carrera,grado,sexo,situacion,evaluados,num_evaluados,total_evaluaciones,ultimo_acceso,nivel_acceso) VALUES (1016,'LICENCIATURA','pedroiker.solaeguihernandez','007758','TOMAR DEL SND','SOLAEGUI HERNANDEZ PEDRO IKER','ANIMACION DIGITAL Y VIDEOJUEGOS','5to','MASCULINO','ACTIVO','',0,0,'','ALUMNO');</v>
      </c>
    </row>
    <row r="18" spans="1:12" ht="130.5" x14ac:dyDescent="0.35">
      <c r="A18" s="7">
        <v>1017</v>
      </c>
      <c r="B18" s="6" t="s">
        <v>5</v>
      </c>
      <c r="C18" t="s">
        <v>23</v>
      </c>
      <c r="D18" s="7" t="s">
        <v>595</v>
      </c>
      <c r="E18" s="7" t="s">
        <v>1149</v>
      </c>
      <c r="F18" t="s">
        <v>1167</v>
      </c>
      <c r="G18" s="7" t="s">
        <v>1730</v>
      </c>
      <c r="H18" t="s">
        <v>1737</v>
      </c>
      <c r="I18" t="s">
        <v>1744</v>
      </c>
      <c r="J18" t="s">
        <v>1786</v>
      </c>
      <c r="K18" s="2" t="str">
        <f t="shared" si="1"/>
        <v>1017,'LICENCIATURA','julieta.tejedadavalos','007760','TOMAR DEL SND','TEJEDA DAVALOS JULIETA','ANIMACION DIGITAL Y VIDEOJUEGOS','5to','FEMENINO','ACTIVO','',0,0,'','ALUMNO'</v>
      </c>
      <c r="L18" s="10" t="str">
        <f t="shared" si="0"/>
        <v>INSERT INTO participantes (id,nivel,correo,matricula,clave,nombre,carrera,grado,sexo,situacion,evaluados,num_evaluados,total_evaluaciones,ultimo_acceso,nivel_acceso) VALUES (1017,'LICENCIATURA','julieta.tejedadavalos','007760','TOMAR DEL SND','TEJEDA DAVALOS JULIETA','ANIMACION DIGITAL Y VIDEOJUEGOS','5to','FEMENINO','ACTIVO','',0,0,'','ALUMNO');</v>
      </c>
    </row>
    <row r="19" spans="1:12" ht="130.5" x14ac:dyDescent="0.35">
      <c r="A19" s="7">
        <v>1018</v>
      </c>
      <c r="B19" s="6" t="s">
        <v>5</v>
      </c>
      <c r="C19" t="s">
        <v>24</v>
      </c>
      <c r="D19" s="7" t="s">
        <v>596</v>
      </c>
      <c r="E19" s="7" t="s">
        <v>1149</v>
      </c>
      <c r="F19" t="s">
        <v>1168</v>
      </c>
      <c r="G19" s="7" t="s">
        <v>1729</v>
      </c>
      <c r="H19" t="s">
        <v>1737</v>
      </c>
      <c r="I19" t="s">
        <v>1743</v>
      </c>
      <c r="J19" t="s">
        <v>1786</v>
      </c>
      <c r="K19" s="2" t="str">
        <f t="shared" si="1"/>
        <v>1018,'LICENCIATURA','leonardo.villavicenciooceguera','007767','TOMAR DEL SND','VILLAVICENCIO OCEGUERA LEONARDO','ARQUITECTURA','5to','MASCULINO','ACTIVO','',0,0,'','ALUMNO'</v>
      </c>
      <c r="L19" s="10" t="str">
        <f t="shared" si="0"/>
        <v>INSERT INTO participantes (id,nivel,correo,matricula,clave,nombre,carrera,grado,sexo,situacion,evaluados,num_evaluados,total_evaluaciones,ultimo_acceso,nivel_acceso) VALUES (1018,'LICENCIATURA','leonardo.villavicenciooceguera','007767','TOMAR DEL SND','VILLAVICENCIO OCEGUERA LEONARDO','ARQUITECTURA','5to','MASCULINO','ACTIVO','',0,0,'','ALUMNO');</v>
      </c>
    </row>
    <row r="20" spans="1:12" ht="130.5" x14ac:dyDescent="0.35">
      <c r="A20" s="7">
        <v>1019</v>
      </c>
      <c r="B20" s="6" t="s">
        <v>5</v>
      </c>
      <c r="C20" t="s">
        <v>25</v>
      </c>
      <c r="D20" s="7" t="s">
        <v>597</v>
      </c>
      <c r="E20" s="7" t="s">
        <v>1149</v>
      </c>
      <c r="F20" t="s">
        <v>1169</v>
      </c>
      <c r="G20" s="7" t="s">
        <v>1729</v>
      </c>
      <c r="H20" t="s">
        <v>1739</v>
      </c>
      <c r="I20" t="s">
        <v>1744</v>
      </c>
      <c r="J20" t="s">
        <v>1786</v>
      </c>
      <c r="K20" s="2" t="str">
        <f t="shared" si="1"/>
        <v>1019,'LICENCIATURA','karimeanahi.riverabalbuena','007936','TOMAR DEL SND','RIVERA BALBUENA KARIME ANAHI','ARQUITECTURA','3ro','FEMENINO','ACTIVO','',0,0,'','ALUMNO'</v>
      </c>
      <c r="L20" s="10" t="str">
        <f t="shared" si="0"/>
        <v>INSERT INTO participantes (id,nivel,correo,matricula,clave,nombre,carrera,grado,sexo,situacion,evaluados,num_evaluados,total_evaluaciones,ultimo_acceso,nivel_acceso) VALUES (1019,'LICENCIATURA','karimeanahi.riverabalbuena','007936','TOMAR DEL SND','RIVERA BALBUENA KARIME ANAHI','ARQUITECTURA','3ro','FEMENINO','ACTIVO','',0,0,'','ALUMNO');</v>
      </c>
    </row>
    <row r="21" spans="1:12" ht="130.5" x14ac:dyDescent="0.35">
      <c r="A21" s="7">
        <v>1020</v>
      </c>
      <c r="B21" s="6" t="s">
        <v>5</v>
      </c>
      <c r="C21" t="s">
        <v>26</v>
      </c>
      <c r="D21" s="7" t="s">
        <v>598</v>
      </c>
      <c r="E21" s="7" t="s">
        <v>1149</v>
      </c>
      <c r="F21" t="s">
        <v>1170</v>
      </c>
      <c r="G21" s="7" t="s">
        <v>1726</v>
      </c>
      <c r="H21" t="s">
        <v>1737</v>
      </c>
      <c r="I21" t="s">
        <v>1744</v>
      </c>
      <c r="J21" t="s">
        <v>1786</v>
      </c>
      <c r="K21" s="2" t="str">
        <f t="shared" si="1"/>
        <v>1020,'LICENCIATURA','astridavril.bernalmontañez','007948','TOMAR DEL SND','BERNAL MONTAÑEZ ASTRID AVRIL','PSICOLOGIA','5to','FEMENINO','ACTIVO','',0,0,'','ALUMNO'</v>
      </c>
      <c r="L21" s="10" t="str">
        <f t="shared" si="0"/>
        <v>INSERT INTO participantes (id,nivel,correo,matricula,clave,nombre,carrera,grado,sexo,situacion,evaluados,num_evaluados,total_evaluaciones,ultimo_acceso,nivel_acceso) VALUES (1020,'LICENCIATURA','astridavril.bernalmontañez','007948','TOMAR DEL SND','BERNAL MONTAÑEZ ASTRID AVRIL','PSICOLOGIA','5to','FEMENINO','ACTIVO','',0,0,'','ALUMNO');</v>
      </c>
    </row>
    <row r="22" spans="1:12" ht="130.5" x14ac:dyDescent="0.35">
      <c r="A22" s="7">
        <v>1021</v>
      </c>
      <c r="B22" s="6" t="s">
        <v>5</v>
      </c>
      <c r="C22" t="s">
        <v>27</v>
      </c>
      <c r="D22" s="7" t="s">
        <v>599</v>
      </c>
      <c r="E22" s="7" t="s">
        <v>1149</v>
      </c>
      <c r="F22" t="s">
        <v>1171</v>
      </c>
      <c r="G22" s="7" t="s">
        <v>1729</v>
      </c>
      <c r="H22" t="s">
        <v>1740</v>
      </c>
      <c r="I22" t="s">
        <v>1743</v>
      </c>
      <c r="J22" t="s">
        <v>1786</v>
      </c>
      <c r="K22" s="2" t="str">
        <f t="shared" si="1"/>
        <v>1021,'LICENCIATURA','jorgeenrique.robledosanchez','008250','TOMAR DEL SND','ROBLEDO SANCHEZ JORGE ENRIQUE','ARQUITECTURA','1ro','MASCULINO','ACTIVO','',0,0,'','ALUMNO'</v>
      </c>
      <c r="L22" s="10" t="str">
        <f t="shared" si="0"/>
        <v>INSERT INTO participantes (id,nivel,correo,matricula,clave,nombre,carrera,grado,sexo,situacion,evaluados,num_evaluados,total_evaluaciones,ultimo_acceso,nivel_acceso) VALUES (1021,'LICENCIATURA','jorgeenrique.robledosanchez','008250','TOMAR DEL SND','ROBLEDO SANCHEZ JORGE ENRIQUE','ARQUITECTURA','1ro','MASCULINO','ACTIVO','',0,0,'','ALUMNO');</v>
      </c>
    </row>
    <row r="23" spans="1:12" ht="130.5" x14ac:dyDescent="0.35">
      <c r="A23" s="7">
        <v>1022</v>
      </c>
      <c r="B23" s="6" t="s">
        <v>5</v>
      </c>
      <c r="C23" t="s">
        <v>28</v>
      </c>
      <c r="D23" s="7" t="s">
        <v>600</v>
      </c>
      <c r="E23" s="7" t="s">
        <v>1149</v>
      </c>
      <c r="F23" t="s">
        <v>1172</v>
      </c>
      <c r="G23" s="7" t="s">
        <v>1729</v>
      </c>
      <c r="H23" t="s">
        <v>1739</v>
      </c>
      <c r="I23" t="s">
        <v>1743</v>
      </c>
      <c r="J23" t="s">
        <v>1786</v>
      </c>
      <c r="K23" s="2" t="str">
        <f t="shared" si="1"/>
        <v>1022,'LICENCIATURA','alejandro.alvarezlopez','008268','TOMAR DEL SND','ALVAREZ LOPEZ ALEJANDRO','ARQUITECTURA','3ro','MASCULINO','ACTIVO','',0,0,'','ALUMNO'</v>
      </c>
      <c r="L23" s="10" t="str">
        <f t="shared" si="0"/>
        <v>INSERT INTO participantes (id,nivel,correo,matricula,clave,nombre,carrera,grado,sexo,situacion,evaluados,num_evaluados,total_evaluaciones,ultimo_acceso,nivel_acceso) VALUES (1022,'LICENCIATURA','alejandro.alvarezlopez','008268','TOMAR DEL SND','ALVAREZ LOPEZ ALEJANDRO','ARQUITECTURA','3ro','MASCULINO','ACTIVO','',0,0,'','ALUMNO');</v>
      </c>
    </row>
    <row r="24" spans="1:12" ht="130.5" x14ac:dyDescent="0.35">
      <c r="A24" s="7">
        <v>1023</v>
      </c>
      <c r="B24" s="6" t="s">
        <v>5</v>
      </c>
      <c r="C24" t="s">
        <v>29</v>
      </c>
      <c r="D24" s="7" t="s">
        <v>601</v>
      </c>
      <c r="E24" s="7" t="s">
        <v>1149</v>
      </c>
      <c r="F24" t="s">
        <v>1173</v>
      </c>
      <c r="G24" s="7" t="s">
        <v>1725</v>
      </c>
      <c r="H24" t="s">
        <v>1736</v>
      </c>
      <c r="I24" t="s">
        <v>1743</v>
      </c>
      <c r="J24" t="s">
        <v>1786</v>
      </c>
      <c r="K24" s="2" t="str">
        <f t="shared" si="1"/>
        <v>1023,'LICENCIATURA','davidisrael.alvarezjimenez','108218','TOMAR DEL SND','ALVAREZ JIMENEZ DAVID ISRAEL','INGENIERIA AEROESPACIAL','9no','MASCULINO','ACTIVO','',0,0,'','ALUMNO'</v>
      </c>
      <c r="L24" s="10" t="str">
        <f t="shared" si="0"/>
        <v>INSERT INTO participantes (id,nivel,correo,matricula,clave,nombre,carrera,grado,sexo,situacion,evaluados,num_evaluados,total_evaluaciones,ultimo_acceso,nivel_acceso) VALUES (1023,'LICENCIATURA','davidisrael.alvarezjimenez','108218','TOMAR DEL SND','ALVAREZ JIMENEZ DAVID ISRAEL','INGENIERIA AEROESPACIAL','9no','MASCULINO','ACTIVO','',0,0,'','ALUMNO');</v>
      </c>
    </row>
    <row r="25" spans="1:12" ht="130.5" x14ac:dyDescent="0.35">
      <c r="A25" s="7">
        <v>1024</v>
      </c>
      <c r="B25" s="6" t="s">
        <v>5</v>
      </c>
      <c r="C25" t="s">
        <v>30</v>
      </c>
      <c r="D25" s="7" t="s">
        <v>602</v>
      </c>
      <c r="E25" s="7" t="s">
        <v>1149</v>
      </c>
      <c r="F25" t="s">
        <v>1174</v>
      </c>
      <c r="G25" s="7" t="s">
        <v>1725</v>
      </c>
      <c r="H25" t="s">
        <v>1738</v>
      </c>
      <c r="I25" t="s">
        <v>1743</v>
      </c>
      <c r="J25" t="s">
        <v>1786</v>
      </c>
      <c r="K25" s="2" t="str">
        <f t="shared" si="1"/>
        <v>1024,'LICENCIATURA','adrianassis.tapiacorripio','109374','TOMAR DEL SND','TAPIA CORRIPIO ADRIAN ASSIS','INGENIERIA AEROESPACIAL','7mo','MASCULINO','ACTIVO','',0,0,'','ALUMNO'</v>
      </c>
      <c r="L25" s="10" t="str">
        <f t="shared" si="0"/>
        <v>INSERT INTO participantes (id,nivel,correo,matricula,clave,nombre,carrera,grado,sexo,situacion,evaluados,num_evaluados,total_evaluaciones,ultimo_acceso,nivel_acceso) VALUES (1024,'LICENCIATURA','adrianassis.tapiacorripio','109374','TOMAR DEL SND','TAPIA CORRIPIO ADRIAN ASSIS','INGENIERIA AEROESPACIAL','7mo','MASCULINO','ACTIVO','',0,0,'','ALUMNO');</v>
      </c>
    </row>
    <row r="26" spans="1:12" ht="130.5" x14ac:dyDescent="0.35">
      <c r="A26" s="7">
        <v>1025</v>
      </c>
      <c r="B26" s="6" t="s">
        <v>5</v>
      </c>
      <c r="C26" t="s">
        <v>31</v>
      </c>
      <c r="D26" s="7" t="s">
        <v>603</v>
      </c>
      <c r="E26" s="7" t="s">
        <v>1149</v>
      </c>
      <c r="F26" t="s">
        <v>1175</v>
      </c>
      <c r="G26" s="7" t="s">
        <v>1725</v>
      </c>
      <c r="H26" t="s">
        <v>1736</v>
      </c>
      <c r="I26" t="s">
        <v>1744</v>
      </c>
      <c r="J26" t="s">
        <v>1786</v>
      </c>
      <c r="K26" s="2" t="str">
        <f t="shared" si="1"/>
        <v>1025,'LICENCIATURA','sofia.carrillomatus','109835','TOMAR DEL SND','CARRILLO MATUS SOFIA','INGENIERIA AEROESPACIAL','9no','FEMENINO','ACTIVO','',0,0,'','ALUMNO'</v>
      </c>
      <c r="L26" s="10" t="str">
        <f t="shared" si="0"/>
        <v>INSERT INTO participantes (id,nivel,correo,matricula,clave,nombre,carrera,grado,sexo,situacion,evaluados,num_evaluados,total_evaluaciones,ultimo_acceso,nivel_acceso) VALUES (1025,'LICENCIATURA','sofia.carrillomatus','109835','TOMAR DEL SND','CARRILLO MATUS SOFIA','INGENIERIA AEROESPACIAL','9no','FEMENINO','ACTIVO','',0,0,'','ALUMNO');</v>
      </c>
    </row>
    <row r="27" spans="1:12" ht="130.5" x14ac:dyDescent="0.35">
      <c r="A27" s="7">
        <v>1026</v>
      </c>
      <c r="B27" s="6" t="s">
        <v>5</v>
      </c>
      <c r="C27" t="s">
        <v>32</v>
      </c>
      <c r="D27" s="7" t="s">
        <v>604</v>
      </c>
      <c r="E27" s="7" t="s">
        <v>1149</v>
      </c>
      <c r="F27" t="s">
        <v>1176</v>
      </c>
      <c r="G27" s="7" t="s">
        <v>1725</v>
      </c>
      <c r="H27" t="s">
        <v>1736</v>
      </c>
      <c r="I27" t="s">
        <v>1743</v>
      </c>
      <c r="J27" t="s">
        <v>1786</v>
      </c>
      <c r="K27" s="2" t="str">
        <f t="shared" si="1"/>
        <v>1026,'LICENCIATURA','pabloangel.camachogonzalez','109978','TOMAR DEL SND','CAMACHO GONZALEZ PABLO ANGEL','INGENIERIA AEROESPACIAL','9no','MASCULINO','ACTIVO','',0,0,'','ALUMNO'</v>
      </c>
      <c r="L27" s="10" t="str">
        <f t="shared" si="0"/>
        <v>INSERT INTO participantes (id,nivel,correo,matricula,clave,nombre,carrera,grado,sexo,situacion,evaluados,num_evaluados,total_evaluaciones,ultimo_acceso,nivel_acceso) VALUES (1026,'LICENCIATURA','pabloangel.camachogonzalez','109978','TOMAR DEL SND','CAMACHO GONZALEZ PABLO ANGEL','INGENIERIA AEROESPACIAL','9no','MASCULINO','ACTIVO','',0,0,'','ALUMNO');</v>
      </c>
    </row>
    <row r="28" spans="1:12" ht="130.5" x14ac:dyDescent="0.35">
      <c r="A28" s="7">
        <v>1027</v>
      </c>
      <c r="B28" s="6" t="s">
        <v>5</v>
      </c>
      <c r="C28" t="s">
        <v>33</v>
      </c>
      <c r="D28" s="7" t="s">
        <v>605</v>
      </c>
      <c r="E28" s="7" t="s">
        <v>1149</v>
      </c>
      <c r="F28" t="s">
        <v>1177</v>
      </c>
      <c r="G28" s="7" t="s">
        <v>1731</v>
      </c>
      <c r="H28" t="s">
        <v>1738</v>
      </c>
      <c r="I28" t="s">
        <v>1743</v>
      </c>
      <c r="J28" t="s">
        <v>1786</v>
      </c>
      <c r="K28" s="2" t="str">
        <f t="shared" si="1"/>
        <v>1027,'LICENCIATURA','enrique.juarezcastañeda','109984','TOMAR DEL SND','JUAREZ CASTAÑEDA ENRIQUE','INGENIERÍA AUTOMOTRIZ','7mo','MASCULINO','ACTIVO','',0,0,'','ALUMNO'</v>
      </c>
      <c r="L28" s="10" t="str">
        <f t="shared" si="0"/>
        <v>INSERT INTO participantes (id,nivel,correo,matricula,clave,nombre,carrera,grado,sexo,situacion,evaluados,num_evaluados,total_evaluaciones,ultimo_acceso,nivel_acceso) VALUES (1027,'LICENCIATURA','enrique.juarezcastañeda','109984','TOMAR DEL SND','JUAREZ CASTAÑEDA ENRIQUE','INGENIERÍA AUTOMOTRIZ','7mo','MASCULINO','ACTIVO','',0,0,'','ALUMNO');</v>
      </c>
    </row>
    <row r="29" spans="1:12" ht="130.5" x14ac:dyDescent="0.35">
      <c r="A29" s="7">
        <v>1028</v>
      </c>
      <c r="B29" s="6" t="s">
        <v>5</v>
      </c>
      <c r="C29" t="s">
        <v>34</v>
      </c>
      <c r="D29" s="7" t="s">
        <v>606</v>
      </c>
      <c r="E29" s="7" t="s">
        <v>1149</v>
      </c>
      <c r="F29" t="s">
        <v>1178</v>
      </c>
      <c r="G29" s="7" t="s">
        <v>1725</v>
      </c>
      <c r="H29" t="s">
        <v>1736</v>
      </c>
      <c r="I29" t="s">
        <v>1743</v>
      </c>
      <c r="J29" t="s">
        <v>1786</v>
      </c>
      <c r="K29" s="2" t="str">
        <f t="shared" si="1"/>
        <v>1028,'LICENCIATURA','yaeldejesus.medinarodriguez','110448','TOMAR DEL SND','MEDINA RODRIGUEZ YAEL DE JESUS','INGENIERIA AEROESPACIAL','9no','MASCULINO','ACTIVO','',0,0,'','ALUMNO'</v>
      </c>
      <c r="L29" s="10" t="str">
        <f t="shared" si="0"/>
        <v>INSERT INTO participantes (id,nivel,correo,matricula,clave,nombre,carrera,grado,sexo,situacion,evaluados,num_evaluados,total_evaluaciones,ultimo_acceso,nivel_acceso) VALUES (1028,'LICENCIATURA','yaeldejesus.medinarodriguez','110448','TOMAR DEL SND','MEDINA RODRIGUEZ YAEL DE JESUS','INGENIERIA AEROESPACIAL','9no','MASCULINO','ACTIVO','',0,0,'','ALUMNO');</v>
      </c>
    </row>
    <row r="30" spans="1:12" ht="130.5" x14ac:dyDescent="0.35">
      <c r="A30" s="7">
        <v>1029</v>
      </c>
      <c r="B30" s="6" t="s">
        <v>5</v>
      </c>
      <c r="C30" t="s">
        <v>35</v>
      </c>
      <c r="D30" s="7" t="s">
        <v>607</v>
      </c>
      <c r="E30" s="7" t="s">
        <v>1149</v>
      </c>
      <c r="F30" t="s">
        <v>1179</v>
      </c>
      <c r="G30" s="7" t="s">
        <v>1725</v>
      </c>
      <c r="H30" t="s">
        <v>1736</v>
      </c>
      <c r="I30" t="s">
        <v>1743</v>
      </c>
      <c r="J30" t="s">
        <v>1786</v>
      </c>
      <c r="K30" s="2" t="str">
        <f t="shared" si="1"/>
        <v>1029,'LICENCIATURA','angel.mondragonhernandez','110449','TOMAR DEL SND','MONDRAGON HERNANDEZ ANGEL','INGENIERIA AEROESPACIAL','9no','MASCULINO','ACTIVO','',0,0,'','ALUMNO'</v>
      </c>
      <c r="L30" s="10" t="str">
        <f t="shared" si="0"/>
        <v>INSERT INTO participantes (id,nivel,correo,matricula,clave,nombre,carrera,grado,sexo,situacion,evaluados,num_evaluados,total_evaluaciones,ultimo_acceso,nivel_acceso) VALUES (1029,'LICENCIATURA','angel.mondragonhernandez','110449','TOMAR DEL SND','MONDRAGON HERNANDEZ ANGEL','INGENIERIA AEROESPACIAL','9no','MASCULINO','ACTIVO','',0,0,'','ALUMNO');</v>
      </c>
    </row>
    <row r="31" spans="1:12" ht="130.5" x14ac:dyDescent="0.35">
      <c r="A31" s="7">
        <v>1030</v>
      </c>
      <c r="B31" s="6" t="s">
        <v>5</v>
      </c>
      <c r="C31" t="s">
        <v>36</v>
      </c>
      <c r="D31" s="7" t="s">
        <v>608</v>
      </c>
      <c r="E31" s="7" t="s">
        <v>1149</v>
      </c>
      <c r="F31" t="s">
        <v>1180</v>
      </c>
      <c r="G31" s="7" t="s">
        <v>1725</v>
      </c>
      <c r="H31" t="s">
        <v>1736</v>
      </c>
      <c r="I31" t="s">
        <v>1743</v>
      </c>
      <c r="J31" t="s">
        <v>1786</v>
      </c>
      <c r="K31" s="2" t="str">
        <f t="shared" si="1"/>
        <v>1030,'LICENCIATURA','oscardaniel.tinocoavila','110450','TOMAR DEL SND','TINOCO AVILA OSCAR DANIEL','INGENIERIA AEROESPACIAL','9no','MASCULINO','ACTIVO','',0,0,'','ALUMNO'</v>
      </c>
      <c r="L31" s="10" t="str">
        <f t="shared" si="0"/>
        <v>INSERT INTO participantes (id,nivel,correo,matricula,clave,nombre,carrera,grado,sexo,situacion,evaluados,num_evaluados,total_evaluaciones,ultimo_acceso,nivel_acceso) VALUES (1030,'LICENCIATURA','oscardaniel.tinocoavila','110450','TOMAR DEL SND','TINOCO AVILA OSCAR DANIEL','INGENIERIA AEROESPACIAL','9no','MASCULINO','ACTIVO','',0,0,'','ALUMNO');</v>
      </c>
    </row>
    <row r="32" spans="1:12" ht="130.5" x14ac:dyDescent="0.35">
      <c r="A32" s="7">
        <v>1031</v>
      </c>
      <c r="B32" s="6" t="s">
        <v>5</v>
      </c>
      <c r="C32" t="s">
        <v>37</v>
      </c>
      <c r="D32" s="7" t="s">
        <v>609</v>
      </c>
      <c r="E32" s="7" t="s">
        <v>1149</v>
      </c>
      <c r="F32" t="s">
        <v>1181</v>
      </c>
      <c r="G32" s="7" t="s">
        <v>1725</v>
      </c>
      <c r="H32" t="s">
        <v>1736</v>
      </c>
      <c r="I32" t="s">
        <v>1743</v>
      </c>
      <c r="J32" t="s">
        <v>1786</v>
      </c>
      <c r="K32" s="2" t="str">
        <f t="shared" si="1"/>
        <v>1031,'LICENCIATURA','josealejandro.ursielortega','110451','TOMAR DEL SND','URSIEL ORTEGA JOSE ALEJANDRO','INGENIERIA AEROESPACIAL','9no','MASCULINO','ACTIVO','',0,0,'','ALUMNO'</v>
      </c>
      <c r="L32" s="10" t="str">
        <f t="shared" si="0"/>
        <v>INSERT INTO participantes (id,nivel,correo,matricula,clave,nombre,carrera,grado,sexo,situacion,evaluados,num_evaluados,total_evaluaciones,ultimo_acceso,nivel_acceso) VALUES (1031,'LICENCIATURA','josealejandro.ursielortega','110451','TOMAR DEL SND','URSIEL ORTEGA JOSE ALEJANDRO','INGENIERIA AEROESPACIAL','9no','MASCULINO','ACTIVO','',0,0,'','ALUMNO');</v>
      </c>
    </row>
    <row r="33" spans="1:12" ht="130.5" x14ac:dyDescent="0.35">
      <c r="A33" s="7">
        <v>1032</v>
      </c>
      <c r="B33" s="6" t="s">
        <v>5</v>
      </c>
      <c r="C33" t="s">
        <v>38</v>
      </c>
      <c r="D33" s="7" t="s">
        <v>610</v>
      </c>
      <c r="E33" s="7" t="s">
        <v>1149</v>
      </c>
      <c r="F33" t="s">
        <v>1182</v>
      </c>
      <c r="G33" s="7" t="s">
        <v>1725</v>
      </c>
      <c r="H33" t="s">
        <v>1736</v>
      </c>
      <c r="I33" t="s">
        <v>1743</v>
      </c>
      <c r="J33" t="s">
        <v>1786</v>
      </c>
      <c r="K33" s="2" t="str">
        <f t="shared" si="1"/>
        <v>1032,'LICENCIATURA','kevinrodrigopascal.estradabautista','110452','TOMAR DEL SND','ESTRADA BAUTISTA KEVIN RODRIGO PASCAL','INGENIERIA AEROESPACIAL','9no','MASCULINO','ACTIVO','',0,0,'','ALUMNO'</v>
      </c>
      <c r="L33" s="10" t="str">
        <f t="shared" si="0"/>
        <v>INSERT INTO participantes (id,nivel,correo,matricula,clave,nombre,carrera,grado,sexo,situacion,evaluados,num_evaluados,total_evaluaciones,ultimo_acceso,nivel_acceso) VALUES (1032,'LICENCIATURA','kevinrodrigopascal.estradabautista','110452','TOMAR DEL SND','ESTRADA BAUTISTA KEVIN RODRIGO PASCAL','INGENIERIA AEROESPACIAL','9no','MASCULINO','ACTIVO','',0,0,'','ALUMNO');</v>
      </c>
    </row>
    <row r="34" spans="1:12" ht="130.5" x14ac:dyDescent="0.35">
      <c r="A34" s="7">
        <v>1033</v>
      </c>
      <c r="B34" s="6" t="s">
        <v>5</v>
      </c>
      <c r="C34" t="s">
        <v>39</v>
      </c>
      <c r="D34" s="7" t="s">
        <v>611</v>
      </c>
      <c r="E34" s="7" t="s">
        <v>1149</v>
      </c>
      <c r="F34" t="s">
        <v>1183</v>
      </c>
      <c r="G34" s="7" t="s">
        <v>1725</v>
      </c>
      <c r="H34" t="s">
        <v>1736</v>
      </c>
      <c r="I34" t="s">
        <v>1743</v>
      </c>
      <c r="J34" t="s">
        <v>1786</v>
      </c>
      <c r="K34" s="2" t="str">
        <f t="shared" si="1"/>
        <v>1033,'LICENCIATURA','gabrieleduardo.colomecampos','110456','TOMAR DEL SND','COLOME CAMPOS GABRIEL EDUARDO','INGENIERIA AEROESPACIAL','9no','MASCULINO','ACTIVO','',0,0,'','ALUMNO'</v>
      </c>
      <c r="L34" s="10" t="str">
        <f t="shared" si="0"/>
        <v>INSERT INTO participantes (id,nivel,correo,matricula,clave,nombre,carrera,grado,sexo,situacion,evaluados,num_evaluados,total_evaluaciones,ultimo_acceso,nivel_acceso) VALUES (1033,'LICENCIATURA','gabrieleduardo.colomecampos','110456','TOMAR DEL SND','COLOME CAMPOS GABRIEL EDUARDO','INGENIERIA AEROESPACIAL','9no','MASCULINO','ACTIVO','',0,0,'','ALUMNO');</v>
      </c>
    </row>
    <row r="35" spans="1:12" ht="130.5" x14ac:dyDescent="0.35">
      <c r="A35" s="7">
        <v>1034</v>
      </c>
      <c r="B35" s="6" t="s">
        <v>5</v>
      </c>
      <c r="C35" t="s">
        <v>40</v>
      </c>
      <c r="D35" s="7" t="s">
        <v>612</v>
      </c>
      <c r="E35" s="7" t="s">
        <v>1149</v>
      </c>
      <c r="F35" t="s">
        <v>1184</v>
      </c>
      <c r="G35" s="7" t="s">
        <v>1725</v>
      </c>
      <c r="H35" t="s">
        <v>1736</v>
      </c>
      <c r="I35" t="s">
        <v>1744</v>
      </c>
      <c r="J35" t="s">
        <v>1786</v>
      </c>
      <c r="K35" s="2" t="str">
        <f t="shared" si="1"/>
        <v>1034,'LICENCIATURA','valeria.galvezdiaz','110458','TOMAR DEL SND','GALVEZ DIAZ VALERIA','INGENIERIA AEROESPACIAL','9no','FEMENINO','ACTIVO','',0,0,'','ALUMNO'</v>
      </c>
      <c r="L35" s="10" t="str">
        <f t="shared" si="0"/>
        <v>INSERT INTO participantes (id,nivel,correo,matricula,clave,nombre,carrera,grado,sexo,situacion,evaluados,num_evaluados,total_evaluaciones,ultimo_acceso,nivel_acceso) VALUES (1034,'LICENCIATURA','valeria.galvezdiaz','110458','TOMAR DEL SND','GALVEZ DIAZ VALERIA','INGENIERIA AEROESPACIAL','9no','FEMENINO','ACTIVO','',0,0,'','ALUMNO');</v>
      </c>
    </row>
    <row r="36" spans="1:12" ht="130.5" x14ac:dyDescent="0.35">
      <c r="A36" s="7">
        <v>1035</v>
      </c>
      <c r="B36" s="6" t="s">
        <v>5</v>
      </c>
      <c r="C36" t="s">
        <v>41</v>
      </c>
      <c r="D36" s="7" t="s">
        <v>613</v>
      </c>
      <c r="E36" s="7" t="s">
        <v>1149</v>
      </c>
      <c r="F36" t="s">
        <v>1185</v>
      </c>
      <c r="G36" s="7" t="s">
        <v>1725</v>
      </c>
      <c r="H36" t="s">
        <v>1736</v>
      </c>
      <c r="I36" t="s">
        <v>1743</v>
      </c>
      <c r="J36" t="s">
        <v>1786</v>
      </c>
      <c r="K36" s="2" t="str">
        <f t="shared" si="1"/>
        <v>1035,'LICENCIATURA','jesuseduardo.ramoscontreras','110459','TOMAR DEL SND','RAMOS CONTRERAS JESUS EDUARDO','INGENIERIA AEROESPACIAL','9no','MASCULINO','ACTIVO','',0,0,'','ALUMNO'</v>
      </c>
      <c r="L36" s="10" t="str">
        <f t="shared" si="0"/>
        <v>INSERT INTO participantes (id,nivel,correo,matricula,clave,nombre,carrera,grado,sexo,situacion,evaluados,num_evaluados,total_evaluaciones,ultimo_acceso,nivel_acceso) VALUES (1035,'LICENCIATURA','jesuseduardo.ramoscontreras','110459','TOMAR DEL SND','RAMOS CONTRERAS JESUS EDUARDO','INGENIERIA AEROESPACIAL','9no','MASCULINO','ACTIVO','',0,0,'','ALUMNO');</v>
      </c>
    </row>
    <row r="37" spans="1:12" ht="130.5" x14ac:dyDescent="0.35">
      <c r="A37" s="7">
        <v>1036</v>
      </c>
      <c r="B37" s="6" t="s">
        <v>5</v>
      </c>
      <c r="C37" t="s">
        <v>42</v>
      </c>
      <c r="D37" s="7" t="s">
        <v>614</v>
      </c>
      <c r="E37" s="7" t="s">
        <v>1149</v>
      </c>
      <c r="F37" t="s">
        <v>1186</v>
      </c>
      <c r="G37" s="7" t="s">
        <v>1725</v>
      </c>
      <c r="H37" t="s">
        <v>1736</v>
      </c>
      <c r="I37" t="s">
        <v>1744</v>
      </c>
      <c r="J37" t="s">
        <v>1786</v>
      </c>
      <c r="K37" s="2" t="str">
        <f t="shared" si="1"/>
        <v>1036,'LICENCIATURA','brendaxiadani.maciasayala','110467','TOMAR DEL SND','MACIAS AYALA BRENDA XIADANI','INGENIERIA AEROESPACIAL','9no','FEMENINO','ACTIVO','',0,0,'','ALUMNO'</v>
      </c>
      <c r="L37" s="10" t="str">
        <f t="shared" si="0"/>
        <v>INSERT INTO participantes (id,nivel,correo,matricula,clave,nombre,carrera,grado,sexo,situacion,evaluados,num_evaluados,total_evaluaciones,ultimo_acceso,nivel_acceso) VALUES (1036,'LICENCIATURA','brendaxiadani.maciasayala','110467','TOMAR DEL SND','MACIAS AYALA BRENDA XIADANI','INGENIERIA AEROESPACIAL','9no','FEMENINO','ACTIVO','',0,0,'','ALUMNO');</v>
      </c>
    </row>
    <row r="38" spans="1:12" ht="130.5" x14ac:dyDescent="0.35">
      <c r="A38" s="7">
        <v>1037</v>
      </c>
      <c r="B38" s="6" t="s">
        <v>5</v>
      </c>
      <c r="C38" t="s">
        <v>43</v>
      </c>
      <c r="D38" s="7" t="s">
        <v>615</v>
      </c>
      <c r="E38" s="7" t="s">
        <v>1149</v>
      </c>
      <c r="F38" t="s">
        <v>1187</v>
      </c>
      <c r="G38" s="7" t="s">
        <v>1725</v>
      </c>
      <c r="H38" t="s">
        <v>1736</v>
      </c>
      <c r="I38" t="s">
        <v>1743</v>
      </c>
      <c r="J38" t="s">
        <v>1786</v>
      </c>
      <c r="K38" s="2" t="str">
        <f t="shared" si="1"/>
        <v>1037,'LICENCIATURA','luismanuel.davalosrodriguez','110471','TOMAR DEL SND','DAVALOS RODRIGUEZ LUIS MANUEL','INGENIERIA AEROESPACIAL','9no','MASCULINO','ACTIVO','',0,0,'','ALUMNO'</v>
      </c>
      <c r="L38" s="10" t="str">
        <f t="shared" si="0"/>
        <v>INSERT INTO participantes (id,nivel,correo,matricula,clave,nombre,carrera,grado,sexo,situacion,evaluados,num_evaluados,total_evaluaciones,ultimo_acceso,nivel_acceso) VALUES (1037,'LICENCIATURA','luismanuel.davalosrodriguez','110471','TOMAR DEL SND','DAVALOS RODRIGUEZ LUIS MANUEL','INGENIERIA AEROESPACIAL','9no','MASCULINO','ACTIVO','',0,0,'','ALUMNO');</v>
      </c>
    </row>
    <row r="39" spans="1:12" ht="130.5" x14ac:dyDescent="0.35">
      <c r="A39" s="7">
        <v>1038</v>
      </c>
      <c r="B39" s="6" t="s">
        <v>5</v>
      </c>
      <c r="C39" t="s">
        <v>44</v>
      </c>
      <c r="D39" s="7" t="s">
        <v>616</v>
      </c>
      <c r="E39" s="7" t="s">
        <v>1149</v>
      </c>
      <c r="F39" t="s">
        <v>1188</v>
      </c>
      <c r="G39" s="7" t="s">
        <v>1723</v>
      </c>
      <c r="H39" t="s">
        <v>1736</v>
      </c>
      <c r="I39" t="s">
        <v>1744</v>
      </c>
      <c r="J39" t="s">
        <v>1786</v>
      </c>
      <c r="K39" s="2" t="str">
        <f t="shared" si="1"/>
        <v>1038,'LICENCIATURA','fatimajuliana.zamoramichel','110472','TOMAR DEL SND','ZAMORA MICHEL FATIMA JULIANA','INGENIERIA CIBERNETICA Y EN SISTEMAS COMPUTACIONALES','9no','FEMENINO','ACTIVO','',0,0,'','ALUMNO'</v>
      </c>
      <c r="L39" s="10" t="str">
        <f t="shared" si="0"/>
        <v>INSERT INTO participantes (id,nivel,correo,matricula,clave,nombre,carrera,grado,sexo,situacion,evaluados,num_evaluados,total_evaluaciones,ultimo_acceso,nivel_acceso) VALUES (1038,'LICENCIATURA','fatimajuliana.zamoramichel','110472','TOMAR DEL SND','ZAMORA MICHEL FATIMA JULIANA','INGENIERIA CIBERNETICA Y EN SISTEMAS COMPUTACIONALES','9no','FEMENINO','ACTIVO','',0,0,'','ALUMNO');</v>
      </c>
    </row>
    <row r="40" spans="1:12" ht="130.5" x14ac:dyDescent="0.35">
      <c r="A40" s="7">
        <v>1039</v>
      </c>
      <c r="B40" s="6" t="s">
        <v>5</v>
      </c>
      <c r="C40" t="s">
        <v>45</v>
      </c>
      <c r="D40" s="7" t="s">
        <v>617</v>
      </c>
      <c r="E40" s="7" t="s">
        <v>1149</v>
      </c>
      <c r="F40" t="s">
        <v>1189</v>
      </c>
      <c r="G40" s="7" t="s">
        <v>1725</v>
      </c>
      <c r="H40" t="s">
        <v>1736</v>
      </c>
      <c r="I40" t="s">
        <v>1743</v>
      </c>
      <c r="J40" t="s">
        <v>1786</v>
      </c>
      <c r="K40" s="2" t="str">
        <f t="shared" si="1"/>
        <v>1039,'LICENCIATURA','pablomaria.beccarisjimenez','110473','TOMAR DEL SND','BECCARIS JIMENEZ PABLO MARIA','INGENIERIA AEROESPACIAL','9no','MASCULINO','ACTIVO','',0,0,'','ALUMNO'</v>
      </c>
      <c r="L40" s="10" t="str">
        <f t="shared" si="0"/>
        <v>INSERT INTO participantes (id,nivel,correo,matricula,clave,nombre,carrera,grado,sexo,situacion,evaluados,num_evaluados,total_evaluaciones,ultimo_acceso,nivel_acceso) VALUES (1039,'LICENCIATURA','pablomaria.beccarisjimenez','110473','TOMAR DEL SND','BECCARIS JIMENEZ PABLO MARIA','INGENIERIA AEROESPACIAL','9no','MASCULINO','ACTIVO','',0,0,'','ALUMNO');</v>
      </c>
    </row>
    <row r="41" spans="1:12" ht="130.5" x14ac:dyDescent="0.35">
      <c r="A41" s="7">
        <v>1040</v>
      </c>
      <c r="B41" s="6" t="s">
        <v>5</v>
      </c>
      <c r="C41" t="s">
        <v>46</v>
      </c>
      <c r="D41" s="7" t="s">
        <v>618</v>
      </c>
      <c r="E41" s="7" t="s">
        <v>1149</v>
      </c>
      <c r="F41" t="s">
        <v>1190</v>
      </c>
      <c r="G41" s="7" t="s">
        <v>1724</v>
      </c>
      <c r="H41" t="s">
        <v>1736</v>
      </c>
      <c r="I41" t="s">
        <v>1744</v>
      </c>
      <c r="J41" t="s">
        <v>1786</v>
      </c>
      <c r="K41" s="2" t="str">
        <f t="shared" si="1"/>
        <v>1040,'LICENCIATURA','anacristina.guerrerosoltero','110475','TOMAR DEL SND','GUERRERO SOLTERO ANA CRISTINA','NUTRICION Y GASTRONOMIA','9no','FEMENINO','ACTIVO','',0,0,'','ALUMNO'</v>
      </c>
      <c r="L41" s="10" t="str">
        <f t="shared" si="0"/>
        <v>INSERT INTO participantes (id,nivel,correo,matricula,clave,nombre,carrera,grado,sexo,situacion,evaluados,num_evaluados,total_evaluaciones,ultimo_acceso,nivel_acceso) VALUES (1040,'LICENCIATURA','anacristina.guerrerosoltero','110475','TOMAR DEL SND','GUERRERO SOLTERO ANA CRISTINA','NUTRICION Y GASTRONOMIA','9no','FEMENINO','ACTIVO','',0,0,'','ALUMNO');</v>
      </c>
    </row>
    <row r="42" spans="1:12" ht="130.5" x14ac:dyDescent="0.35">
      <c r="A42" s="7">
        <v>1041</v>
      </c>
      <c r="B42" s="6" t="s">
        <v>5</v>
      </c>
      <c r="C42" t="s">
        <v>47</v>
      </c>
      <c r="D42" s="7" t="s">
        <v>619</v>
      </c>
      <c r="E42" s="7" t="s">
        <v>1149</v>
      </c>
      <c r="F42" t="s">
        <v>1191</v>
      </c>
      <c r="G42" s="7" t="s">
        <v>1724</v>
      </c>
      <c r="H42" t="s">
        <v>1736</v>
      </c>
      <c r="I42" t="s">
        <v>1743</v>
      </c>
      <c r="J42" t="s">
        <v>1786</v>
      </c>
      <c r="K42" s="2" t="str">
        <f t="shared" si="1"/>
        <v>1041,'LICENCIATURA','darshangael.ortizariza','110477','TOMAR DEL SND','ORTIZ ARIZA DARSHAN GAEL','NUTRICION Y GASTRONOMIA','9no','MASCULINO','ACTIVO','',0,0,'','ALUMNO'</v>
      </c>
      <c r="L42" s="10" t="str">
        <f t="shared" si="0"/>
        <v>INSERT INTO participantes (id,nivel,correo,matricula,clave,nombre,carrera,grado,sexo,situacion,evaluados,num_evaluados,total_evaluaciones,ultimo_acceso,nivel_acceso) VALUES (1041,'LICENCIATURA','darshangael.ortizariza','110477','TOMAR DEL SND','ORTIZ ARIZA DARSHAN GAEL','NUTRICION Y GASTRONOMIA','9no','MASCULINO','ACTIVO','',0,0,'','ALUMNO');</v>
      </c>
    </row>
    <row r="43" spans="1:12" ht="130.5" x14ac:dyDescent="0.35">
      <c r="A43" s="7">
        <v>1042</v>
      </c>
      <c r="B43" s="6" t="s">
        <v>5</v>
      </c>
      <c r="C43" t="s">
        <v>48</v>
      </c>
      <c r="D43" s="7" t="s">
        <v>620</v>
      </c>
      <c r="E43" s="7" t="s">
        <v>1149</v>
      </c>
      <c r="F43" t="s">
        <v>1192</v>
      </c>
      <c r="G43" s="7" t="s">
        <v>1723</v>
      </c>
      <c r="H43" t="s">
        <v>1736</v>
      </c>
      <c r="I43" t="s">
        <v>1744</v>
      </c>
      <c r="J43" t="s">
        <v>1786</v>
      </c>
      <c r="K43" s="2" t="str">
        <f t="shared" si="1"/>
        <v>1042,'LICENCIATURA','carla.carpinteromerino','110478','TOMAR DEL SND','CARPINTERO MERINO CARLA','INGENIERIA CIBERNETICA Y EN SISTEMAS COMPUTACIONALES','9no','FEMENINO','ACTIVO','',0,0,'','ALUMNO'</v>
      </c>
      <c r="L43" s="10" t="str">
        <f t="shared" si="0"/>
        <v>INSERT INTO participantes (id,nivel,correo,matricula,clave,nombre,carrera,grado,sexo,situacion,evaluados,num_evaluados,total_evaluaciones,ultimo_acceso,nivel_acceso) VALUES (1042,'LICENCIATURA','carla.carpinteromerino','110478','TOMAR DEL SND','CARPINTERO MERINO CARLA','INGENIERIA CIBERNETICA Y EN SISTEMAS COMPUTACIONALES','9no','FEMENINO','ACTIVO','',0,0,'','ALUMNO');</v>
      </c>
    </row>
    <row r="44" spans="1:12" ht="130.5" x14ac:dyDescent="0.35">
      <c r="A44" s="7">
        <v>1043</v>
      </c>
      <c r="B44" s="6" t="s">
        <v>5</v>
      </c>
      <c r="C44" t="s">
        <v>49</v>
      </c>
      <c r="D44" s="7" t="s">
        <v>621</v>
      </c>
      <c r="E44" s="7" t="s">
        <v>1149</v>
      </c>
      <c r="F44" t="s">
        <v>1193</v>
      </c>
      <c r="G44" s="7" t="s">
        <v>1725</v>
      </c>
      <c r="H44" t="s">
        <v>1736</v>
      </c>
      <c r="I44" t="s">
        <v>1743</v>
      </c>
      <c r="J44" t="s">
        <v>1786</v>
      </c>
      <c r="K44" s="2" t="str">
        <f t="shared" si="1"/>
        <v>1043,'LICENCIATURA','josedaniel.rodriguezmartinez','110480','TOMAR DEL SND','RODRIGUEZ MARTINEZ JOSE DANIEL','INGENIERIA AEROESPACIAL','9no','MASCULINO','ACTIVO','',0,0,'','ALUMNO'</v>
      </c>
      <c r="L44" s="10" t="str">
        <f t="shared" si="0"/>
        <v>INSERT INTO participantes (id,nivel,correo,matricula,clave,nombre,carrera,grado,sexo,situacion,evaluados,num_evaluados,total_evaluaciones,ultimo_acceso,nivel_acceso) VALUES (1043,'LICENCIATURA','josedaniel.rodriguezmartinez','110480','TOMAR DEL SND','RODRIGUEZ MARTINEZ JOSE DANIEL','INGENIERIA AEROESPACIAL','9no','MASCULINO','ACTIVO','',0,0,'','ALUMNO');</v>
      </c>
    </row>
    <row r="45" spans="1:12" ht="130.5" x14ac:dyDescent="0.35">
      <c r="A45" s="7">
        <v>1044</v>
      </c>
      <c r="B45" s="6" t="s">
        <v>5</v>
      </c>
      <c r="C45" t="s">
        <v>50</v>
      </c>
      <c r="D45" s="7" t="s">
        <v>622</v>
      </c>
      <c r="E45" s="7" t="s">
        <v>1149</v>
      </c>
      <c r="F45" t="s">
        <v>1194</v>
      </c>
      <c r="G45" s="7" t="s">
        <v>1732</v>
      </c>
      <c r="H45" t="s">
        <v>1736</v>
      </c>
      <c r="I45" t="s">
        <v>1744</v>
      </c>
      <c r="J45" t="s">
        <v>1786</v>
      </c>
      <c r="K45" s="2" t="str">
        <f t="shared" si="1"/>
        <v>1044,'LICENCIATURA','gabriela.cardenasdeharo','110481','TOMAR DEL SND','CARDENAS DE HARO GABRIELA','DERECHO','9no','FEMENINO','ACTIVO','',0,0,'','ALUMNO'</v>
      </c>
      <c r="L45" s="10" t="str">
        <f t="shared" si="0"/>
        <v>INSERT INTO participantes (id,nivel,correo,matricula,clave,nombre,carrera,grado,sexo,situacion,evaluados,num_evaluados,total_evaluaciones,ultimo_acceso,nivel_acceso) VALUES (1044,'LICENCIATURA','gabriela.cardenasdeharo','110481','TOMAR DEL SND','CARDENAS DE HARO GABRIELA','DERECHO','9no','FEMENINO','ACTIVO','',0,0,'','ALUMNO');</v>
      </c>
    </row>
    <row r="46" spans="1:12" ht="130.5" x14ac:dyDescent="0.35">
      <c r="A46" s="7">
        <v>1045</v>
      </c>
      <c r="B46" s="6" t="s">
        <v>5</v>
      </c>
      <c r="C46" t="s">
        <v>51</v>
      </c>
      <c r="D46" s="7" t="s">
        <v>623</v>
      </c>
      <c r="E46" s="7" t="s">
        <v>1149</v>
      </c>
      <c r="F46" t="s">
        <v>1195</v>
      </c>
      <c r="G46" s="7" t="s">
        <v>1725</v>
      </c>
      <c r="H46" t="s">
        <v>1736</v>
      </c>
      <c r="I46" t="s">
        <v>1743</v>
      </c>
      <c r="J46" t="s">
        <v>1786</v>
      </c>
      <c r="K46" s="2" t="str">
        <f t="shared" si="1"/>
        <v>1045,'LICENCIATURA','oscardaniel.tiburciofabian','110482','TOMAR DEL SND','TIBURCIO FABIAN OSCAR DANIEL','INGENIERIA AEROESPACIAL','9no','MASCULINO','ACTIVO','',0,0,'','ALUMNO'</v>
      </c>
      <c r="L46" s="10" t="str">
        <f t="shared" si="0"/>
        <v>INSERT INTO participantes (id,nivel,correo,matricula,clave,nombre,carrera,grado,sexo,situacion,evaluados,num_evaluados,total_evaluaciones,ultimo_acceso,nivel_acceso) VALUES (1045,'LICENCIATURA','oscardaniel.tiburciofabian','110482','TOMAR DEL SND','TIBURCIO FABIAN OSCAR DANIEL','INGENIERIA AEROESPACIAL','9no','MASCULINO','ACTIVO','',0,0,'','ALUMNO');</v>
      </c>
    </row>
    <row r="47" spans="1:12" ht="130.5" x14ac:dyDescent="0.35">
      <c r="A47" s="7">
        <v>1046</v>
      </c>
      <c r="B47" s="6" t="s">
        <v>5</v>
      </c>
      <c r="C47" t="s">
        <v>52</v>
      </c>
      <c r="D47" s="7" t="s">
        <v>624</v>
      </c>
      <c r="E47" s="7" t="s">
        <v>1149</v>
      </c>
      <c r="F47" t="s">
        <v>1196</v>
      </c>
      <c r="G47" s="7" t="s">
        <v>1725</v>
      </c>
      <c r="H47" t="s">
        <v>1736</v>
      </c>
      <c r="I47" t="s">
        <v>1744</v>
      </c>
      <c r="J47" t="s">
        <v>1786</v>
      </c>
      <c r="K47" s="2" t="str">
        <f t="shared" si="1"/>
        <v>1046,'LICENCIATURA','flormonserrat.alvaradoañorve','110485','TOMAR DEL SND','ALVARADO AÑORVE FLOR MONSERRAT','INGENIERIA AEROESPACIAL','9no','FEMENINO','ACTIVO','',0,0,'','ALUMNO'</v>
      </c>
      <c r="L47" s="10" t="str">
        <f t="shared" si="0"/>
        <v>INSERT INTO participantes (id,nivel,correo,matricula,clave,nombre,carrera,grado,sexo,situacion,evaluados,num_evaluados,total_evaluaciones,ultimo_acceso,nivel_acceso) VALUES (1046,'LICENCIATURA','flormonserrat.alvaradoañorve','110485','TOMAR DEL SND','ALVARADO AÑORVE FLOR MONSERRAT','INGENIERIA AEROESPACIAL','9no','FEMENINO','ACTIVO','',0,0,'','ALUMNO');</v>
      </c>
    </row>
    <row r="48" spans="1:12" ht="130.5" x14ac:dyDescent="0.35">
      <c r="A48" s="7">
        <v>1047</v>
      </c>
      <c r="B48" s="6" t="s">
        <v>5</v>
      </c>
      <c r="C48" t="s">
        <v>53</v>
      </c>
      <c r="D48" s="7" t="s">
        <v>625</v>
      </c>
      <c r="E48" s="7" t="s">
        <v>1149</v>
      </c>
      <c r="F48" t="s">
        <v>1197</v>
      </c>
      <c r="G48" s="7" t="s">
        <v>1724</v>
      </c>
      <c r="H48" t="s">
        <v>1736</v>
      </c>
      <c r="I48" t="s">
        <v>1744</v>
      </c>
      <c r="J48" t="s">
        <v>1786</v>
      </c>
      <c r="K48" s="2" t="str">
        <f t="shared" si="1"/>
        <v>1047,'LICENCIATURA','mayrajesusdebelen.rosalesherrera','110492','TOMAR DEL SND','ROSALES HERRERA MAYRA JESUS DE BELEN','NUTRICION Y GASTRONOMIA','9no','FEMENINO','ACTIVO','',0,0,'','ALUMNO'</v>
      </c>
      <c r="L48" s="10" t="str">
        <f t="shared" si="0"/>
        <v>INSERT INTO participantes (id,nivel,correo,matricula,clave,nombre,carrera,grado,sexo,situacion,evaluados,num_evaluados,total_evaluaciones,ultimo_acceso,nivel_acceso) VALUES (1047,'LICENCIATURA','mayrajesusdebelen.rosalesherrera','110492','TOMAR DEL SND','ROSALES HERRERA MAYRA JESUS DE BELEN','NUTRICION Y GASTRONOMIA','9no','FEMENINO','ACTIVO','',0,0,'','ALUMNO');</v>
      </c>
    </row>
    <row r="49" spans="1:12" ht="130.5" x14ac:dyDescent="0.35">
      <c r="A49" s="7">
        <v>1048</v>
      </c>
      <c r="B49" s="6" t="s">
        <v>5</v>
      </c>
      <c r="C49" t="s">
        <v>54</v>
      </c>
      <c r="D49" s="7" t="s">
        <v>626</v>
      </c>
      <c r="E49" s="7" t="s">
        <v>1149</v>
      </c>
      <c r="F49" t="s">
        <v>1198</v>
      </c>
      <c r="G49" s="7" t="s">
        <v>1732</v>
      </c>
      <c r="H49" t="s">
        <v>1736</v>
      </c>
      <c r="I49" t="s">
        <v>1743</v>
      </c>
      <c r="J49" t="s">
        <v>1786</v>
      </c>
      <c r="K49" s="2" t="str">
        <f t="shared" si="1"/>
        <v>1048,'LICENCIATURA','luisronaldo.silvatorres','110493','TOMAR DEL SND','SILVA TORRES LUIS RONALDO','DERECHO','9no','MASCULINO','ACTIVO','',0,0,'','ALUMNO'</v>
      </c>
      <c r="L49" s="10" t="str">
        <f t="shared" si="0"/>
        <v>INSERT INTO participantes (id,nivel,correo,matricula,clave,nombre,carrera,grado,sexo,situacion,evaluados,num_evaluados,total_evaluaciones,ultimo_acceso,nivel_acceso) VALUES (1048,'LICENCIATURA','luisronaldo.silvatorres','110493','TOMAR DEL SND','SILVA TORRES LUIS RONALDO','DERECHO','9no','MASCULINO','ACTIVO','',0,0,'','ALUMNO');</v>
      </c>
    </row>
    <row r="50" spans="1:12" ht="130.5" x14ac:dyDescent="0.35">
      <c r="A50" s="7">
        <v>1049</v>
      </c>
      <c r="B50" s="6" t="s">
        <v>5</v>
      </c>
      <c r="C50" t="s">
        <v>55</v>
      </c>
      <c r="D50" s="7" t="s">
        <v>627</v>
      </c>
      <c r="E50" s="7" t="s">
        <v>1149</v>
      </c>
      <c r="F50" t="s">
        <v>1199</v>
      </c>
      <c r="G50" s="7" t="s">
        <v>1724</v>
      </c>
      <c r="H50" t="s">
        <v>1736</v>
      </c>
      <c r="I50" t="s">
        <v>1744</v>
      </c>
      <c r="J50" t="s">
        <v>1786</v>
      </c>
      <c r="K50" s="2" t="str">
        <f t="shared" si="1"/>
        <v>1049,'LICENCIATURA','palomamichelle.cosiolopez','110495','TOMAR DEL SND','COSIO LOPEZ PALOMA MICHELLE','NUTRICION Y GASTRONOMIA','9no','FEMENINO','ACTIVO','',0,0,'','ALUMNO'</v>
      </c>
      <c r="L50" s="10" t="str">
        <f t="shared" si="0"/>
        <v>INSERT INTO participantes (id,nivel,correo,matricula,clave,nombre,carrera,grado,sexo,situacion,evaluados,num_evaluados,total_evaluaciones,ultimo_acceso,nivel_acceso) VALUES (1049,'LICENCIATURA','palomamichelle.cosiolopez','110495','TOMAR DEL SND','COSIO LOPEZ PALOMA MICHELLE','NUTRICION Y GASTRONOMIA','9no','FEMENINO','ACTIVO','',0,0,'','ALUMNO');</v>
      </c>
    </row>
    <row r="51" spans="1:12" ht="130.5" x14ac:dyDescent="0.35">
      <c r="A51" s="7">
        <v>1050</v>
      </c>
      <c r="B51" s="6" t="s">
        <v>5</v>
      </c>
      <c r="C51" t="s">
        <v>56</v>
      </c>
      <c r="D51" s="7" t="s">
        <v>628</v>
      </c>
      <c r="E51" s="7" t="s">
        <v>1149</v>
      </c>
      <c r="F51" t="s">
        <v>1200</v>
      </c>
      <c r="G51" s="7" t="s">
        <v>1730</v>
      </c>
      <c r="H51" t="s">
        <v>1741</v>
      </c>
      <c r="I51" t="s">
        <v>1743</v>
      </c>
      <c r="J51" t="s">
        <v>1786</v>
      </c>
      <c r="K51" s="2" t="str">
        <f t="shared" si="1"/>
        <v>1050,'LICENCIATURA','ricardo.lopezsilva','110496','TOMAR DEL SND','LOPEZ SILVA RICARDO','ANIMACION DIGITAL Y VIDEOJUEGOS','8vo','MASCULINO','ACTIVO','',0,0,'','ALUMNO'</v>
      </c>
      <c r="L51" s="10" t="str">
        <f t="shared" si="0"/>
        <v>INSERT INTO participantes (id,nivel,correo,matricula,clave,nombre,carrera,grado,sexo,situacion,evaluados,num_evaluados,total_evaluaciones,ultimo_acceso,nivel_acceso) VALUES (1050,'LICENCIATURA','ricardo.lopezsilva','110496','TOMAR DEL SND','LOPEZ SILVA RICARDO','ANIMACION DIGITAL Y VIDEOJUEGOS','8vo','MASCULINO','ACTIVO','',0,0,'','ALUMNO');</v>
      </c>
    </row>
    <row r="52" spans="1:12" ht="130.5" x14ac:dyDescent="0.35">
      <c r="A52" s="7">
        <v>1051</v>
      </c>
      <c r="B52" s="6" t="s">
        <v>5</v>
      </c>
      <c r="C52" t="s">
        <v>57</v>
      </c>
      <c r="D52" s="7" t="s">
        <v>629</v>
      </c>
      <c r="E52" s="7" t="s">
        <v>1149</v>
      </c>
      <c r="F52" t="s">
        <v>1201</v>
      </c>
      <c r="G52" s="7" t="s">
        <v>1723</v>
      </c>
      <c r="H52" t="s">
        <v>1736</v>
      </c>
      <c r="I52" t="s">
        <v>1743</v>
      </c>
      <c r="J52" t="s">
        <v>1786</v>
      </c>
      <c r="K52" s="2" t="str">
        <f t="shared" si="1"/>
        <v>1051,'LICENCIATURA','jorgeluis.robleslopez','110497','TOMAR DEL SND','ROBLES LOPEZ JORGE LUIS','INGENIERIA CIBERNETICA Y EN SISTEMAS COMPUTACIONALES','9no','MASCULINO','ACTIVO','',0,0,'','ALUMNO'</v>
      </c>
      <c r="L52" s="10" t="str">
        <f t="shared" si="0"/>
        <v>INSERT INTO participantes (id,nivel,correo,matricula,clave,nombre,carrera,grado,sexo,situacion,evaluados,num_evaluados,total_evaluaciones,ultimo_acceso,nivel_acceso) VALUES (1051,'LICENCIATURA','jorgeluis.robleslopez','110497','TOMAR DEL SND','ROBLES LOPEZ JORGE LUIS','INGENIERIA CIBERNETICA Y EN SISTEMAS COMPUTACIONALES','9no','MASCULINO','ACTIVO','',0,0,'','ALUMNO');</v>
      </c>
    </row>
    <row r="53" spans="1:12" ht="130.5" x14ac:dyDescent="0.35">
      <c r="A53" s="7">
        <v>1052</v>
      </c>
      <c r="B53" s="6" t="s">
        <v>5</v>
      </c>
      <c r="C53" t="s">
        <v>58</v>
      </c>
      <c r="D53" s="7" t="s">
        <v>630</v>
      </c>
      <c r="E53" s="7" t="s">
        <v>1149</v>
      </c>
      <c r="F53" t="s">
        <v>1202</v>
      </c>
      <c r="G53" s="7" t="s">
        <v>1724</v>
      </c>
      <c r="H53" t="s">
        <v>1736</v>
      </c>
      <c r="I53" t="s">
        <v>1744</v>
      </c>
      <c r="J53" t="s">
        <v>1786</v>
      </c>
      <c r="K53" s="2" t="str">
        <f t="shared" si="1"/>
        <v>1052,'LICENCIATURA','andrea.vazquezcortes','110501','TOMAR DEL SND','VAZQUEZ CORTES ANDREA','NUTRICION Y GASTRONOMIA','9no','FEMENINO','ACTIVO','',0,0,'','ALUMNO'</v>
      </c>
      <c r="L53" s="10" t="str">
        <f t="shared" si="0"/>
        <v>INSERT INTO participantes (id,nivel,correo,matricula,clave,nombre,carrera,grado,sexo,situacion,evaluados,num_evaluados,total_evaluaciones,ultimo_acceso,nivel_acceso) VALUES (1052,'LICENCIATURA','andrea.vazquezcortes','110501','TOMAR DEL SND','VAZQUEZ CORTES ANDREA','NUTRICION Y GASTRONOMIA','9no','FEMENINO','ACTIVO','',0,0,'','ALUMNO');</v>
      </c>
    </row>
    <row r="54" spans="1:12" ht="130.5" x14ac:dyDescent="0.35">
      <c r="A54" s="7">
        <v>1053</v>
      </c>
      <c r="B54" s="6" t="s">
        <v>5</v>
      </c>
      <c r="C54" t="s">
        <v>59</v>
      </c>
      <c r="D54" s="7" t="s">
        <v>631</v>
      </c>
      <c r="E54" s="7" t="s">
        <v>1149</v>
      </c>
      <c r="F54" t="s">
        <v>1203</v>
      </c>
      <c r="G54" s="7" t="s">
        <v>1724</v>
      </c>
      <c r="H54" t="s">
        <v>1736</v>
      </c>
      <c r="I54" t="s">
        <v>1744</v>
      </c>
      <c r="J54" t="s">
        <v>1786</v>
      </c>
      <c r="K54" s="2" t="str">
        <f t="shared" si="1"/>
        <v>1053,'LICENCIATURA','sofia.partidabarba','110504','TOMAR DEL SND','PARTIDA BARBA SOFIA','NUTRICION Y GASTRONOMIA','9no','FEMENINO','ACTIVO','',0,0,'','ALUMNO'</v>
      </c>
      <c r="L54" s="10" t="str">
        <f t="shared" si="0"/>
        <v>INSERT INTO participantes (id,nivel,correo,matricula,clave,nombre,carrera,grado,sexo,situacion,evaluados,num_evaluados,total_evaluaciones,ultimo_acceso,nivel_acceso) VALUES (1053,'LICENCIATURA','sofia.partidabarba','110504','TOMAR DEL SND','PARTIDA BARBA SOFIA','NUTRICION Y GASTRONOMIA','9no','FEMENINO','ACTIVO','',0,0,'','ALUMNO');</v>
      </c>
    </row>
    <row r="55" spans="1:12" ht="130.5" x14ac:dyDescent="0.35">
      <c r="A55" s="7">
        <v>1054</v>
      </c>
      <c r="B55" s="6" t="s">
        <v>5</v>
      </c>
      <c r="C55" t="s">
        <v>60</v>
      </c>
      <c r="D55" s="7" t="s">
        <v>632</v>
      </c>
      <c r="E55" s="7" t="s">
        <v>1149</v>
      </c>
      <c r="F55" t="s">
        <v>1204</v>
      </c>
      <c r="G55" s="7" t="s">
        <v>1725</v>
      </c>
      <c r="H55" t="s">
        <v>1736</v>
      </c>
      <c r="I55" t="s">
        <v>1743</v>
      </c>
      <c r="J55" t="s">
        <v>1786</v>
      </c>
      <c r="K55" s="2" t="str">
        <f t="shared" si="1"/>
        <v>1054,'LICENCIATURA','edgaralejandro.ortizvega','110505','TOMAR DEL SND','ORTIZ VEGA EDGAR ALEJANDRO','INGENIERIA AEROESPACIAL','9no','MASCULINO','ACTIVO','',0,0,'','ALUMNO'</v>
      </c>
      <c r="L55" s="10" t="str">
        <f t="shared" si="0"/>
        <v>INSERT INTO participantes (id,nivel,correo,matricula,clave,nombre,carrera,grado,sexo,situacion,evaluados,num_evaluados,total_evaluaciones,ultimo_acceso,nivel_acceso) VALUES (1054,'LICENCIATURA','edgaralejandro.ortizvega','110505','TOMAR DEL SND','ORTIZ VEGA EDGAR ALEJANDRO','INGENIERIA AEROESPACIAL','9no','MASCULINO','ACTIVO','',0,0,'','ALUMNO');</v>
      </c>
    </row>
    <row r="56" spans="1:12" ht="130.5" x14ac:dyDescent="0.35">
      <c r="A56" s="7">
        <v>1055</v>
      </c>
      <c r="B56" s="6" t="s">
        <v>5</v>
      </c>
      <c r="C56" t="s">
        <v>61</v>
      </c>
      <c r="D56" s="7" t="s">
        <v>633</v>
      </c>
      <c r="E56" s="7" t="s">
        <v>1149</v>
      </c>
      <c r="F56" t="s">
        <v>1205</v>
      </c>
      <c r="G56" s="7" t="s">
        <v>1725</v>
      </c>
      <c r="H56" t="s">
        <v>1736</v>
      </c>
      <c r="I56" t="s">
        <v>1743</v>
      </c>
      <c r="J56" t="s">
        <v>1786</v>
      </c>
      <c r="K56" s="2" t="str">
        <f t="shared" si="1"/>
        <v>1055,'LICENCIATURA','juanpablo.trejoyañez','110506','TOMAR DEL SND','TREJO YAÑEZ JUAN PABLO','INGENIERIA AEROESPACIAL','9no','MASCULINO','ACTIVO','',0,0,'','ALUMNO'</v>
      </c>
      <c r="L56" s="10" t="str">
        <f t="shared" si="0"/>
        <v>INSERT INTO participantes (id,nivel,correo,matricula,clave,nombre,carrera,grado,sexo,situacion,evaluados,num_evaluados,total_evaluaciones,ultimo_acceso,nivel_acceso) VALUES (1055,'LICENCIATURA','juanpablo.trejoyañez','110506','TOMAR DEL SND','TREJO YAÑEZ JUAN PABLO','INGENIERIA AEROESPACIAL','9no','MASCULINO','ACTIVO','',0,0,'','ALUMNO');</v>
      </c>
    </row>
    <row r="57" spans="1:12" ht="130.5" x14ac:dyDescent="0.35">
      <c r="A57" s="7">
        <v>1056</v>
      </c>
      <c r="B57" s="6" t="s">
        <v>5</v>
      </c>
      <c r="C57" t="s">
        <v>62</v>
      </c>
      <c r="D57" s="7" t="s">
        <v>634</v>
      </c>
      <c r="E57" s="7" t="s">
        <v>1149</v>
      </c>
      <c r="F57" t="s">
        <v>1206</v>
      </c>
      <c r="G57" s="7" t="s">
        <v>1725</v>
      </c>
      <c r="H57" t="s">
        <v>1736</v>
      </c>
      <c r="I57" t="s">
        <v>1743</v>
      </c>
      <c r="J57" t="s">
        <v>1786</v>
      </c>
      <c r="K57" s="2" t="str">
        <f t="shared" si="1"/>
        <v>1056,'LICENCIATURA','david.wilsontorres','110508','TOMAR DEL SND','WILSON TORRES DAVID','INGENIERIA AEROESPACIAL','9no','MASCULINO','ACTIVO','',0,0,'','ALUMNO'</v>
      </c>
      <c r="L57" s="10" t="str">
        <f t="shared" si="0"/>
        <v>INSERT INTO participantes (id,nivel,correo,matricula,clave,nombre,carrera,grado,sexo,situacion,evaluados,num_evaluados,total_evaluaciones,ultimo_acceso,nivel_acceso) VALUES (1056,'LICENCIATURA','david.wilsontorres','110508','TOMAR DEL SND','WILSON TORRES DAVID','INGENIERIA AEROESPACIAL','9no','MASCULINO','ACTIVO','',0,0,'','ALUMNO');</v>
      </c>
    </row>
    <row r="58" spans="1:12" ht="130.5" x14ac:dyDescent="0.35">
      <c r="A58" s="7">
        <v>1057</v>
      </c>
      <c r="B58" s="6" t="s">
        <v>5</v>
      </c>
      <c r="C58" t="s">
        <v>63</v>
      </c>
      <c r="D58" s="7" t="s">
        <v>635</v>
      </c>
      <c r="E58" s="7" t="s">
        <v>1149</v>
      </c>
      <c r="F58" t="s">
        <v>1207</v>
      </c>
      <c r="G58" s="7" t="s">
        <v>1725</v>
      </c>
      <c r="H58" t="s">
        <v>1736</v>
      </c>
      <c r="I58" t="s">
        <v>1743</v>
      </c>
      <c r="J58" t="s">
        <v>1786</v>
      </c>
      <c r="K58" s="2" t="str">
        <f t="shared" si="1"/>
        <v>1057,'LICENCIATURA','diego.chavezcontreras','110510','TOMAR DEL SND','CHAVEZ CONTRERAS DIEGO','INGENIERIA AEROESPACIAL','9no','MASCULINO','ACTIVO','',0,0,'','ALUMNO'</v>
      </c>
      <c r="L58" s="10" t="str">
        <f t="shared" si="0"/>
        <v>INSERT INTO participantes (id,nivel,correo,matricula,clave,nombre,carrera,grado,sexo,situacion,evaluados,num_evaluados,total_evaluaciones,ultimo_acceso,nivel_acceso) VALUES (1057,'LICENCIATURA','diego.chavezcontreras','110510','TOMAR DEL SND','CHAVEZ CONTRERAS DIEGO','INGENIERIA AEROESPACIAL','9no','MASCULINO','ACTIVO','',0,0,'','ALUMNO');</v>
      </c>
    </row>
    <row r="59" spans="1:12" ht="130.5" x14ac:dyDescent="0.35">
      <c r="A59" s="7">
        <v>1058</v>
      </c>
      <c r="B59" s="6" t="s">
        <v>5</v>
      </c>
      <c r="C59" t="s">
        <v>64</v>
      </c>
      <c r="D59" s="7" t="s">
        <v>636</v>
      </c>
      <c r="E59" s="7" t="s">
        <v>1149</v>
      </c>
      <c r="F59" t="s">
        <v>1208</v>
      </c>
      <c r="G59" s="7" t="s">
        <v>1725</v>
      </c>
      <c r="H59" t="s">
        <v>1736</v>
      </c>
      <c r="I59" t="s">
        <v>1743</v>
      </c>
      <c r="J59" t="s">
        <v>1786</v>
      </c>
      <c r="K59" s="2" t="str">
        <f t="shared" si="1"/>
        <v>1058,'LICENCIATURA','adibkaleb.gonzaleztoscano','110517','TOMAR DEL SND','GONZALEZ TOSCANO ADIB KALEB','INGENIERIA AEROESPACIAL','9no','MASCULINO','ACTIVO','',0,0,'','ALUMNO'</v>
      </c>
      <c r="L59" s="10" t="str">
        <f t="shared" si="0"/>
        <v>INSERT INTO participantes (id,nivel,correo,matricula,clave,nombre,carrera,grado,sexo,situacion,evaluados,num_evaluados,total_evaluaciones,ultimo_acceso,nivel_acceso) VALUES (1058,'LICENCIATURA','adibkaleb.gonzaleztoscano','110517','TOMAR DEL SND','GONZALEZ TOSCANO ADIB KALEB','INGENIERIA AEROESPACIAL','9no','MASCULINO','ACTIVO','',0,0,'','ALUMNO');</v>
      </c>
    </row>
    <row r="60" spans="1:12" ht="130.5" x14ac:dyDescent="0.35">
      <c r="A60" s="7">
        <v>1059</v>
      </c>
      <c r="B60" s="6" t="s">
        <v>5</v>
      </c>
      <c r="C60" t="s">
        <v>65</v>
      </c>
      <c r="D60" s="7" t="s">
        <v>637</v>
      </c>
      <c r="E60" s="7" t="s">
        <v>1149</v>
      </c>
      <c r="F60" t="s">
        <v>1209</v>
      </c>
      <c r="G60" s="7" t="s">
        <v>1732</v>
      </c>
      <c r="H60" t="s">
        <v>1736</v>
      </c>
      <c r="I60" t="s">
        <v>1743</v>
      </c>
      <c r="J60" t="s">
        <v>1786</v>
      </c>
      <c r="K60" s="2" t="str">
        <f t="shared" si="1"/>
        <v>1059,'LICENCIATURA','diego.gonzaleztelles','110518','TOMAR DEL SND','GONZALEZ TELLES DIEGO','DERECHO','9no','MASCULINO','ACTIVO','',0,0,'','ALUMNO'</v>
      </c>
      <c r="L60" s="10" t="str">
        <f t="shared" si="0"/>
        <v>INSERT INTO participantes (id,nivel,correo,matricula,clave,nombre,carrera,grado,sexo,situacion,evaluados,num_evaluados,total_evaluaciones,ultimo_acceso,nivel_acceso) VALUES (1059,'LICENCIATURA','diego.gonzaleztelles','110518','TOMAR DEL SND','GONZALEZ TELLES DIEGO','DERECHO','9no','MASCULINO','ACTIVO','',0,0,'','ALUMNO');</v>
      </c>
    </row>
    <row r="61" spans="1:12" ht="130.5" x14ac:dyDescent="0.35">
      <c r="A61" s="7">
        <v>1060</v>
      </c>
      <c r="B61" s="6" t="s">
        <v>5</v>
      </c>
      <c r="C61" t="s">
        <v>66</v>
      </c>
      <c r="D61" s="7" t="s">
        <v>638</v>
      </c>
      <c r="E61" s="7" t="s">
        <v>1149</v>
      </c>
      <c r="F61" t="s">
        <v>1210</v>
      </c>
      <c r="G61" s="7" t="s">
        <v>1725</v>
      </c>
      <c r="H61" t="s">
        <v>1736</v>
      </c>
      <c r="I61" t="s">
        <v>1743</v>
      </c>
      <c r="J61" t="s">
        <v>1786</v>
      </c>
      <c r="K61" s="2" t="str">
        <f t="shared" si="1"/>
        <v>1060,'LICENCIATURA','hectorbernardo.iñiguezpulido','110520','TOMAR DEL SND','IÑIGUEZ PULIDO HECTOR BERNARDO','INGENIERIA AEROESPACIAL','9no','MASCULINO','ACTIVO','',0,0,'','ALUMNO'</v>
      </c>
      <c r="L61" s="10" t="str">
        <f t="shared" si="0"/>
        <v>INSERT INTO participantes (id,nivel,correo,matricula,clave,nombre,carrera,grado,sexo,situacion,evaluados,num_evaluados,total_evaluaciones,ultimo_acceso,nivel_acceso) VALUES (1060,'LICENCIATURA','hectorbernardo.iñiguezpulido','110520','TOMAR DEL SND','IÑIGUEZ PULIDO HECTOR BERNARDO','INGENIERIA AEROESPACIAL','9no','MASCULINO','ACTIVO','',0,0,'','ALUMNO');</v>
      </c>
    </row>
    <row r="62" spans="1:12" ht="130.5" x14ac:dyDescent="0.35">
      <c r="A62" s="7">
        <v>1061</v>
      </c>
      <c r="B62" s="6" t="s">
        <v>5</v>
      </c>
      <c r="C62" t="s">
        <v>67</v>
      </c>
      <c r="D62" s="7" t="s">
        <v>639</v>
      </c>
      <c r="E62" s="7" t="s">
        <v>1149</v>
      </c>
      <c r="F62" t="s">
        <v>1211</v>
      </c>
      <c r="G62" s="7" t="s">
        <v>1724</v>
      </c>
      <c r="H62" t="s">
        <v>1736</v>
      </c>
      <c r="I62" t="s">
        <v>1743</v>
      </c>
      <c r="J62" t="s">
        <v>1786</v>
      </c>
      <c r="K62" s="2" t="str">
        <f t="shared" si="1"/>
        <v>1061,'LICENCIATURA','danteyael.valladareslopez','110523','TOMAR DEL SND','VALLADARES LOPEZ DANTE YAEL','NUTRICION Y GASTRONOMIA','9no','MASCULINO','ACTIVO','',0,0,'','ALUMNO'</v>
      </c>
      <c r="L62" s="10" t="str">
        <f t="shared" si="0"/>
        <v>INSERT INTO participantes (id,nivel,correo,matricula,clave,nombre,carrera,grado,sexo,situacion,evaluados,num_evaluados,total_evaluaciones,ultimo_acceso,nivel_acceso) VALUES (1061,'LICENCIATURA','danteyael.valladareslopez','110523','TOMAR DEL SND','VALLADARES LOPEZ DANTE YAEL','NUTRICION Y GASTRONOMIA','9no','MASCULINO','ACTIVO','',0,0,'','ALUMNO');</v>
      </c>
    </row>
    <row r="63" spans="1:12" ht="130.5" x14ac:dyDescent="0.35">
      <c r="A63" s="7">
        <v>1062</v>
      </c>
      <c r="B63" s="6" t="s">
        <v>5</v>
      </c>
      <c r="C63" t="s">
        <v>68</v>
      </c>
      <c r="D63" s="7" t="s">
        <v>640</v>
      </c>
      <c r="E63" s="7" t="s">
        <v>1149</v>
      </c>
      <c r="F63" t="s">
        <v>1212</v>
      </c>
      <c r="G63" s="7" t="s">
        <v>1725</v>
      </c>
      <c r="H63" t="s">
        <v>1736</v>
      </c>
      <c r="I63" t="s">
        <v>1744</v>
      </c>
      <c r="J63" t="s">
        <v>1786</v>
      </c>
      <c r="K63" s="2" t="str">
        <f t="shared" si="1"/>
        <v>1062,'LICENCIATURA','lilian.valenciabarajas','110524','TOMAR DEL SND','VALENCIA BARAJAS LILIAN','INGENIERIA AEROESPACIAL','9no','FEMENINO','ACTIVO','',0,0,'','ALUMNO'</v>
      </c>
      <c r="L63" s="10" t="str">
        <f t="shared" si="0"/>
        <v>INSERT INTO participantes (id,nivel,correo,matricula,clave,nombre,carrera,grado,sexo,situacion,evaluados,num_evaluados,total_evaluaciones,ultimo_acceso,nivel_acceso) VALUES (1062,'LICENCIATURA','lilian.valenciabarajas','110524','TOMAR DEL SND','VALENCIA BARAJAS LILIAN','INGENIERIA AEROESPACIAL','9no','FEMENINO','ACTIVO','',0,0,'','ALUMNO');</v>
      </c>
    </row>
    <row r="64" spans="1:12" ht="130.5" x14ac:dyDescent="0.35">
      <c r="A64" s="7">
        <v>1063</v>
      </c>
      <c r="B64" s="6" t="s">
        <v>5</v>
      </c>
      <c r="C64" t="s">
        <v>69</v>
      </c>
      <c r="D64" s="7" t="s">
        <v>641</v>
      </c>
      <c r="E64" s="7" t="s">
        <v>1149</v>
      </c>
      <c r="F64" t="s">
        <v>1213</v>
      </c>
      <c r="G64" s="7" t="s">
        <v>1723</v>
      </c>
      <c r="H64" t="s">
        <v>1736</v>
      </c>
      <c r="I64" t="s">
        <v>1743</v>
      </c>
      <c r="J64" t="s">
        <v>1786</v>
      </c>
      <c r="K64" s="2" t="str">
        <f t="shared" si="1"/>
        <v>1063,'LICENCIATURA','rodrigo.medranoorta','110527','TOMAR DEL SND','MEDRANO ORTA RODRIGO','INGENIERIA CIBERNETICA Y EN SISTEMAS COMPUTACIONALES','9no','MASCULINO','ACTIVO','',0,0,'','ALUMNO'</v>
      </c>
      <c r="L64" s="10" t="str">
        <f t="shared" si="0"/>
        <v>INSERT INTO participantes (id,nivel,correo,matricula,clave,nombre,carrera,grado,sexo,situacion,evaluados,num_evaluados,total_evaluaciones,ultimo_acceso,nivel_acceso) VALUES (1063,'LICENCIATURA','rodrigo.medranoorta','110527','TOMAR DEL SND','MEDRANO ORTA RODRIGO','INGENIERIA CIBERNETICA Y EN SISTEMAS COMPUTACIONALES','9no','MASCULINO','ACTIVO','',0,0,'','ALUMNO');</v>
      </c>
    </row>
    <row r="65" spans="1:12" ht="130.5" x14ac:dyDescent="0.35">
      <c r="A65" s="7">
        <v>1064</v>
      </c>
      <c r="B65" s="6" t="s">
        <v>5</v>
      </c>
      <c r="C65" t="s">
        <v>70</v>
      </c>
      <c r="D65" s="7" t="s">
        <v>642</v>
      </c>
      <c r="E65" s="7" t="s">
        <v>1149</v>
      </c>
      <c r="F65" t="s">
        <v>1214</v>
      </c>
      <c r="G65" s="7" t="s">
        <v>1725</v>
      </c>
      <c r="H65" t="s">
        <v>1736</v>
      </c>
      <c r="I65" t="s">
        <v>1743</v>
      </c>
      <c r="J65" t="s">
        <v>1786</v>
      </c>
      <c r="K65" s="2" t="str">
        <f t="shared" si="1"/>
        <v>1064,'LICENCIATURA','bogargerardo.gallegosarciniega','110531','TOMAR DEL SND','GALLEGOS ARCINIEGA BOGAR GERARDO','INGENIERIA AEROESPACIAL','9no','MASCULINO','ACTIVO','',0,0,'','ALUMNO'</v>
      </c>
      <c r="L65" s="10" t="str">
        <f t="shared" si="0"/>
        <v>INSERT INTO participantes (id,nivel,correo,matricula,clave,nombre,carrera,grado,sexo,situacion,evaluados,num_evaluados,total_evaluaciones,ultimo_acceso,nivel_acceso) VALUES (1064,'LICENCIATURA','bogargerardo.gallegosarciniega','110531','TOMAR DEL SND','GALLEGOS ARCINIEGA BOGAR GERARDO','INGENIERIA AEROESPACIAL','9no','MASCULINO','ACTIVO','',0,0,'','ALUMNO');</v>
      </c>
    </row>
    <row r="66" spans="1:12" ht="130.5" x14ac:dyDescent="0.35">
      <c r="A66" s="7">
        <v>1065</v>
      </c>
      <c r="B66" s="6" t="s">
        <v>5</v>
      </c>
      <c r="C66" t="s">
        <v>71</v>
      </c>
      <c r="D66" s="7" t="s">
        <v>643</v>
      </c>
      <c r="E66" s="7" t="s">
        <v>1149</v>
      </c>
      <c r="F66" t="s">
        <v>1215</v>
      </c>
      <c r="G66" s="7" t="s">
        <v>1725</v>
      </c>
      <c r="H66" t="s">
        <v>1736</v>
      </c>
      <c r="I66" t="s">
        <v>1743</v>
      </c>
      <c r="J66" t="s">
        <v>1786</v>
      </c>
      <c r="K66" s="2" t="str">
        <f t="shared" si="1"/>
        <v>1065,'LICENCIATURA','ernesto.rojasrodriguez','110550','TOMAR DEL SND','ROJAS RODRIGUEZ ERNESTO','INGENIERIA AEROESPACIAL','9no','MASCULINO','ACTIVO','',0,0,'','ALUMNO'</v>
      </c>
      <c r="L66" s="10" t="str">
        <f t="shared" ref="L66:L129" si="2">CONCATENATE($K$1,K66,");")</f>
        <v>INSERT INTO participantes (id,nivel,correo,matricula,clave,nombre,carrera,grado,sexo,situacion,evaluados,num_evaluados,total_evaluaciones,ultimo_acceso,nivel_acceso) VALUES (1065,'LICENCIATURA','ernesto.rojasrodriguez','110550','TOMAR DEL SND','ROJAS RODRIGUEZ ERNESTO','INGENIERIA AEROESPACIAL','9no','MASCULINO','ACTIVO','',0,0,'','ALUMNO');</v>
      </c>
    </row>
    <row r="67" spans="1:12" ht="130.5" x14ac:dyDescent="0.35">
      <c r="A67" s="7">
        <v>1066</v>
      </c>
      <c r="B67" s="6" t="s">
        <v>5</v>
      </c>
      <c r="C67" t="s">
        <v>72</v>
      </c>
      <c r="D67" s="7" t="s">
        <v>644</v>
      </c>
      <c r="E67" s="7" t="s">
        <v>1149</v>
      </c>
      <c r="F67" t="s">
        <v>1216</v>
      </c>
      <c r="G67" s="7" t="s">
        <v>1724</v>
      </c>
      <c r="H67" t="s">
        <v>1736</v>
      </c>
      <c r="I67" t="s">
        <v>1744</v>
      </c>
      <c r="J67" t="s">
        <v>1786</v>
      </c>
      <c r="K67" s="2" t="str">
        <f t="shared" ref="K67:K130" si="3">CONCATENATE(A67,",'",B67,"','",C67,"','",D67,"','",E67,"','",F67,"','",G67,"','",H67,"','",UPPER(I67),"','",UPPER(J67),"','',0,0,'','ALUMNO'")</f>
        <v>1066,'LICENCIATURA','evaregina.guzmanvillaseñor','110553','TOMAR DEL SND','GUZMAN VILLASEÑOR EVA REGINA','NUTRICION Y GASTRONOMIA','9no','FEMENINO','ACTIVO','',0,0,'','ALUMNO'</v>
      </c>
      <c r="L67" s="10" t="str">
        <f t="shared" si="2"/>
        <v>INSERT INTO participantes (id,nivel,correo,matricula,clave,nombre,carrera,grado,sexo,situacion,evaluados,num_evaluados,total_evaluaciones,ultimo_acceso,nivel_acceso) VALUES (1066,'LICENCIATURA','evaregina.guzmanvillaseñor','110553','TOMAR DEL SND','GUZMAN VILLASEÑOR EVA REGINA','NUTRICION Y GASTRONOMIA','9no','FEMENINO','ACTIVO','',0,0,'','ALUMNO');</v>
      </c>
    </row>
    <row r="68" spans="1:12" ht="130.5" x14ac:dyDescent="0.35">
      <c r="A68" s="7">
        <v>1067</v>
      </c>
      <c r="B68" s="6" t="s">
        <v>5</v>
      </c>
      <c r="C68" t="s">
        <v>73</v>
      </c>
      <c r="D68" s="7" t="s">
        <v>645</v>
      </c>
      <c r="E68" s="7" t="s">
        <v>1149</v>
      </c>
      <c r="F68" t="s">
        <v>1217</v>
      </c>
      <c r="G68" s="7" t="s">
        <v>1723</v>
      </c>
      <c r="H68" t="s">
        <v>1736</v>
      </c>
      <c r="I68" t="s">
        <v>1743</v>
      </c>
      <c r="J68" t="s">
        <v>1786</v>
      </c>
      <c r="K68" s="2" t="str">
        <f t="shared" si="3"/>
        <v>1067,'LICENCIATURA','marcoarturo.ortacruz','110556','TOMAR DEL SND','ORTA CRUZ MARCO ARTURO','INGENIERIA CIBERNETICA Y EN SISTEMAS COMPUTACIONALES','9no','MASCULINO','ACTIVO','',0,0,'','ALUMNO'</v>
      </c>
      <c r="L68" s="10" t="str">
        <f t="shared" si="2"/>
        <v>INSERT INTO participantes (id,nivel,correo,matricula,clave,nombre,carrera,grado,sexo,situacion,evaluados,num_evaluados,total_evaluaciones,ultimo_acceso,nivel_acceso) VALUES (1067,'LICENCIATURA','marcoarturo.ortacruz','110556','TOMAR DEL SND','ORTA CRUZ MARCO ARTURO','INGENIERIA CIBERNETICA Y EN SISTEMAS COMPUTACIONALES','9no','MASCULINO','ACTIVO','',0,0,'','ALUMNO');</v>
      </c>
    </row>
    <row r="69" spans="1:12" ht="130.5" x14ac:dyDescent="0.35">
      <c r="A69" s="7">
        <v>1068</v>
      </c>
      <c r="B69" s="6" t="s">
        <v>5</v>
      </c>
      <c r="C69" t="s">
        <v>74</v>
      </c>
      <c r="D69" s="7" t="s">
        <v>646</v>
      </c>
      <c r="E69" s="7" t="s">
        <v>1149</v>
      </c>
      <c r="F69" t="s">
        <v>1218</v>
      </c>
      <c r="G69" s="7" t="s">
        <v>1725</v>
      </c>
      <c r="H69" t="s">
        <v>1736</v>
      </c>
      <c r="I69" t="s">
        <v>1743</v>
      </c>
      <c r="J69" t="s">
        <v>1786</v>
      </c>
      <c r="K69" s="2" t="str">
        <f t="shared" si="3"/>
        <v>1068,'LICENCIATURA','leonelmaximiliano.ortacruz','110557','TOMAR DEL SND','ORTA CRUZ LEONEL MAXIMILIANO','INGENIERIA AEROESPACIAL','9no','MASCULINO','ACTIVO','',0,0,'','ALUMNO'</v>
      </c>
      <c r="L69" s="10" t="str">
        <f t="shared" si="2"/>
        <v>INSERT INTO participantes (id,nivel,correo,matricula,clave,nombre,carrera,grado,sexo,situacion,evaluados,num_evaluados,total_evaluaciones,ultimo_acceso,nivel_acceso) VALUES (1068,'LICENCIATURA','leonelmaximiliano.ortacruz','110557','TOMAR DEL SND','ORTA CRUZ LEONEL MAXIMILIANO','INGENIERIA AEROESPACIAL','9no','MASCULINO','ACTIVO','',0,0,'','ALUMNO');</v>
      </c>
    </row>
    <row r="70" spans="1:12" ht="130.5" x14ac:dyDescent="0.35">
      <c r="A70" s="7">
        <v>1069</v>
      </c>
      <c r="B70" s="6" t="s">
        <v>5</v>
      </c>
      <c r="C70" t="s">
        <v>75</v>
      </c>
      <c r="D70" s="7" t="s">
        <v>647</v>
      </c>
      <c r="E70" s="7" t="s">
        <v>1149</v>
      </c>
      <c r="F70" t="s">
        <v>1219</v>
      </c>
      <c r="G70" s="7" t="s">
        <v>1725</v>
      </c>
      <c r="H70" t="s">
        <v>1736</v>
      </c>
      <c r="I70" t="s">
        <v>1743</v>
      </c>
      <c r="J70" t="s">
        <v>1786</v>
      </c>
      <c r="K70" s="2" t="str">
        <f t="shared" si="3"/>
        <v>1069,'LICENCIATURA','marceliano.belloarias','110558','TOMAR DEL SND','BELLO ARIAS MARCELIANO','INGENIERIA AEROESPACIAL','9no','MASCULINO','ACTIVO','',0,0,'','ALUMNO'</v>
      </c>
      <c r="L70" s="10" t="str">
        <f t="shared" si="2"/>
        <v>INSERT INTO participantes (id,nivel,correo,matricula,clave,nombre,carrera,grado,sexo,situacion,evaluados,num_evaluados,total_evaluaciones,ultimo_acceso,nivel_acceso) VALUES (1069,'LICENCIATURA','marceliano.belloarias','110558','TOMAR DEL SND','BELLO ARIAS MARCELIANO','INGENIERIA AEROESPACIAL','9no','MASCULINO','ACTIVO','',0,0,'','ALUMNO');</v>
      </c>
    </row>
    <row r="71" spans="1:12" ht="130.5" x14ac:dyDescent="0.35">
      <c r="A71" s="7">
        <v>1070</v>
      </c>
      <c r="B71" s="6" t="s">
        <v>5</v>
      </c>
      <c r="C71" t="s">
        <v>76</v>
      </c>
      <c r="D71" s="7" t="s">
        <v>648</v>
      </c>
      <c r="E71" s="7" t="s">
        <v>1149</v>
      </c>
      <c r="F71" t="s">
        <v>1220</v>
      </c>
      <c r="G71" s="7" t="s">
        <v>1723</v>
      </c>
      <c r="H71" t="s">
        <v>1736</v>
      </c>
      <c r="I71" t="s">
        <v>1743</v>
      </c>
      <c r="J71" t="s">
        <v>1786</v>
      </c>
      <c r="K71" s="2" t="str">
        <f t="shared" si="3"/>
        <v>1070,'LICENCIATURA','marioarturo.gaytanorozco','110561','TOMAR DEL SND','GAYTAN OROZCO MARIO ARTURO','INGENIERIA CIBERNETICA Y EN SISTEMAS COMPUTACIONALES','9no','MASCULINO','ACTIVO','',0,0,'','ALUMNO'</v>
      </c>
      <c r="L71" s="10" t="str">
        <f t="shared" si="2"/>
        <v>INSERT INTO participantes (id,nivel,correo,matricula,clave,nombre,carrera,grado,sexo,situacion,evaluados,num_evaluados,total_evaluaciones,ultimo_acceso,nivel_acceso) VALUES (1070,'LICENCIATURA','marioarturo.gaytanorozco','110561','TOMAR DEL SND','GAYTAN OROZCO MARIO ARTURO','INGENIERIA CIBERNETICA Y EN SISTEMAS COMPUTACIONALES','9no','MASCULINO','ACTIVO','',0,0,'','ALUMNO');</v>
      </c>
    </row>
    <row r="72" spans="1:12" ht="130.5" x14ac:dyDescent="0.35">
      <c r="A72" s="7">
        <v>1071</v>
      </c>
      <c r="B72" s="6" t="s">
        <v>5</v>
      </c>
      <c r="C72" t="s">
        <v>77</v>
      </c>
      <c r="D72" s="7" t="s">
        <v>649</v>
      </c>
      <c r="E72" s="7" t="s">
        <v>1149</v>
      </c>
      <c r="F72" t="s">
        <v>1221</v>
      </c>
      <c r="G72" s="7" t="s">
        <v>1725</v>
      </c>
      <c r="H72" t="s">
        <v>1736</v>
      </c>
      <c r="I72" t="s">
        <v>1743</v>
      </c>
      <c r="J72" t="s">
        <v>1786</v>
      </c>
      <c r="K72" s="2" t="str">
        <f t="shared" si="3"/>
        <v>1071,'LICENCIATURA','jaazielalejandro.morenotoscano','110570','TOMAR DEL SND','MORENO TOSCANO JAAZIEL ALEJANDRO','INGENIERIA AEROESPACIAL','9no','MASCULINO','ACTIVO','',0,0,'','ALUMNO'</v>
      </c>
      <c r="L72" s="10" t="str">
        <f t="shared" si="2"/>
        <v>INSERT INTO participantes (id,nivel,correo,matricula,clave,nombre,carrera,grado,sexo,situacion,evaluados,num_evaluados,total_evaluaciones,ultimo_acceso,nivel_acceso) VALUES (1071,'LICENCIATURA','jaazielalejandro.morenotoscano','110570','TOMAR DEL SND','MORENO TOSCANO JAAZIEL ALEJANDRO','INGENIERIA AEROESPACIAL','9no','MASCULINO','ACTIVO','',0,0,'','ALUMNO');</v>
      </c>
    </row>
    <row r="73" spans="1:12" ht="130.5" x14ac:dyDescent="0.35">
      <c r="A73" s="7">
        <v>1072</v>
      </c>
      <c r="B73" s="6" t="s">
        <v>5</v>
      </c>
      <c r="C73" t="s">
        <v>78</v>
      </c>
      <c r="D73" s="7" t="s">
        <v>650</v>
      </c>
      <c r="E73" s="7" t="s">
        <v>1149</v>
      </c>
      <c r="F73" t="s">
        <v>1222</v>
      </c>
      <c r="G73" s="7" t="s">
        <v>1725</v>
      </c>
      <c r="H73" t="s">
        <v>1736</v>
      </c>
      <c r="I73" t="s">
        <v>1743</v>
      </c>
      <c r="J73" t="s">
        <v>1786</v>
      </c>
      <c r="K73" s="2" t="str">
        <f t="shared" si="3"/>
        <v>1072,'LICENCIATURA','josemauricio.huitronsanchez','110594','TOMAR DEL SND','HUITRON SANCHEZ JOSE MAURICIO','INGENIERIA AEROESPACIAL','9no','MASCULINO','ACTIVO','',0,0,'','ALUMNO'</v>
      </c>
      <c r="L73" s="10" t="str">
        <f t="shared" si="2"/>
        <v>INSERT INTO participantes (id,nivel,correo,matricula,clave,nombre,carrera,grado,sexo,situacion,evaluados,num_evaluados,total_evaluaciones,ultimo_acceso,nivel_acceso) VALUES (1072,'LICENCIATURA','josemauricio.huitronsanchez','110594','TOMAR DEL SND','HUITRON SANCHEZ JOSE MAURICIO','INGENIERIA AEROESPACIAL','9no','MASCULINO','ACTIVO','',0,0,'','ALUMNO');</v>
      </c>
    </row>
    <row r="74" spans="1:12" ht="130.5" x14ac:dyDescent="0.35">
      <c r="A74" s="7">
        <v>1073</v>
      </c>
      <c r="B74" s="6" t="s">
        <v>5</v>
      </c>
      <c r="C74" t="s">
        <v>79</v>
      </c>
      <c r="D74" s="7" t="s">
        <v>651</v>
      </c>
      <c r="E74" s="7" t="s">
        <v>1149</v>
      </c>
      <c r="F74" t="s">
        <v>1223</v>
      </c>
      <c r="G74" s="7" t="s">
        <v>1724</v>
      </c>
      <c r="H74" t="s">
        <v>1736</v>
      </c>
      <c r="I74" t="s">
        <v>1743</v>
      </c>
      <c r="J74" t="s">
        <v>1786</v>
      </c>
      <c r="K74" s="2" t="str">
        <f t="shared" si="3"/>
        <v>1073,'LICENCIATURA','alfonso.rosalesvargas','110596','TOMAR DEL SND','ROSALES VARGAS ALFONSO','NUTRICION Y GASTRONOMIA','9no','MASCULINO','ACTIVO','',0,0,'','ALUMNO'</v>
      </c>
      <c r="L74" s="10" t="str">
        <f t="shared" si="2"/>
        <v>INSERT INTO participantes (id,nivel,correo,matricula,clave,nombre,carrera,grado,sexo,situacion,evaluados,num_evaluados,total_evaluaciones,ultimo_acceso,nivel_acceso) VALUES (1073,'LICENCIATURA','alfonso.rosalesvargas','110596','TOMAR DEL SND','ROSALES VARGAS ALFONSO','NUTRICION Y GASTRONOMIA','9no','MASCULINO','ACTIVO','',0,0,'','ALUMNO');</v>
      </c>
    </row>
    <row r="75" spans="1:12" ht="130.5" x14ac:dyDescent="0.35">
      <c r="A75" s="7">
        <v>1074</v>
      </c>
      <c r="B75" s="6" t="s">
        <v>5</v>
      </c>
      <c r="C75" t="s">
        <v>80</v>
      </c>
      <c r="D75" s="7" t="s">
        <v>652</v>
      </c>
      <c r="E75" s="7" t="s">
        <v>1149</v>
      </c>
      <c r="F75" t="s">
        <v>1224</v>
      </c>
      <c r="G75" s="7" t="s">
        <v>1732</v>
      </c>
      <c r="H75" t="s">
        <v>1736</v>
      </c>
      <c r="I75" t="s">
        <v>1743</v>
      </c>
      <c r="J75" t="s">
        <v>1786</v>
      </c>
      <c r="K75" s="2" t="str">
        <f t="shared" si="3"/>
        <v>1074,'LICENCIATURA','juanpablo.ruizgarcia','110604','TOMAR DEL SND','RUIZ GARCIA JUAN PABLO','DERECHO','9no','MASCULINO','ACTIVO','',0,0,'','ALUMNO'</v>
      </c>
      <c r="L75" s="10" t="str">
        <f t="shared" si="2"/>
        <v>INSERT INTO participantes (id,nivel,correo,matricula,clave,nombre,carrera,grado,sexo,situacion,evaluados,num_evaluados,total_evaluaciones,ultimo_acceso,nivel_acceso) VALUES (1074,'LICENCIATURA','juanpablo.ruizgarcia','110604','TOMAR DEL SND','RUIZ GARCIA JUAN PABLO','DERECHO','9no','MASCULINO','ACTIVO','',0,0,'','ALUMNO');</v>
      </c>
    </row>
    <row r="76" spans="1:12" ht="130.5" x14ac:dyDescent="0.35">
      <c r="A76" s="7">
        <v>1075</v>
      </c>
      <c r="B76" s="6" t="s">
        <v>5</v>
      </c>
      <c r="C76" t="s">
        <v>81</v>
      </c>
      <c r="D76" s="7" t="s">
        <v>653</v>
      </c>
      <c r="E76" s="7" t="s">
        <v>1149</v>
      </c>
      <c r="F76" t="s">
        <v>1225</v>
      </c>
      <c r="G76" s="7" t="s">
        <v>1725</v>
      </c>
      <c r="H76" t="s">
        <v>1736</v>
      </c>
      <c r="I76" t="s">
        <v>1744</v>
      </c>
      <c r="J76" t="s">
        <v>1786</v>
      </c>
      <c r="K76" s="2" t="str">
        <f t="shared" si="3"/>
        <v>1075,'LICENCIATURA','lisset.sandovalvalenzuela','110605','TOMAR DEL SND','SANDOVAL VALENZUELA LISSET','INGENIERIA AEROESPACIAL','9no','FEMENINO','ACTIVO','',0,0,'','ALUMNO'</v>
      </c>
      <c r="L76" s="10" t="str">
        <f t="shared" si="2"/>
        <v>INSERT INTO participantes (id,nivel,correo,matricula,clave,nombre,carrera,grado,sexo,situacion,evaluados,num_evaluados,total_evaluaciones,ultimo_acceso,nivel_acceso) VALUES (1075,'LICENCIATURA','lisset.sandovalvalenzuela','110605','TOMAR DEL SND','SANDOVAL VALENZUELA LISSET','INGENIERIA AEROESPACIAL','9no','FEMENINO','ACTIVO','',0,0,'','ALUMNO');</v>
      </c>
    </row>
    <row r="77" spans="1:12" ht="130.5" x14ac:dyDescent="0.35">
      <c r="A77" s="7">
        <v>1076</v>
      </c>
      <c r="B77" s="6" t="s">
        <v>5</v>
      </c>
      <c r="C77" t="s">
        <v>82</v>
      </c>
      <c r="D77" s="7" t="s">
        <v>654</v>
      </c>
      <c r="E77" s="7" t="s">
        <v>1149</v>
      </c>
      <c r="F77" t="s">
        <v>1226</v>
      </c>
      <c r="G77" s="7" t="s">
        <v>1723</v>
      </c>
      <c r="H77" t="s">
        <v>1736</v>
      </c>
      <c r="I77" t="s">
        <v>1744</v>
      </c>
      <c r="J77" t="s">
        <v>1786</v>
      </c>
      <c r="K77" s="2" t="str">
        <f t="shared" si="3"/>
        <v>1076,'LICENCIATURA','rosario.rosasperez','110612','TOMAR DEL SND','ROSAS PEREZ ROSARIO','INGENIERIA CIBERNETICA Y EN SISTEMAS COMPUTACIONALES','9no','FEMENINO','ACTIVO','',0,0,'','ALUMNO'</v>
      </c>
      <c r="L77" s="10" t="str">
        <f t="shared" si="2"/>
        <v>INSERT INTO participantes (id,nivel,correo,matricula,clave,nombre,carrera,grado,sexo,situacion,evaluados,num_evaluados,total_evaluaciones,ultimo_acceso,nivel_acceso) VALUES (1076,'LICENCIATURA','rosario.rosasperez','110612','TOMAR DEL SND','ROSAS PEREZ ROSARIO','INGENIERIA CIBERNETICA Y EN SISTEMAS COMPUTACIONALES','9no','FEMENINO','ACTIVO','',0,0,'','ALUMNO');</v>
      </c>
    </row>
    <row r="78" spans="1:12" ht="130.5" x14ac:dyDescent="0.35">
      <c r="A78" s="7">
        <v>1077</v>
      </c>
      <c r="B78" s="6" t="s">
        <v>5</v>
      </c>
      <c r="C78" t="s">
        <v>83</v>
      </c>
      <c r="D78" s="7" t="s">
        <v>655</v>
      </c>
      <c r="E78" s="7" t="s">
        <v>1149</v>
      </c>
      <c r="F78" t="s">
        <v>1227</v>
      </c>
      <c r="G78" s="7" t="s">
        <v>1733</v>
      </c>
      <c r="H78" t="s">
        <v>1738</v>
      </c>
      <c r="I78" t="s">
        <v>1744</v>
      </c>
      <c r="J78" t="s">
        <v>1786</v>
      </c>
      <c r="K78" s="2" t="str">
        <f t="shared" si="3"/>
        <v>1077,'LICENCIATURA','mariaantonia.hernandezhernandez','110616','TOMAR DEL SND','HERNANDEZ HERNANDEZ MARIA ANTONIA','DISEÑO GRAFICO Y DIGITAL','7mo','FEMENINO','ACTIVO','',0,0,'','ALUMNO'</v>
      </c>
      <c r="L78" s="10" t="str">
        <f t="shared" si="2"/>
        <v>INSERT INTO participantes (id,nivel,correo,matricula,clave,nombre,carrera,grado,sexo,situacion,evaluados,num_evaluados,total_evaluaciones,ultimo_acceso,nivel_acceso) VALUES (1077,'LICENCIATURA','mariaantonia.hernandezhernandez','110616','TOMAR DEL SND','HERNANDEZ HERNANDEZ MARIA ANTONIA','DISEÑO GRAFICO Y DIGITAL','7mo','FEMENINO','ACTIVO','',0,0,'','ALUMNO');</v>
      </c>
    </row>
    <row r="79" spans="1:12" ht="130.5" x14ac:dyDescent="0.35">
      <c r="A79" s="7">
        <v>1078</v>
      </c>
      <c r="B79" s="6" t="s">
        <v>5</v>
      </c>
      <c r="C79" t="s">
        <v>84</v>
      </c>
      <c r="D79" s="7" t="s">
        <v>656</v>
      </c>
      <c r="E79" s="7" t="s">
        <v>1149</v>
      </c>
      <c r="F79" t="s">
        <v>1228</v>
      </c>
      <c r="G79" s="7" t="s">
        <v>1733</v>
      </c>
      <c r="H79" t="s">
        <v>1738</v>
      </c>
      <c r="I79" t="s">
        <v>1744</v>
      </c>
      <c r="J79" t="s">
        <v>1786</v>
      </c>
      <c r="K79" s="2" t="str">
        <f t="shared" si="3"/>
        <v>1078,'LICENCIATURA','hermelinda.hernandezhernandez','110617','TOMAR DEL SND','HERNANDEZ HERNANDEZ HERMELINDA','DISEÑO GRAFICO Y DIGITAL','7mo','FEMENINO','ACTIVO','',0,0,'','ALUMNO'</v>
      </c>
      <c r="L79" s="10" t="str">
        <f t="shared" si="2"/>
        <v>INSERT INTO participantes (id,nivel,correo,matricula,clave,nombre,carrera,grado,sexo,situacion,evaluados,num_evaluados,total_evaluaciones,ultimo_acceso,nivel_acceso) VALUES (1078,'LICENCIATURA','hermelinda.hernandezhernandez','110617','TOMAR DEL SND','HERNANDEZ HERNANDEZ HERMELINDA','DISEÑO GRAFICO Y DIGITAL','7mo','FEMENINO','ACTIVO','',0,0,'','ALUMNO');</v>
      </c>
    </row>
    <row r="80" spans="1:12" ht="130.5" x14ac:dyDescent="0.35">
      <c r="A80" s="7">
        <v>1079</v>
      </c>
      <c r="B80" s="6" t="s">
        <v>5</v>
      </c>
      <c r="C80" t="s">
        <v>85</v>
      </c>
      <c r="D80" s="7" t="s">
        <v>657</v>
      </c>
      <c r="E80" s="7" t="s">
        <v>1149</v>
      </c>
      <c r="F80" t="s">
        <v>1229</v>
      </c>
      <c r="G80" s="7" t="s">
        <v>1724</v>
      </c>
      <c r="H80" t="s">
        <v>1736</v>
      </c>
      <c r="I80" t="s">
        <v>1744</v>
      </c>
      <c r="J80" t="s">
        <v>1786</v>
      </c>
      <c r="K80" s="2" t="str">
        <f t="shared" si="3"/>
        <v>1079,'LICENCIATURA','lunadalai.lozanodelao','110623','TOMAR DEL SND','LOZANO DE LA O LUNA DALAI','NUTRICION Y GASTRONOMIA','9no','FEMENINO','ACTIVO','',0,0,'','ALUMNO'</v>
      </c>
      <c r="L80" s="10" t="str">
        <f t="shared" si="2"/>
        <v>INSERT INTO participantes (id,nivel,correo,matricula,clave,nombre,carrera,grado,sexo,situacion,evaluados,num_evaluados,total_evaluaciones,ultimo_acceso,nivel_acceso) VALUES (1079,'LICENCIATURA','lunadalai.lozanodelao','110623','TOMAR DEL SND','LOZANO DE LA O LUNA DALAI','NUTRICION Y GASTRONOMIA','9no','FEMENINO','ACTIVO','',0,0,'','ALUMNO');</v>
      </c>
    </row>
    <row r="81" spans="1:12" ht="130.5" x14ac:dyDescent="0.35">
      <c r="A81" s="7">
        <v>1080</v>
      </c>
      <c r="B81" s="6" t="s">
        <v>5</v>
      </c>
      <c r="C81" t="s">
        <v>86</v>
      </c>
      <c r="D81" s="7" t="s">
        <v>658</v>
      </c>
      <c r="E81" s="7" t="s">
        <v>1149</v>
      </c>
      <c r="F81" t="s">
        <v>1230</v>
      </c>
      <c r="G81" s="7" t="s">
        <v>1723</v>
      </c>
      <c r="H81" t="s">
        <v>1736</v>
      </c>
      <c r="I81" t="s">
        <v>1743</v>
      </c>
      <c r="J81" t="s">
        <v>1786</v>
      </c>
      <c r="K81" s="2" t="str">
        <f t="shared" si="3"/>
        <v>1080,'LICENCIATURA','diegoalfonso.torizmartinez','110628','TOMAR DEL SND','TORIZ MARTINEZ DIEGO ALFONSO','INGENIERIA CIBERNETICA Y EN SISTEMAS COMPUTACIONALES','9no','MASCULINO','ACTIVO','',0,0,'','ALUMNO'</v>
      </c>
      <c r="L81" s="10" t="str">
        <f t="shared" si="2"/>
        <v>INSERT INTO participantes (id,nivel,correo,matricula,clave,nombre,carrera,grado,sexo,situacion,evaluados,num_evaluados,total_evaluaciones,ultimo_acceso,nivel_acceso) VALUES (1080,'LICENCIATURA','diegoalfonso.torizmartinez','110628','TOMAR DEL SND','TORIZ MARTINEZ DIEGO ALFONSO','INGENIERIA CIBERNETICA Y EN SISTEMAS COMPUTACIONALES','9no','MASCULINO','ACTIVO','',0,0,'','ALUMNO');</v>
      </c>
    </row>
    <row r="82" spans="1:12" ht="130.5" x14ac:dyDescent="0.35">
      <c r="A82" s="7">
        <v>1081</v>
      </c>
      <c r="B82" s="6" t="s">
        <v>5</v>
      </c>
      <c r="C82" t="s">
        <v>87</v>
      </c>
      <c r="D82" s="7" t="s">
        <v>659</v>
      </c>
      <c r="E82" s="7" t="s">
        <v>1149</v>
      </c>
      <c r="F82" t="s">
        <v>1231</v>
      </c>
      <c r="G82" s="7" t="s">
        <v>1732</v>
      </c>
      <c r="H82" t="s">
        <v>1736</v>
      </c>
      <c r="I82" t="s">
        <v>1744</v>
      </c>
      <c r="J82" t="s">
        <v>1786</v>
      </c>
      <c r="K82" s="2" t="str">
        <f t="shared" si="3"/>
        <v>1081,'LICENCIATURA','valeria.galloaceves','110630','TOMAR DEL SND','GALLO ACEVES VALERIA','DERECHO','9no','FEMENINO','ACTIVO','',0,0,'','ALUMNO'</v>
      </c>
      <c r="L82" s="10" t="str">
        <f t="shared" si="2"/>
        <v>INSERT INTO participantes (id,nivel,correo,matricula,clave,nombre,carrera,grado,sexo,situacion,evaluados,num_evaluados,total_evaluaciones,ultimo_acceso,nivel_acceso) VALUES (1081,'LICENCIATURA','valeria.galloaceves','110630','TOMAR DEL SND','GALLO ACEVES VALERIA','DERECHO','9no','FEMENINO','ACTIVO','',0,0,'','ALUMNO');</v>
      </c>
    </row>
    <row r="83" spans="1:12" ht="130.5" x14ac:dyDescent="0.35">
      <c r="A83" s="7">
        <v>1082</v>
      </c>
      <c r="B83" s="6" t="s">
        <v>5</v>
      </c>
      <c r="C83" t="s">
        <v>88</v>
      </c>
      <c r="D83" s="7" t="s">
        <v>660</v>
      </c>
      <c r="E83" s="7" t="s">
        <v>1149</v>
      </c>
      <c r="F83" t="s">
        <v>1232</v>
      </c>
      <c r="G83" s="7" t="s">
        <v>1727</v>
      </c>
      <c r="H83" t="s">
        <v>1738</v>
      </c>
      <c r="I83" t="s">
        <v>1743</v>
      </c>
      <c r="J83" t="s">
        <v>1786</v>
      </c>
      <c r="K83" s="2" t="str">
        <f t="shared" si="3"/>
        <v>1082,'LICENCIATURA','salvadornicolas.piñoncaro','110643','TOMAR DEL SND','PIÑON CARO SALVADOR NICOLAS','ADMINISTRACION Y DIRECCION DE NEGOCIOS','7mo','MASCULINO','ACTIVO','',0,0,'','ALUMNO'</v>
      </c>
      <c r="L83" s="10" t="str">
        <f t="shared" si="2"/>
        <v>INSERT INTO participantes (id,nivel,correo,matricula,clave,nombre,carrera,grado,sexo,situacion,evaluados,num_evaluados,total_evaluaciones,ultimo_acceso,nivel_acceso) VALUES (1082,'LICENCIATURA','salvadornicolas.piñoncaro','110643','TOMAR DEL SND','PIÑON CARO SALVADOR NICOLAS','ADMINISTRACION Y DIRECCION DE NEGOCIOS','7mo','MASCULINO','ACTIVO','',0,0,'','ALUMNO');</v>
      </c>
    </row>
    <row r="84" spans="1:12" ht="130.5" x14ac:dyDescent="0.35">
      <c r="A84" s="7">
        <v>1083</v>
      </c>
      <c r="B84" s="6" t="s">
        <v>5</v>
      </c>
      <c r="C84" t="s">
        <v>89</v>
      </c>
      <c r="D84" s="7" t="s">
        <v>661</v>
      </c>
      <c r="E84" s="7" t="s">
        <v>1149</v>
      </c>
      <c r="F84" t="s">
        <v>1233</v>
      </c>
      <c r="G84" s="7" t="s">
        <v>1724</v>
      </c>
      <c r="H84" t="s">
        <v>1736</v>
      </c>
      <c r="I84" t="s">
        <v>1743</v>
      </c>
      <c r="J84" t="s">
        <v>1786</v>
      </c>
      <c r="K84" s="2" t="str">
        <f t="shared" si="3"/>
        <v>1083,'LICENCIATURA','josemaria.coronadocabrera','110664','TOMAR DEL SND','CORONADO CABRERA JOSE MARIA','NUTRICION Y GASTRONOMIA','9no','MASCULINO','ACTIVO','',0,0,'','ALUMNO'</v>
      </c>
      <c r="L84" s="10" t="str">
        <f t="shared" si="2"/>
        <v>INSERT INTO participantes (id,nivel,correo,matricula,clave,nombre,carrera,grado,sexo,situacion,evaluados,num_evaluados,total_evaluaciones,ultimo_acceso,nivel_acceso) VALUES (1083,'LICENCIATURA','josemaria.coronadocabrera','110664','TOMAR DEL SND','CORONADO CABRERA JOSE MARIA','NUTRICION Y GASTRONOMIA','9no','MASCULINO','ACTIVO','',0,0,'','ALUMNO');</v>
      </c>
    </row>
    <row r="85" spans="1:12" ht="130.5" x14ac:dyDescent="0.35">
      <c r="A85" s="7">
        <v>1084</v>
      </c>
      <c r="B85" s="6" t="s">
        <v>5</v>
      </c>
      <c r="C85" t="s">
        <v>90</v>
      </c>
      <c r="D85" s="7" t="s">
        <v>662</v>
      </c>
      <c r="E85" s="7" t="s">
        <v>1149</v>
      </c>
      <c r="F85" t="s">
        <v>1234</v>
      </c>
      <c r="G85" s="7" t="s">
        <v>1723</v>
      </c>
      <c r="H85" t="s">
        <v>1736</v>
      </c>
      <c r="I85" t="s">
        <v>1743</v>
      </c>
      <c r="J85" t="s">
        <v>1786</v>
      </c>
      <c r="K85" s="2" t="str">
        <f t="shared" si="3"/>
        <v>1084,'LICENCIATURA','ulisesjosell.gonzalezlopez','110667','TOMAR DEL SND','GONZALEZ LOPEZ ULISES JOSELL','INGENIERIA CIBERNETICA Y EN SISTEMAS COMPUTACIONALES','9no','MASCULINO','ACTIVO','',0,0,'','ALUMNO'</v>
      </c>
      <c r="L85" s="10" t="str">
        <f t="shared" si="2"/>
        <v>INSERT INTO participantes (id,nivel,correo,matricula,clave,nombre,carrera,grado,sexo,situacion,evaluados,num_evaluados,total_evaluaciones,ultimo_acceso,nivel_acceso) VALUES (1084,'LICENCIATURA','ulisesjosell.gonzalezlopez','110667','TOMAR DEL SND','GONZALEZ LOPEZ ULISES JOSELL','INGENIERIA CIBERNETICA Y EN SISTEMAS COMPUTACIONALES','9no','MASCULINO','ACTIVO','',0,0,'','ALUMNO');</v>
      </c>
    </row>
    <row r="86" spans="1:12" ht="130.5" x14ac:dyDescent="0.35">
      <c r="A86" s="7">
        <v>1085</v>
      </c>
      <c r="B86" s="6" t="s">
        <v>5</v>
      </c>
      <c r="C86" t="s">
        <v>91</v>
      </c>
      <c r="D86" s="7" t="s">
        <v>663</v>
      </c>
      <c r="E86" s="7" t="s">
        <v>1149</v>
      </c>
      <c r="F86" t="s">
        <v>1235</v>
      </c>
      <c r="G86" s="7" t="s">
        <v>1723</v>
      </c>
      <c r="H86" t="s">
        <v>1736</v>
      </c>
      <c r="I86" t="s">
        <v>1743</v>
      </c>
      <c r="J86" t="s">
        <v>1786</v>
      </c>
      <c r="K86" s="2" t="str">
        <f t="shared" si="3"/>
        <v>1085,'LICENCIATURA','rodrigo.martinezmartinez','110674','TOMAR DEL SND','MARTINEZ MARTINEZ RODRIGO','INGENIERIA CIBERNETICA Y EN SISTEMAS COMPUTACIONALES','9no','MASCULINO','ACTIVO','',0,0,'','ALUMNO'</v>
      </c>
      <c r="L86" s="10" t="str">
        <f t="shared" si="2"/>
        <v>INSERT INTO participantes (id,nivel,correo,matricula,clave,nombre,carrera,grado,sexo,situacion,evaluados,num_evaluados,total_evaluaciones,ultimo_acceso,nivel_acceso) VALUES (1085,'LICENCIATURA','rodrigo.martinezmartinez','110674','TOMAR DEL SND','MARTINEZ MARTINEZ RODRIGO','INGENIERIA CIBERNETICA Y EN SISTEMAS COMPUTACIONALES','9no','MASCULINO','ACTIVO','',0,0,'','ALUMNO');</v>
      </c>
    </row>
    <row r="87" spans="1:12" ht="130.5" x14ac:dyDescent="0.35">
      <c r="A87" s="7">
        <v>1086</v>
      </c>
      <c r="B87" s="6" t="s">
        <v>5</v>
      </c>
      <c r="C87" t="s">
        <v>92</v>
      </c>
      <c r="D87" s="7" t="s">
        <v>664</v>
      </c>
      <c r="E87" s="7" t="s">
        <v>1149</v>
      </c>
      <c r="F87" t="s">
        <v>1236</v>
      </c>
      <c r="G87" s="7" t="s">
        <v>1724</v>
      </c>
      <c r="H87" t="s">
        <v>1736</v>
      </c>
      <c r="I87" t="s">
        <v>1744</v>
      </c>
      <c r="J87" t="s">
        <v>1786</v>
      </c>
      <c r="K87" s="2" t="str">
        <f t="shared" si="3"/>
        <v>1086,'LICENCIATURA','isabely.alvescornejo','110714','TOMAR DEL SND','ALVES CORNEJO ISABELY','NUTRICION Y GASTRONOMIA','9no','FEMENINO','ACTIVO','',0,0,'','ALUMNO'</v>
      </c>
      <c r="L87" s="10" t="str">
        <f t="shared" si="2"/>
        <v>INSERT INTO participantes (id,nivel,correo,matricula,clave,nombre,carrera,grado,sexo,situacion,evaluados,num_evaluados,total_evaluaciones,ultimo_acceso,nivel_acceso) VALUES (1086,'LICENCIATURA','isabely.alvescornejo','110714','TOMAR DEL SND','ALVES CORNEJO ISABELY','NUTRICION Y GASTRONOMIA','9no','FEMENINO','ACTIVO','',0,0,'','ALUMNO');</v>
      </c>
    </row>
    <row r="88" spans="1:12" ht="130.5" x14ac:dyDescent="0.35">
      <c r="A88" s="7">
        <v>1087</v>
      </c>
      <c r="B88" s="6" t="s">
        <v>5</v>
      </c>
      <c r="C88" t="s">
        <v>93</v>
      </c>
      <c r="D88" s="7" t="s">
        <v>665</v>
      </c>
      <c r="E88" s="7" t="s">
        <v>1149</v>
      </c>
      <c r="F88" t="s">
        <v>1237</v>
      </c>
      <c r="G88" s="7" t="s">
        <v>1732</v>
      </c>
      <c r="H88" t="s">
        <v>1736</v>
      </c>
      <c r="I88" t="s">
        <v>1743</v>
      </c>
      <c r="J88" t="s">
        <v>1786</v>
      </c>
      <c r="K88" s="2" t="str">
        <f t="shared" si="3"/>
        <v>1087,'LICENCIATURA','angel.gonzalezparra','110730','TOMAR DEL SND','GONZALEZ PARRA ANGEL','DERECHO','9no','MASCULINO','ACTIVO','',0,0,'','ALUMNO'</v>
      </c>
      <c r="L88" s="10" t="str">
        <f t="shared" si="2"/>
        <v>INSERT INTO participantes (id,nivel,correo,matricula,clave,nombre,carrera,grado,sexo,situacion,evaluados,num_evaluados,total_evaluaciones,ultimo_acceso,nivel_acceso) VALUES (1087,'LICENCIATURA','angel.gonzalezparra','110730','TOMAR DEL SND','GONZALEZ PARRA ANGEL','DERECHO','9no','MASCULINO','ACTIVO','',0,0,'','ALUMNO');</v>
      </c>
    </row>
    <row r="89" spans="1:12" ht="130.5" x14ac:dyDescent="0.35">
      <c r="A89" s="7">
        <v>1088</v>
      </c>
      <c r="B89" s="6" t="s">
        <v>5</v>
      </c>
      <c r="C89" t="s">
        <v>94</v>
      </c>
      <c r="D89" s="7" t="s">
        <v>666</v>
      </c>
      <c r="E89" s="7" t="s">
        <v>1149</v>
      </c>
      <c r="F89" t="s">
        <v>1238</v>
      </c>
      <c r="G89" s="7" t="s">
        <v>1732</v>
      </c>
      <c r="H89" t="s">
        <v>1736</v>
      </c>
      <c r="I89" t="s">
        <v>1744</v>
      </c>
      <c r="J89" t="s">
        <v>1786</v>
      </c>
      <c r="K89" s="2" t="str">
        <f t="shared" si="3"/>
        <v>1088,'LICENCIATURA','estefaninicole.orozcorivas','110763','TOMAR DEL SND','OROZCO RIVAS ESTEFANI NICOLE','DERECHO','9no','FEMENINO','ACTIVO','',0,0,'','ALUMNO'</v>
      </c>
      <c r="L89" s="10" t="str">
        <f t="shared" si="2"/>
        <v>INSERT INTO participantes (id,nivel,correo,matricula,clave,nombre,carrera,grado,sexo,situacion,evaluados,num_evaluados,total_evaluaciones,ultimo_acceso,nivel_acceso) VALUES (1088,'LICENCIATURA','estefaninicole.orozcorivas','110763','TOMAR DEL SND','OROZCO RIVAS ESTEFANI NICOLE','DERECHO','9no','FEMENINO','ACTIVO','',0,0,'','ALUMNO');</v>
      </c>
    </row>
    <row r="90" spans="1:12" ht="130.5" x14ac:dyDescent="0.35">
      <c r="A90" s="7">
        <v>1089</v>
      </c>
      <c r="B90" s="6" t="s">
        <v>5</v>
      </c>
      <c r="C90" t="s">
        <v>95</v>
      </c>
      <c r="D90" s="7" t="s">
        <v>667</v>
      </c>
      <c r="E90" s="7" t="s">
        <v>1149</v>
      </c>
      <c r="F90" t="s">
        <v>1239</v>
      </c>
      <c r="G90" s="7" t="s">
        <v>1729</v>
      </c>
      <c r="H90" t="s">
        <v>1738</v>
      </c>
      <c r="I90" t="s">
        <v>1744</v>
      </c>
      <c r="J90" t="s">
        <v>1786</v>
      </c>
      <c r="K90" s="2" t="str">
        <f t="shared" si="3"/>
        <v>1089,'LICENCIATURA','myriamsofia.esquivelencarnacion','111028','TOMAR DEL SND','ESQUIVEL ENCARNACION MYRIAM SOFIA','ARQUITECTURA','7mo','FEMENINO','ACTIVO','',0,0,'','ALUMNO'</v>
      </c>
      <c r="L90" s="10" t="str">
        <f t="shared" si="2"/>
        <v>INSERT INTO participantes (id,nivel,correo,matricula,clave,nombre,carrera,grado,sexo,situacion,evaluados,num_evaluados,total_evaluaciones,ultimo_acceso,nivel_acceso) VALUES (1089,'LICENCIATURA','myriamsofia.esquivelencarnacion','111028','TOMAR DEL SND','ESQUIVEL ENCARNACION MYRIAM SOFIA','ARQUITECTURA','7mo','FEMENINO','ACTIVO','',0,0,'','ALUMNO');</v>
      </c>
    </row>
    <row r="91" spans="1:12" ht="130.5" x14ac:dyDescent="0.35">
      <c r="A91" s="7">
        <v>1090</v>
      </c>
      <c r="B91" s="6" t="s">
        <v>5</v>
      </c>
      <c r="C91" t="s">
        <v>96</v>
      </c>
      <c r="D91" s="7" t="s">
        <v>668</v>
      </c>
      <c r="E91" s="7" t="s">
        <v>1149</v>
      </c>
      <c r="F91" t="s">
        <v>1240</v>
      </c>
      <c r="G91" s="7" t="s">
        <v>1726</v>
      </c>
      <c r="H91" t="s">
        <v>1738</v>
      </c>
      <c r="I91" t="s">
        <v>1743</v>
      </c>
      <c r="J91" t="s">
        <v>1786</v>
      </c>
      <c r="K91" s="2" t="str">
        <f t="shared" si="3"/>
        <v>1090,'LICENCIATURA','victorhugo.francomendez','111030','TOMAR DEL SND','FRANCO MENDEZ VICTOR HUGO','PSICOLOGIA','7mo','MASCULINO','ACTIVO','',0,0,'','ALUMNO'</v>
      </c>
      <c r="L91" s="10" t="str">
        <f t="shared" si="2"/>
        <v>INSERT INTO participantes (id,nivel,correo,matricula,clave,nombre,carrera,grado,sexo,situacion,evaluados,num_evaluados,total_evaluaciones,ultimo_acceso,nivel_acceso) VALUES (1090,'LICENCIATURA','victorhugo.francomendez','111030','TOMAR DEL SND','FRANCO MENDEZ VICTOR HUGO','PSICOLOGIA','7mo','MASCULINO','ACTIVO','',0,0,'','ALUMNO');</v>
      </c>
    </row>
    <row r="92" spans="1:12" ht="130.5" x14ac:dyDescent="0.35">
      <c r="A92" s="7">
        <v>1091</v>
      </c>
      <c r="B92" s="6" t="s">
        <v>5</v>
      </c>
      <c r="C92" t="s">
        <v>97</v>
      </c>
      <c r="D92" s="7" t="s">
        <v>669</v>
      </c>
      <c r="E92" s="7" t="s">
        <v>1149</v>
      </c>
      <c r="F92" t="s">
        <v>1241</v>
      </c>
      <c r="G92" s="7" t="s">
        <v>1725</v>
      </c>
      <c r="H92" t="s">
        <v>1738</v>
      </c>
      <c r="I92" t="s">
        <v>1743</v>
      </c>
      <c r="J92" t="s">
        <v>1786</v>
      </c>
      <c r="K92" s="2" t="str">
        <f t="shared" si="3"/>
        <v>1091,'LICENCIATURA','adanoswaldo.sandovalcardenas','111031','TOMAR DEL SND','SANDOVAL CARDENAS ADAN OSWALDO','INGENIERIA AEROESPACIAL','7mo','MASCULINO','ACTIVO','',0,0,'','ALUMNO'</v>
      </c>
      <c r="L92" s="10" t="str">
        <f t="shared" si="2"/>
        <v>INSERT INTO participantes (id,nivel,correo,matricula,clave,nombre,carrera,grado,sexo,situacion,evaluados,num_evaluados,total_evaluaciones,ultimo_acceso,nivel_acceso) VALUES (1091,'LICENCIATURA','adanoswaldo.sandovalcardenas','111031','TOMAR DEL SND','SANDOVAL CARDENAS ADAN OSWALDO','INGENIERIA AEROESPACIAL','7mo','MASCULINO','ACTIVO','',0,0,'','ALUMNO');</v>
      </c>
    </row>
    <row r="93" spans="1:12" ht="130.5" x14ac:dyDescent="0.35">
      <c r="A93" s="7">
        <v>1092</v>
      </c>
      <c r="B93" s="6" t="s">
        <v>5</v>
      </c>
      <c r="C93" t="s">
        <v>98</v>
      </c>
      <c r="D93" s="7" t="s">
        <v>670</v>
      </c>
      <c r="E93" s="7" t="s">
        <v>1149</v>
      </c>
      <c r="F93" t="s">
        <v>1242</v>
      </c>
      <c r="G93" s="7" t="s">
        <v>1724</v>
      </c>
      <c r="H93" t="s">
        <v>1738</v>
      </c>
      <c r="I93" t="s">
        <v>1743</v>
      </c>
      <c r="J93" t="s">
        <v>1786</v>
      </c>
      <c r="K93" s="2" t="str">
        <f t="shared" si="3"/>
        <v>1092,'LICENCIATURA','marioisaias.gomezramos','111032','TOMAR DEL SND','GOMEZ RAMOS MARIO ISAIAS','NUTRICION Y GASTRONOMIA','7mo','MASCULINO','ACTIVO','',0,0,'','ALUMNO'</v>
      </c>
      <c r="L93" s="10" t="str">
        <f t="shared" si="2"/>
        <v>INSERT INTO participantes (id,nivel,correo,matricula,clave,nombre,carrera,grado,sexo,situacion,evaluados,num_evaluados,total_evaluaciones,ultimo_acceso,nivel_acceso) VALUES (1092,'LICENCIATURA','marioisaias.gomezramos','111032','TOMAR DEL SND','GOMEZ RAMOS MARIO ISAIAS','NUTRICION Y GASTRONOMIA','7mo','MASCULINO','ACTIVO','',0,0,'','ALUMNO');</v>
      </c>
    </row>
    <row r="94" spans="1:12" ht="130.5" x14ac:dyDescent="0.35">
      <c r="A94" s="7">
        <v>1093</v>
      </c>
      <c r="B94" s="6" t="s">
        <v>5</v>
      </c>
      <c r="C94" t="s">
        <v>99</v>
      </c>
      <c r="D94" s="7" t="s">
        <v>671</v>
      </c>
      <c r="E94" s="7" t="s">
        <v>1149</v>
      </c>
      <c r="F94" t="s">
        <v>1243</v>
      </c>
      <c r="G94" s="7" t="s">
        <v>1733</v>
      </c>
      <c r="H94" t="s">
        <v>1738</v>
      </c>
      <c r="I94" t="s">
        <v>1744</v>
      </c>
      <c r="J94" t="s">
        <v>1786</v>
      </c>
      <c r="K94" s="2" t="str">
        <f t="shared" si="3"/>
        <v>1093,'LICENCIATURA','daniela.hernandezvendramini','111034','TOMAR DEL SND','HERNANDEZ VENDRAMINI DANIELA','DISEÑO GRAFICO Y DIGITAL','7mo','FEMENINO','ACTIVO','',0,0,'','ALUMNO'</v>
      </c>
      <c r="L94" s="10" t="str">
        <f t="shared" si="2"/>
        <v>INSERT INTO participantes (id,nivel,correo,matricula,clave,nombre,carrera,grado,sexo,situacion,evaluados,num_evaluados,total_evaluaciones,ultimo_acceso,nivel_acceso) VALUES (1093,'LICENCIATURA','daniela.hernandezvendramini','111034','TOMAR DEL SND','HERNANDEZ VENDRAMINI DANIELA','DISEÑO GRAFICO Y DIGITAL','7mo','FEMENINO','ACTIVO','',0,0,'','ALUMNO');</v>
      </c>
    </row>
    <row r="95" spans="1:12" ht="130.5" x14ac:dyDescent="0.35">
      <c r="A95" s="7">
        <v>1094</v>
      </c>
      <c r="B95" s="6" t="s">
        <v>5</v>
      </c>
      <c r="C95" t="s">
        <v>100</v>
      </c>
      <c r="D95" s="7" t="s">
        <v>672</v>
      </c>
      <c r="E95" s="7" t="s">
        <v>1149</v>
      </c>
      <c r="F95" t="s">
        <v>1244</v>
      </c>
      <c r="G95" s="7" t="s">
        <v>1726</v>
      </c>
      <c r="H95" t="s">
        <v>1738</v>
      </c>
      <c r="I95" t="s">
        <v>1744</v>
      </c>
      <c r="J95" t="s">
        <v>1786</v>
      </c>
      <c r="K95" s="2" t="str">
        <f t="shared" si="3"/>
        <v>1094,'LICENCIATURA','esmeraldagabriela.gomezgaona','111035','TOMAR DEL SND','GOMEZ GAONA ESMERALDA GABRIELA','PSICOLOGIA','7mo','FEMENINO','ACTIVO','',0,0,'','ALUMNO'</v>
      </c>
      <c r="L95" s="10" t="str">
        <f t="shared" si="2"/>
        <v>INSERT INTO participantes (id,nivel,correo,matricula,clave,nombre,carrera,grado,sexo,situacion,evaluados,num_evaluados,total_evaluaciones,ultimo_acceso,nivel_acceso) VALUES (1094,'LICENCIATURA','esmeraldagabriela.gomezgaona','111035','TOMAR DEL SND','GOMEZ GAONA ESMERALDA GABRIELA','PSICOLOGIA','7mo','FEMENINO','ACTIVO','',0,0,'','ALUMNO');</v>
      </c>
    </row>
    <row r="96" spans="1:12" ht="130.5" x14ac:dyDescent="0.35">
      <c r="A96" s="7">
        <v>1095</v>
      </c>
      <c r="B96" s="6" t="s">
        <v>5</v>
      </c>
      <c r="C96" t="s">
        <v>101</v>
      </c>
      <c r="D96" s="7" t="s">
        <v>673</v>
      </c>
      <c r="E96" s="7" t="s">
        <v>1149</v>
      </c>
      <c r="F96" t="s">
        <v>1245</v>
      </c>
      <c r="G96" s="7" t="s">
        <v>1726</v>
      </c>
      <c r="H96" t="s">
        <v>1738</v>
      </c>
      <c r="I96" t="s">
        <v>1744</v>
      </c>
      <c r="J96" t="s">
        <v>1786</v>
      </c>
      <c r="K96" s="2" t="str">
        <f t="shared" si="3"/>
        <v>1095,'LICENCIATURA','marisol.sanchezgildominguez','111036','TOMAR DEL SND','SANCHEZ GIL DOMINGUEZ MARISOL','PSICOLOGIA','7mo','FEMENINO','ACTIVO','',0,0,'','ALUMNO'</v>
      </c>
      <c r="L96" s="10" t="str">
        <f t="shared" si="2"/>
        <v>INSERT INTO participantes (id,nivel,correo,matricula,clave,nombre,carrera,grado,sexo,situacion,evaluados,num_evaluados,total_evaluaciones,ultimo_acceso,nivel_acceso) VALUES (1095,'LICENCIATURA','marisol.sanchezgildominguez','111036','TOMAR DEL SND','SANCHEZ GIL DOMINGUEZ MARISOL','PSICOLOGIA','7mo','FEMENINO','ACTIVO','',0,0,'','ALUMNO');</v>
      </c>
    </row>
    <row r="97" spans="1:12" ht="130.5" x14ac:dyDescent="0.35">
      <c r="A97" s="7">
        <v>1096</v>
      </c>
      <c r="B97" s="6" t="s">
        <v>5</v>
      </c>
      <c r="C97" t="s">
        <v>102</v>
      </c>
      <c r="D97" s="7" t="s">
        <v>674</v>
      </c>
      <c r="E97" s="7" t="s">
        <v>1149</v>
      </c>
      <c r="F97" t="s">
        <v>1246</v>
      </c>
      <c r="G97" s="7" t="s">
        <v>1730</v>
      </c>
      <c r="H97" t="s">
        <v>1738</v>
      </c>
      <c r="I97" t="s">
        <v>1743</v>
      </c>
      <c r="J97" t="s">
        <v>1786</v>
      </c>
      <c r="K97" s="2" t="str">
        <f t="shared" si="3"/>
        <v>1096,'LICENCIATURA','mariano.martinezbuenrostro','111037','TOMAR DEL SND','MARTINEZ BUENROSTRO MARIANO','ANIMACION DIGITAL Y VIDEOJUEGOS','7mo','MASCULINO','ACTIVO','',0,0,'','ALUMNO'</v>
      </c>
      <c r="L97" s="10" t="str">
        <f t="shared" si="2"/>
        <v>INSERT INTO participantes (id,nivel,correo,matricula,clave,nombre,carrera,grado,sexo,situacion,evaluados,num_evaluados,total_evaluaciones,ultimo_acceso,nivel_acceso) VALUES (1096,'LICENCIATURA','mariano.martinezbuenrostro','111037','TOMAR DEL SND','MARTINEZ BUENROSTRO MARIANO','ANIMACION DIGITAL Y VIDEOJUEGOS','7mo','MASCULINO','ACTIVO','',0,0,'','ALUMNO');</v>
      </c>
    </row>
    <row r="98" spans="1:12" ht="130.5" x14ac:dyDescent="0.35">
      <c r="A98" s="7">
        <v>1097</v>
      </c>
      <c r="B98" s="6" t="s">
        <v>5</v>
      </c>
      <c r="C98" t="s">
        <v>103</v>
      </c>
      <c r="D98" s="7" t="s">
        <v>675</v>
      </c>
      <c r="E98" s="7" t="s">
        <v>1149</v>
      </c>
      <c r="F98" t="s">
        <v>1247</v>
      </c>
      <c r="G98" s="7" t="s">
        <v>1731</v>
      </c>
      <c r="H98" t="s">
        <v>1738</v>
      </c>
      <c r="I98" t="s">
        <v>1743</v>
      </c>
      <c r="J98" t="s">
        <v>1786</v>
      </c>
      <c r="K98" s="2" t="str">
        <f t="shared" si="3"/>
        <v>1097,'LICENCIATURA','pablosamuel.floresmora','111040','TOMAR DEL SND','FLORES MORA PABLO SAMUEL','INGENIERÍA AUTOMOTRIZ','7mo','MASCULINO','ACTIVO','',0,0,'','ALUMNO'</v>
      </c>
      <c r="L98" s="10" t="str">
        <f t="shared" si="2"/>
        <v>INSERT INTO participantes (id,nivel,correo,matricula,clave,nombre,carrera,grado,sexo,situacion,evaluados,num_evaluados,total_evaluaciones,ultimo_acceso,nivel_acceso) VALUES (1097,'LICENCIATURA','pablosamuel.floresmora','111040','TOMAR DEL SND','FLORES MORA PABLO SAMUEL','INGENIERÍA AUTOMOTRIZ','7mo','MASCULINO','ACTIVO','',0,0,'','ALUMNO');</v>
      </c>
    </row>
    <row r="99" spans="1:12" ht="130.5" x14ac:dyDescent="0.35">
      <c r="A99" s="7">
        <v>1098</v>
      </c>
      <c r="B99" s="6" t="s">
        <v>5</v>
      </c>
      <c r="C99" t="s">
        <v>104</v>
      </c>
      <c r="D99" s="7" t="s">
        <v>676</v>
      </c>
      <c r="E99" s="7" t="s">
        <v>1149</v>
      </c>
      <c r="F99" t="s">
        <v>1248</v>
      </c>
      <c r="G99" s="7" t="s">
        <v>1729</v>
      </c>
      <c r="H99" t="s">
        <v>1738</v>
      </c>
      <c r="I99" t="s">
        <v>1743</v>
      </c>
      <c r="J99" t="s">
        <v>1786</v>
      </c>
      <c r="K99" s="2" t="str">
        <f t="shared" si="3"/>
        <v>1098,'LICENCIATURA','josemanuel.rodriguezaguayo','111042','TOMAR DEL SND','RODRIGUEZ AGUAYO JOSE MANUEL','ARQUITECTURA','7mo','MASCULINO','ACTIVO','',0,0,'','ALUMNO'</v>
      </c>
      <c r="L99" s="10" t="str">
        <f t="shared" si="2"/>
        <v>INSERT INTO participantes (id,nivel,correo,matricula,clave,nombre,carrera,grado,sexo,situacion,evaluados,num_evaluados,total_evaluaciones,ultimo_acceso,nivel_acceso) VALUES (1098,'LICENCIATURA','josemanuel.rodriguezaguayo','111042','TOMAR DEL SND','RODRIGUEZ AGUAYO JOSE MANUEL','ARQUITECTURA','7mo','MASCULINO','ACTIVO','',0,0,'','ALUMNO');</v>
      </c>
    </row>
    <row r="100" spans="1:12" ht="130.5" x14ac:dyDescent="0.35">
      <c r="A100" s="7">
        <v>1099</v>
      </c>
      <c r="B100" s="6" t="s">
        <v>5</v>
      </c>
      <c r="C100" t="s">
        <v>105</v>
      </c>
      <c r="D100" s="7" t="s">
        <v>677</v>
      </c>
      <c r="E100" s="7" t="s">
        <v>1149</v>
      </c>
      <c r="F100" t="s">
        <v>1249</v>
      </c>
      <c r="G100" s="7" t="s">
        <v>1726</v>
      </c>
      <c r="H100" t="s">
        <v>1738</v>
      </c>
      <c r="I100" t="s">
        <v>1744</v>
      </c>
      <c r="J100" t="s">
        <v>1786</v>
      </c>
      <c r="K100" s="2" t="str">
        <f t="shared" si="3"/>
        <v>1099,'LICENCIATURA','kitzyaangelina.padillasalinas','111043','TOMAR DEL SND','PADILLA SALINAS KITZYA ANGELINA','PSICOLOGIA','7mo','FEMENINO','ACTIVO','',0,0,'','ALUMNO'</v>
      </c>
      <c r="L100" s="10" t="str">
        <f t="shared" si="2"/>
        <v>INSERT INTO participantes (id,nivel,correo,matricula,clave,nombre,carrera,grado,sexo,situacion,evaluados,num_evaluados,total_evaluaciones,ultimo_acceso,nivel_acceso) VALUES (1099,'LICENCIATURA','kitzyaangelina.padillasalinas','111043','TOMAR DEL SND','PADILLA SALINAS KITZYA ANGELINA','PSICOLOGIA','7mo','FEMENINO','ACTIVO','',0,0,'','ALUMNO');</v>
      </c>
    </row>
    <row r="101" spans="1:12" ht="130.5" x14ac:dyDescent="0.35">
      <c r="A101" s="7">
        <v>1100</v>
      </c>
      <c r="B101" s="6" t="s">
        <v>5</v>
      </c>
      <c r="C101" t="s">
        <v>106</v>
      </c>
      <c r="D101" s="7" t="s">
        <v>678</v>
      </c>
      <c r="E101" s="7" t="s">
        <v>1149</v>
      </c>
      <c r="F101" t="s">
        <v>1250</v>
      </c>
      <c r="G101" s="7" t="s">
        <v>1727</v>
      </c>
      <c r="H101" t="s">
        <v>1738</v>
      </c>
      <c r="I101" t="s">
        <v>1743</v>
      </c>
      <c r="J101" t="s">
        <v>1786</v>
      </c>
      <c r="K101" s="2" t="str">
        <f t="shared" si="3"/>
        <v>1100,'LICENCIATURA','emiliano.gracianovargas','111044','TOMAR DEL SND','GRACIANO VARGAS EMILIANO','ADMINISTRACION Y DIRECCION DE NEGOCIOS','7mo','MASCULINO','ACTIVO','',0,0,'','ALUMNO'</v>
      </c>
      <c r="L101" s="10" t="str">
        <f t="shared" si="2"/>
        <v>INSERT INTO participantes (id,nivel,correo,matricula,clave,nombre,carrera,grado,sexo,situacion,evaluados,num_evaluados,total_evaluaciones,ultimo_acceso,nivel_acceso) VALUES (1100,'LICENCIATURA','emiliano.gracianovargas','111044','TOMAR DEL SND','GRACIANO VARGAS EMILIANO','ADMINISTRACION Y DIRECCION DE NEGOCIOS','7mo','MASCULINO','ACTIVO','',0,0,'','ALUMNO');</v>
      </c>
    </row>
    <row r="102" spans="1:12" ht="130.5" x14ac:dyDescent="0.35">
      <c r="A102" s="7">
        <v>1101</v>
      </c>
      <c r="B102" s="6" t="s">
        <v>5</v>
      </c>
      <c r="C102" t="s">
        <v>107</v>
      </c>
      <c r="D102" s="7" t="s">
        <v>679</v>
      </c>
      <c r="E102" s="7" t="s">
        <v>1149</v>
      </c>
      <c r="F102" t="s">
        <v>1251</v>
      </c>
      <c r="G102" s="7" t="s">
        <v>1727</v>
      </c>
      <c r="H102" t="s">
        <v>1738</v>
      </c>
      <c r="I102" t="s">
        <v>1743</v>
      </c>
      <c r="J102" t="s">
        <v>1786</v>
      </c>
      <c r="K102" s="2" t="str">
        <f t="shared" si="3"/>
        <v>1101,'LICENCIATURA','oscaremilio.cayodiaz','111049','TOMAR DEL SND','CAYO DIAZ OSCAR EMILIO','ADMINISTRACION Y DIRECCION DE NEGOCIOS','7mo','MASCULINO','ACTIVO','',0,0,'','ALUMNO'</v>
      </c>
      <c r="L102" s="10" t="str">
        <f t="shared" si="2"/>
        <v>INSERT INTO participantes (id,nivel,correo,matricula,clave,nombre,carrera,grado,sexo,situacion,evaluados,num_evaluados,total_evaluaciones,ultimo_acceso,nivel_acceso) VALUES (1101,'LICENCIATURA','oscaremilio.cayodiaz','111049','TOMAR DEL SND','CAYO DIAZ OSCAR EMILIO','ADMINISTRACION Y DIRECCION DE NEGOCIOS','7mo','MASCULINO','ACTIVO','',0,0,'','ALUMNO');</v>
      </c>
    </row>
    <row r="103" spans="1:12" ht="130.5" x14ac:dyDescent="0.35">
      <c r="A103" s="7">
        <v>1102</v>
      </c>
      <c r="B103" s="6" t="s">
        <v>5</v>
      </c>
      <c r="C103" t="s">
        <v>108</v>
      </c>
      <c r="D103" s="7" t="s">
        <v>680</v>
      </c>
      <c r="E103" s="7" t="s">
        <v>1149</v>
      </c>
      <c r="F103" t="s">
        <v>1252</v>
      </c>
      <c r="G103" s="7" t="s">
        <v>1729</v>
      </c>
      <c r="H103" t="s">
        <v>1738</v>
      </c>
      <c r="I103" t="s">
        <v>1743</v>
      </c>
      <c r="J103" t="s">
        <v>1786</v>
      </c>
      <c r="K103" s="2" t="str">
        <f t="shared" si="3"/>
        <v>1102,'LICENCIATURA','joseisaac.cisneroscortes','111051','TOMAR DEL SND','CISNEROS CORTES JOSE ISAAC','ARQUITECTURA','7mo','MASCULINO','ACTIVO','',0,0,'','ALUMNO'</v>
      </c>
      <c r="L103" s="10" t="str">
        <f t="shared" si="2"/>
        <v>INSERT INTO participantes (id,nivel,correo,matricula,clave,nombre,carrera,grado,sexo,situacion,evaluados,num_evaluados,total_evaluaciones,ultimo_acceso,nivel_acceso) VALUES (1102,'LICENCIATURA','joseisaac.cisneroscortes','111051','TOMAR DEL SND','CISNEROS CORTES JOSE ISAAC','ARQUITECTURA','7mo','MASCULINO','ACTIVO','',0,0,'','ALUMNO');</v>
      </c>
    </row>
    <row r="104" spans="1:12" ht="130.5" x14ac:dyDescent="0.35">
      <c r="A104" s="7">
        <v>1103</v>
      </c>
      <c r="B104" s="6" t="s">
        <v>5</v>
      </c>
      <c r="C104" t="s">
        <v>109</v>
      </c>
      <c r="D104" s="7" t="s">
        <v>681</v>
      </c>
      <c r="E104" s="7" t="s">
        <v>1149</v>
      </c>
      <c r="F104" t="s">
        <v>1253</v>
      </c>
      <c r="G104" s="7" t="s">
        <v>1729</v>
      </c>
      <c r="H104" t="s">
        <v>1738</v>
      </c>
      <c r="I104" t="s">
        <v>1744</v>
      </c>
      <c r="J104" t="s">
        <v>1786</v>
      </c>
      <c r="K104" s="2" t="str">
        <f t="shared" si="3"/>
        <v>1103,'LICENCIATURA','mariana.garciavillanueva','111052','TOMAR DEL SND','GARCIA VILLANUEVA MARIANA','ARQUITECTURA','7mo','FEMENINO','ACTIVO','',0,0,'','ALUMNO'</v>
      </c>
      <c r="L104" s="10" t="str">
        <f t="shared" si="2"/>
        <v>INSERT INTO participantes (id,nivel,correo,matricula,clave,nombre,carrera,grado,sexo,situacion,evaluados,num_evaluados,total_evaluaciones,ultimo_acceso,nivel_acceso) VALUES (1103,'LICENCIATURA','mariana.garciavillanueva','111052','TOMAR DEL SND','GARCIA VILLANUEVA MARIANA','ARQUITECTURA','7mo','FEMENINO','ACTIVO','',0,0,'','ALUMNO');</v>
      </c>
    </row>
    <row r="105" spans="1:12" ht="130.5" x14ac:dyDescent="0.35">
      <c r="A105" s="7">
        <v>1104</v>
      </c>
      <c r="B105" s="6" t="s">
        <v>5</v>
      </c>
      <c r="C105" t="s">
        <v>110</v>
      </c>
      <c r="D105" s="7" t="s">
        <v>682</v>
      </c>
      <c r="E105" s="7" t="s">
        <v>1149</v>
      </c>
      <c r="F105" t="s">
        <v>1254</v>
      </c>
      <c r="G105" s="7" t="s">
        <v>1726</v>
      </c>
      <c r="H105" t="s">
        <v>1738</v>
      </c>
      <c r="I105" t="s">
        <v>1744</v>
      </c>
      <c r="J105" t="s">
        <v>1786</v>
      </c>
      <c r="K105" s="2" t="str">
        <f t="shared" si="3"/>
        <v>1104,'LICENCIATURA','dianasarahi.ramireztabarez','111053','TOMAR DEL SND','RAMIREZ TABAREZ DIANA SARAHI','PSICOLOGIA','7mo','FEMENINO','ACTIVO','',0,0,'','ALUMNO'</v>
      </c>
      <c r="L105" s="10" t="str">
        <f t="shared" si="2"/>
        <v>INSERT INTO participantes (id,nivel,correo,matricula,clave,nombre,carrera,grado,sexo,situacion,evaluados,num_evaluados,total_evaluaciones,ultimo_acceso,nivel_acceso) VALUES (1104,'LICENCIATURA','dianasarahi.ramireztabarez','111053','TOMAR DEL SND','RAMIREZ TABAREZ DIANA SARAHI','PSICOLOGIA','7mo','FEMENINO','ACTIVO','',0,0,'','ALUMNO');</v>
      </c>
    </row>
    <row r="106" spans="1:12" ht="130.5" x14ac:dyDescent="0.35">
      <c r="A106" s="7">
        <v>1105</v>
      </c>
      <c r="B106" s="6" t="s">
        <v>5</v>
      </c>
      <c r="C106" t="s">
        <v>111</v>
      </c>
      <c r="D106" s="7" t="s">
        <v>683</v>
      </c>
      <c r="E106" s="7" t="s">
        <v>1149</v>
      </c>
      <c r="F106" t="s">
        <v>1255</v>
      </c>
      <c r="G106" s="7" t="s">
        <v>1726</v>
      </c>
      <c r="H106" t="s">
        <v>1738</v>
      </c>
      <c r="I106" t="s">
        <v>1744</v>
      </c>
      <c r="J106" t="s">
        <v>1786</v>
      </c>
      <c r="K106" s="2" t="str">
        <f t="shared" si="3"/>
        <v>1105,'LICENCIATURA','aureaemily.osorniocontreras','111054','TOMAR DEL SND','OSORNIO CONTRERAS AUREA EMILY','PSICOLOGIA','7mo','FEMENINO','ACTIVO','',0,0,'','ALUMNO'</v>
      </c>
      <c r="L106" s="10" t="str">
        <f t="shared" si="2"/>
        <v>INSERT INTO participantes (id,nivel,correo,matricula,clave,nombre,carrera,grado,sexo,situacion,evaluados,num_evaluados,total_evaluaciones,ultimo_acceso,nivel_acceso) VALUES (1105,'LICENCIATURA','aureaemily.osorniocontreras','111054','TOMAR DEL SND','OSORNIO CONTRERAS AUREA EMILY','PSICOLOGIA','7mo','FEMENINO','ACTIVO','',0,0,'','ALUMNO');</v>
      </c>
    </row>
    <row r="107" spans="1:12" ht="130.5" x14ac:dyDescent="0.35">
      <c r="A107" s="7">
        <v>1106</v>
      </c>
      <c r="B107" s="6" t="s">
        <v>5</v>
      </c>
      <c r="C107" t="s">
        <v>112</v>
      </c>
      <c r="D107" s="7" t="s">
        <v>684</v>
      </c>
      <c r="E107" s="7" t="s">
        <v>1149</v>
      </c>
      <c r="F107" t="s">
        <v>1256</v>
      </c>
      <c r="G107" s="7" t="s">
        <v>1730</v>
      </c>
      <c r="H107" t="s">
        <v>1738</v>
      </c>
      <c r="I107" t="s">
        <v>1743</v>
      </c>
      <c r="J107" t="s">
        <v>1786</v>
      </c>
      <c r="K107" s="2" t="str">
        <f t="shared" si="3"/>
        <v>1106,'LICENCIATURA','jesusbenjamin.argandarubio','111055','TOMAR DEL SND','ARGANDA RUBIO JESUS BENJAMIN','ANIMACION DIGITAL Y VIDEOJUEGOS','7mo','MASCULINO','ACTIVO','',0,0,'','ALUMNO'</v>
      </c>
      <c r="L107" s="10" t="str">
        <f t="shared" si="2"/>
        <v>INSERT INTO participantes (id,nivel,correo,matricula,clave,nombre,carrera,grado,sexo,situacion,evaluados,num_evaluados,total_evaluaciones,ultimo_acceso,nivel_acceso) VALUES (1106,'LICENCIATURA','jesusbenjamin.argandarubio','111055','TOMAR DEL SND','ARGANDA RUBIO JESUS BENJAMIN','ANIMACION DIGITAL Y VIDEOJUEGOS','7mo','MASCULINO','ACTIVO','',0,0,'','ALUMNO');</v>
      </c>
    </row>
    <row r="108" spans="1:12" ht="130.5" x14ac:dyDescent="0.35">
      <c r="A108" s="7">
        <v>1107</v>
      </c>
      <c r="B108" s="6" t="s">
        <v>5</v>
      </c>
      <c r="C108" t="s">
        <v>113</v>
      </c>
      <c r="D108" s="7" t="s">
        <v>685</v>
      </c>
      <c r="E108" s="7" t="s">
        <v>1149</v>
      </c>
      <c r="F108" t="s">
        <v>1257</v>
      </c>
      <c r="G108" s="7" t="s">
        <v>1730</v>
      </c>
      <c r="H108" t="s">
        <v>1738</v>
      </c>
      <c r="I108" t="s">
        <v>1744</v>
      </c>
      <c r="J108" t="s">
        <v>1786</v>
      </c>
      <c r="K108" s="2" t="str">
        <f t="shared" si="3"/>
        <v>1107,'LICENCIATURA','natalia.izquierdomartinez','111063','TOMAR DEL SND','IZQUIERDO MARTINEZ NATALIA','ANIMACION DIGITAL Y VIDEOJUEGOS','7mo','FEMENINO','ACTIVO','',0,0,'','ALUMNO'</v>
      </c>
      <c r="L108" s="10" t="str">
        <f t="shared" si="2"/>
        <v>INSERT INTO participantes (id,nivel,correo,matricula,clave,nombre,carrera,grado,sexo,situacion,evaluados,num_evaluados,total_evaluaciones,ultimo_acceso,nivel_acceso) VALUES (1107,'LICENCIATURA','natalia.izquierdomartinez','111063','TOMAR DEL SND','IZQUIERDO MARTINEZ NATALIA','ANIMACION DIGITAL Y VIDEOJUEGOS','7mo','FEMENINO','ACTIVO','',0,0,'','ALUMNO');</v>
      </c>
    </row>
    <row r="109" spans="1:12" ht="130.5" x14ac:dyDescent="0.35">
      <c r="A109" s="7">
        <v>1108</v>
      </c>
      <c r="B109" s="6" t="s">
        <v>5</v>
      </c>
      <c r="C109" t="s">
        <v>114</v>
      </c>
      <c r="D109" s="7" t="s">
        <v>686</v>
      </c>
      <c r="E109" s="7" t="s">
        <v>1149</v>
      </c>
      <c r="F109" t="s">
        <v>1258</v>
      </c>
      <c r="G109" s="7" t="s">
        <v>1724</v>
      </c>
      <c r="H109" t="s">
        <v>1738</v>
      </c>
      <c r="I109" t="s">
        <v>1744</v>
      </c>
      <c r="J109" t="s">
        <v>1786</v>
      </c>
      <c r="K109" s="2" t="str">
        <f t="shared" si="3"/>
        <v>1108,'LICENCIATURA','mariangel.floresaguilar','111065','TOMAR DEL SND','FLORES AGUILAR MARIANGEL','NUTRICION Y GASTRONOMIA','7mo','FEMENINO','ACTIVO','',0,0,'','ALUMNO'</v>
      </c>
      <c r="L109" s="10" t="str">
        <f t="shared" si="2"/>
        <v>INSERT INTO participantes (id,nivel,correo,matricula,clave,nombre,carrera,grado,sexo,situacion,evaluados,num_evaluados,total_evaluaciones,ultimo_acceso,nivel_acceso) VALUES (1108,'LICENCIATURA','mariangel.floresaguilar','111065','TOMAR DEL SND','FLORES AGUILAR MARIANGEL','NUTRICION Y GASTRONOMIA','7mo','FEMENINO','ACTIVO','',0,0,'','ALUMNO');</v>
      </c>
    </row>
    <row r="110" spans="1:12" ht="130.5" x14ac:dyDescent="0.35">
      <c r="A110" s="7">
        <v>1109</v>
      </c>
      <c r="B110" s="6" t="s">
        <v>5</v>
      </c>
      <c r="C110" t="s">
        <v>115</v>
      </c>
      <c r="D110" s="7" t="s">
        <v>687</v>
      </c>
      <c r="E110" s="7" t="s">
        <v>1149</v>
      </c>
      <c r="F110" t="s">
        <v>1259</v>
      </c>
      <c r="G110" s="7" t="s">
        <v>1725</v>
      </c>
      <c r="H110" t="s">
        <v>1738</v>
      </c>
      <c r="I110" t="s">
        <v>1744</v>
      </c>
      <c r="J110" t="s">
        <v>1786</v>
      </c>
      <c r="K110" s="2" t="str">
        <f t="shared" si="3"/>
        <v>1109,'LICENCIATURA','adriana.amarobaltierra','111068','TOMAR DEL SND','AMARO BALTIERRA ADRIANA','INGENIERIA AEROESPACIAL','7mo','FEMENINO','ACTIVO','',0,0,'','ALUMNO'</v>
      </c>
      <c r="L110" s="10" t="str">
        <f t="shared" si="2"/>
        <v>INSERT INTO participantes (id,nivel,correo,matricula,clave,nombre,carrera,grado,sexo,situacion,evaluados,num_evaluados,total_evaluaciones,ultimo_acceso,nivel_acceso) VALUES (1109,'LICENCIATURA','adriana.amarobaltierra','111068','TOMAR DEL SND','AMARO BALTIERRA ADRIANA','INGENIERIA AEROESPACIAL','7mo','FEMENINO','ACTIVO','',0,0,'','ALUMNO');</v>
      </c>
    </row>
    <row r="111" spans="1:12" ht="130.5" x14ac:dyDescent="0.35">
      <c r="A111" s="7">
        <v>1110</v>
      </c>
      <c r="B111" s="6" t="s">
        <v>5</v>
      </c>
      <c r="C111" t="s">
        <v>116</v>
      </c>
      <c r="D111" s="7" t="s">
        <v>688</v>
      </c>
      <c r="E111" s="7" t="s">
        <v>1149</v>
      </c>
      <c r="F111" t="s">
        <v>1260</v>
      </c>
      <c r="G111" s="7" t="s">
        <v>1731</v>
      </c>
      <c r="H111" t="s">
        <v>1738</v>
      </c>
      <c r="I111" t="s">
        <v>1743</v>
      </c>
      <c r="J111" t="s">
        <v>1786</v>
      </c>
      <c r="K111" s="2" t="str">
        <f t="shared" si="3"/>
        <v>1110,'LICENCIATURA','marcoantonio.lopezluvian','111069','TOMAR DEL SND','LOPEZ LUVIAN MARCO ANTONIO','INGENIERÍA AUTOMOTRIZ','7mo','MASCULINO','ACTIVO','',0,0,'','ALUMNO'</v>
      </c>
      <c r="L111" s="10" t="str">
        <f t="shared" si="2"/>
        <v>INSERT INTO participantes (id,nivel,correo,matricula,clave,nombre,carrera,grado,sexo,situacion,evaluados,num_evaluados,total_evaluaciones,ultimo_acceso,nivel_acceso) VALUES (1110,'LICENCIATURA','marcoantonio.lopezluvian','111069','TOMAR DEL SND','LOPEZ LUVIAN MARCO ANTONIO','INGENIERÍA AUTOMOTRIZ','7mo','MASCULINO','ACTIVO','',0,0,'','ALUMNO');</v>
      </c>
    </row>
    <row r="112" spans="1:12" ht="130.5" x14ac:dyDescent="0.35">
      <c r="A112" s="7">
        <v>1111</v>
      </c>
      <c r="B112" s="6" t="s">
        <v>5</v>
      </c>
      <c r="C112" t="s">
        <v>117</v>
      </c>
      <c r="D112" s="7" t="s">
        <v>689</v>
      </c>
      <c r="E112" s="7" t="s">
        <v>1149</v>
      </c>
      <c r="F112" t="s">
        <v>1261</v>
      </c>
      <c r="G112" s="7" t="s">
        <v>1725</v>
      </c>
      <c r="H112" t="s">
        <v>1738</v>
      </c>
      <c r="I112" t="s">
        <v>1743</v>
      </c>
      <c r="J112" t="s">
        <v>1786</v>
      </c>
      <c r="K112" s="2" t="str">
        <f t="shared" si="3"/>
        <v>1111,'LICENCIATURA','emmanuel.lozanoesparza','111070','TOMAR DEL SND','LOZANO ESPARZA EMMANUEL','INGENIERIA AEROESPACIAL','7mo','MASCULINO','ACTIVO','',0,0,'','ALUMNO'</v>
      </c>
      <c r="L112" s="10" t="str">
        <f t="shared" si="2"/>
        <v>INSERT INTO participantes (id,nivel,correo,matricula,clave,nombre,carrera,grado,sexo,situacion,evaluados,num_evaluados,total_evaluaciones,ultimo_acceso,nivel_acceso) VALUES (1111,'LICENCIATURA','emmanuel.lozanoesparza','111070','TOMAR DEL SND','LOZANO ESPARZA EMMANUEL','INGENIERIA AEROESPACIAL','7mo','MASCULINO','ACTIVO','',0,0,'','ALUMNO');</v>
      </c>
    </row>
    <row r="113" spans="1:12" ht="130.5" x14ac:dyDescent="0.35">
      <c r="A113" s="7">
        <v>1112</v>
      </c>
      <c r="B113" s="6" t="s">
        <v>5</v>
      </c>
      <c r="C113" t="s">
        <v>118</v>
      </c>
      <c r="D113" s="7" t="s">
        <v>690</v>
      </c>
      <c r="E113" s="7" t="s">
        <v>1149</v>
      </c>
      <c r="F113" t="s">
        <v>1262</v>
      </c>
      <c r="G113" s="7" t="s">
        <v>1730</v>
      </c>
      <c r="H113" t="s">
        <v>1738</v>
      </c>
      <c r="I113" t="s">
        <v>1743</v>
      </c>
      <c r="J113" t="s">
        <v>1786</v>
      </c>
      <c r="K113" s="2" t="str">
        <f t="shared" si="3"/>
        <v>1112,'LICENCIATURA','braulioisaias.perezalvarez','111072','TOMAR DEL SND','PEREZ ALVAREZ BRAULIO ISAIAS','ANIMACION DIGITAL Y VIDEOJUEGOS','7mo','MASCULINO','ACTIVO','',0,0,'','ALUMNO'</v>
      </c>
      <c r="L113" s="10" t="str">
        <f t="shared" si="2"/>
        <v>INSERT INTO participantes (id,nivel,correo,matricula,clave,nombre,carrera,grado,sexo,situacion,evaluados,num_evaluados,total_evaluaciones,ultimo_acceso,nivel_acceso) VALUES (1112,'LICENCIATURA','braulioisaias.perezalvarez','111072','TOMAR DEL SND','PEREZ ALVAREZ BRAULIO ISAIAS','ANIMACION DIGITAL Y VIDEOJUEGOS','7mo','MASCULINO','ACTIVO','',0,0,'','ALUMNO');</v>
      </c>
    </row>
    <row r="114" spans="1:12" ht="130.5" x14ac:dyDescent="0.35">
      <c r="A114" s="7">
        <v>1113</v>
      </c>
      <c r="B114" s="6" t="s">
        <v>5</v>
      </c>
      <c r="C114" t="s">
        <v>119</v>
      </c>
      <c r="D114" s="7" t="s">
        <v>691</v>
      </c>
      <c r="E114" s="7" t="s">
        <v>1149</v>
      </c>
      <c r="F114" t="s">
        <v>1263</v>
      </c>
      <c r="G114" s="7" t="s">
        <v>1729</v>
      </c>
      <c r="H114" t="s">
        <v>1738</v>
      </c>
      <c r="I114" t="s">
        <v>1744</v>
      </c>
      <c r="J114" t="s">
        <v>1786</v>
      </c>
      <c r="K114" s="2" t="str">
        <f t="shared" si="3"/>
        <v>1113,'LICENCIATURA','alondramarisol.ramosarias','111074','TOMAR DEL SND','RAMOS ARIAS ALONDRA MARISOL','ARQUITECTURA','7mo','FEMENINO','ACTIVO','',0,0,'','ALUMNO'</v>
      </c>
      <c r="L114" s="10" t="str">
        <f t="shared" si="2"/>
        <v>INSERT INTO participantes (id,nivel,correo,matricula,clave,nombre,carrera,grado,sexo,situacion,evaluados,num_evaluados,total_evaluaciones,ultimo_acceso,nivel_acceso) VALUES (1113,'LICENCIATURA','alondramarisol.ramosarias','111074','TOMAR DEL SND','RAMOS ARIAS ALONDRA MARISOL','ARQUITECTURA','7mo','FEMENINO','ACTIVO','',0,0,'','ALUMNO');</v>
      </c>
    </row>
    <row r="115" spans="1:12" ht="130.5" x14ac:dyDescent="0.35">
      <c r="A115" s="7">
        <v>1114</v>
      </c>
      <c r="B115" s="6" t="s">
        <v>5</v>
      </c>
      <c r="C115" t="s">
        <v>120</v>
      </c>
      <c r="D115" s="7" t="s">
        <v>692</v>
      </c>
      <c r="E115" s="7" t="s">
        <v>1149</v>
      </c>
      <c r="F115" t="s">
        <v>1264</v>
      </c>
      <c r="G115" s="7" t="s">
        <v>1725</v>
      </c>
      <c r="H115" t="s">
        <v>1738</v>
      </c>
      <c r="I115" t="s">
        <v>1744</v>
      </c>
      <c r="J115" t="s">
        <v>1786</v>
      </c>
      <c r="K115" s="2" t="str">
        <f t="shared" si="3"/>
        <v>1114,'LICENCIATURA','taniadelosangeles.contrerassanchez','111075','TOMAR DEL SND','CONTRERAS SANCHEZ TANIA DE LOS ANGELES','INGENIERIA AEROESPACIAL','7mo','FEMENINO','ACTIVO','',0,0,'','ALUMNO'</v>
      </c>
      <c r="L115" s="10" t="str">
        <f t="shared" si="2"/>
        <v>INSERT INTO participantes (id,nivel,correo,matricula,clave,nombre,carrera,grado,sexo,situacion,evaluados,num_evaluados,total_evaluaciones,ultimo_acceso,nivel_acceso) VALUES (1114,'LICENCIATURA','taniadelosangeles.contrerassanchez','111075','TOMAR DEL SND','CONTRERAS SANCHEZ TANIA DE LOS ANGELES','INGENIERIA AEROESPACIAL','7mo','FEMENINO','ACTIVO','',0,0,'','ALUMNO');</v>
      </c>
    </row>
    <row r="116" spans="1:12" ht="130.5" x14ac:dyDescent="0.35">
      <c r="A116" s="7">
        <v>1115</v>
      </c>
      <c r="B116" s="6" t="s">
        <v>5</v>
      </c>
      <c r="C116" t="s">
        <v>121</v>
      </c>
      <c r="D116" s="7" t="s">
        <v>693</v>
      </c>
      <c r="E116" s="7" t="s">
        <v>1149</v>
      </c>
      <c r="F116" t="s">
        <v>1265</v>
      </c>
      <c r="G116" s="7" t="s">
        <v>1734</v>
      </c>
      <c r="H116" t="s">
        <v>1738</v>
      </c>
      <c r="I116" t="s">
        <v>1743</v>
      </c>
      <c r="J116" t="s">
        <v>1786</v>
      </c>
      <c r="K116" s="2" t="str">
        <f t="shared" si="3"/>
        <v>1115,'LICENCIATURA','luisfernando.salazartorres','111076','TOMAR DEL SND','SALAZAR TORRES LUIS FERNANDO','INGENIERÍA EN INTELIGENCIA ARTIFICIAL','7mo','MASCULINO','ACTIVO','',0,0,'','ALUMNO'</v>
      </c>
      <c r="L116" s="10" t="str">
        <f t="shared" si="2"/>
        <v>INSERT INTO participantes (id,nivel,correo,matricula,clave,nombre,carrera,grado,sexo,situacion,evaluados,num_evaluados,total_evaluaciones,ultimo_acceso,nivel_acceso) VALUES (1115,'LICENCIATURA','luisfernando.salazartorres','111076','TOMAR DEL SND','SALAZAR TORRES LUIS FERNANDO','INGENIERÍA EN INTELIGENCIA ARTIFICIAL','7mo','MASCULINO','ACTIVO','',0,0,'','ALUMNO');</v>
      </c>
    </row>
    <row r="117" spans="1:12" ht="130.5" x14ac:dyDescent="0.35">
      <c r="A117" s="7">
        <v>1116</v>
      </c>
      <c r="B117" s="6" t="s">
        <v>5</v>
      </c>
      <c r="C117" t="s">
        <v>122</v>
      </c>
      <c r="D117" s="7" t="s">
        <v>694</v>
      </c>
      <c r="E117" s="7" t="s">
        <v>1149</v>
      </c>
      <c r="F117" t="s">
        <v>1266</v>
      </c>
      <c r="G117" s="7" t="s">
        <v>1725</v>
      </c>
      <c r="H117" t="s">
        <v>1738</v>
      </c>
      <c r="I117" t="s">
        <v>1743</v>
      </c>
      <c r="J117" t="s">
        <v>1786</v>
      </c>
      <c r="K117" s="2" t="str">
        <f t="shared" si="3"/>
        <v>1116,'LICENCIATURA','andres.cabrerachavira','111077','TOMAR DEL SND','CABRERA CHAVIRA ANDRES','INGENIERIA AEROESPACIAL','7mo','MASCULINO','ACTIVO','',0,0,'','ALUMNO'</v>
      </c>
      <c r="L117" s="10" t="str">
        <f t="shared" si="2"/>
        <v>INSERT INTO participantes (id,nivel,correo,matricula,clave,nombre,carrera,grado,sexo,situacion,evaluados,num_evaluados,total_evaluaciones,ultimo_acceso,nivel_acceso) VALUES (1116,'LICENCIATURA','andres.cabrerachavira','111077','TOMAR DEL SND','CABRERA CHAVIRA ANDRES','INGENIERIA AEROESPACIAL','7mo','MASCULINO','ACTIVO','',0,0,'','ALUMNO');</v>
      </c>
    </row>
    <row r="118" spans="1:12" ht="130.5" x14ac:dyDescent="0.35">
      <c r="A118" s="7">
        <v>1117</v>
      </c>
      <c r="B118" s="6" t="s">
        <v>5</v>
      </c>
      <c r="C118" t="s">
        <v>123</v>
      </c>
      <c r="D118" s="7" t="s">
        <v>695</v>
      </c>
      <c r="E118" s="7" t="s">
        <v>1149</v>
      </c>
      <c r="F118" t="s">
        <v>1267</v>
      </c>
      <c r="G118" s="7" t="s">
        <v>1733</v>
      </c>
      <c r="H118" t="s">
        <v>1738</v>
      </c>
      <c r="I118" t="s">
        <v>1744</v>
      </c>
      <c r="J118" t="s">
        <v>1786</v>
      </c>
      <c r="K118" s="2" t="str">
        <f t="shared" si="3"/>
        <v>1117,'LICENCIATURA','marifer.gomezmurguia','111078','TOMAR DEL SND','GOMEZ MURGUIA MARIFER','DISEÑO GRAFICO Y DIGITAL','7mo','FEMENINO','ACTIVO','',0,0,'','ALUMNO'</v>
      </c>
      <c r="L118" s="10" t="str">
        <f t="shared" si="2"/>
        <v>INSERT INTO participantes (id,nivel,correo,matricula,clave,nombre,carrera,grado,sexo,situacion,evaluados,num_evaluados,total_evaluaciones,ultimo_acceso,nivel_acceso) VALUES (1117,'LICENCIATURA','marifer.gomezmurguia','111078','TOMAR DEL SND','GOMEZ MURGUIA MARIFER','DISEÑO GRAFICO Y DIGITAL','7mo','FEMENINO','ACTIVO','',0,0,'','ALUMNO');</v>
      </c>
    </row>
    <row r="119" spans="1:12" ht="130.5" x14ac:dyDescent="0.35">
      <c r="A119" s="7">
        <v>1118</v>
      </c>
      <c r="B119" s="6" t="s">
        <v>5</v>
      </c>
      <c r="C119" t="s">
        <v>124</v>
      </c>
      <c r="D119" s="7" t="s">
        <v>696</v>
      </c>
      <c r="E119" s="7" t="s">
        <v>1149</v>
      </c>
      <c r="F119" t="s">
        <v>1268</v>
      </c>
      <c r="G119" s="7" t="s">
        <v>1726</v>
      </c>
      <c r="H119" t="s">
        <v>1738</v>
      </c>
      <c r="I119" t="s">
        <v>1744</v>
      </c>
      <c r="J119" t="s">
        <v>1786</v>
      </c>
      <c r="K119" s="2" t="str">
        <f t="shared" si="3"/>
        <v>1118,'LICENCIATURA','alexa.moyarobles','111082','TOMAR DEL SND','MOYA ROBLES ALEXA','PSICOLOGIA','7mo','FEMENINO','ACTIVO','',0,0,'','ALUMNO'</v>
      </c>
      <c r="L119" s="10" t="str">
        <f t="shared" si="2"/>
        <v>INSERT INTO participantes (id,nivel,correo,matricula,clave,nombre,carrera,grado,sexo,situacion,evaluados,num_evaluados,total_evaluaciones,ultimo_acceso,nivel_acceso) VALUES (1118,'LICENCIATURA','alexa.moyarobles','111082','TOMAR DEL SND','MOYA ROBLES ALEXA','PSICOLOGIA','7mo','FEMENINO','ACTIVO','',0,0,'','ALUMNO');</v>
      </c>
    </row>
    <row r="120" spans="1:12" ht="130.5" x14ac:dyDescent="0.35">
      <c r="A120" s="7">
        <v>1119</v>
      </c>
      <c r="B120" s="6" t="s">
        <v>5</v>
      </c>
      <c r="C120" t="s">
        <v>125</v>
      </c>
      <c r="D120" s="7" t="s">
        <v>697</v>
      </c>
      <c r="E120" s="7" t="s">
        <v>1149</v>
      </c>
      <c r="F120" t="s">
        <v>1269</v>
      </c>
      <c r="G120" s="7" t="s">
        <v>1725</v>
      </c>
      <c r="H120" t="s">
        <v>1738</v>
      </c>
      <c r="I120" t="s">
        <v>1743</v>
      </c>
      <c r="J120" t="s">
        <v>1786</v>
      </c>
      <c r="K120" s="2" t="str">
        <f t="shared" si="3"/>
        <v>1119,'LICENCIATURA','eduardo.vazquezguerrero','111083','TOMAR DEL SND','VAZQUEZ GUERRERO EDUARDO','INGENIERIA AEROESPACIAL','7mo','MASCULINO','ACTIVO','',0,0,'','ALUMNO'</v>
      </c>
      <c r="L120" s="10" t="str">
        <f t="shared" si="2"/>
        <v>INSERT INTO participantes (id,nivel,correo,matricula,clave,nombre,carrera,grado,sexo,situacion,evaluados,num_evaluados,total_evaluaciones,ultimo_acceso,nivel_acceso) VALUES (1119,'LICENCIATURA','eduardo.vazquezguerrero','111083','TOMAR DEL SND','VAZQUEZ GUERRERO EDUARDO','INGENIERIA AEROESPACIAL','7mo','MASCULINO','ACTIVO','',0,0,'','ALUMNO');</v>
      </c>
    </row>
    <row r="121" spans="1:12" ht="130.5" x14ac:dyDescent="0.35">
      <c r="A121" s="7">
        <v>1120</v>
      </c>
      <c r="B121" s="6" t="s">
        <v>5</v>
      </c>
      <c r="C121" t="s">
        <v>126</v>
      </c>
      <c r="D121" s="7" t="s">
        <v>698</v>
      </c>
      <c r="E121" s="7" t="s">
        <v>1149</v>
      </c>
      <c r="F121" t="s">
        <v>1270</v>
      </c>
      <c r="G121" s="7" t="s">
        <v>1729</v>
      </c>
      <c r="H121" t="s">
        <v>1738</v>
      </c>
      <c r="I121" t="s">
        <v>1743</v>
      </c>
      <c r="J121" t="s">
        <v>1786</v>
      </c>
      <c r="K121" s="2" t="str">
        <f t="shared" si="3"/>
        <v>1120,'LICENCIATURA','joaquin.zeagomez','111084','TOMAR DEL SND','ZEA GOMEZ JOAQUIN','ARQUITECTURA','7mo','MASCULINO','ACTIVO','',0,0,'','ALUMNO'</v>
      </c>
      <c r="L121" s="10" t="str">
        <f t="shared" si="2"/>
        <v>INSERT INTO participantes (id,nivel,correo,matricula,clave,nombre,carrera,grado,sexo,situacion,evaluados,num_evaluados,total_evaluaciones,ultimo_acceso,nivel_acceso) VALUES (1120,'LICENCIATURA','joaquin.zeagomez','111084','TOMAR DEL SND','ZEA GOMEZ JOAQUIN','ARQUITECTURA','7mo','MASCULINO','ACTIVO','',0,0,'','ALUMNO');</v>
      </c>
    </row>
    <row r="122" spans="1:12" ht="130.5" x14ac:dyDescent="0.35">
      <c r="A122" s="7">
        <v>1121</v>
      </c>
      <c r="B122" s="6" t="s">
        <v>5</v>
      </c>
      <c r="C122" t="s">
        <v>127</v>
      </c>
      <c r="D122" s="7" t="s">
        <v>699</v>
      </c>
      <c r="E122" s="7" t="s">
        <v>1149</v>
      </c>
      <c r="F122" t="s">
        <v>1271</v>
      </c>
      <c r="G122" s="7" t="s">
        <v>1729</v>
      </c>
      <c r="H122" t="s">
        <v>1738</v>
      </c>
      <c r="I122" t="s">
        <v>1744</v>
      </c>
      <c r="J122" t="s">
        <v>1786</v>
      </c>
      <c r="K122" s="2" t="str">
        <f t="shared" si="3"/>
        <v>1121,'LICENCIATURA','karlaguadalupe.grajalesmasini','111085','TOMAR DEL SND','GRAJALES MASINI KARLA GUADALUPE','ARQUITECTURA','7mo','FEMENINO','ACTIVO','',0,0,'','ALUMNO'</v>
      </c>
      <c r="L122" s="10" t="str">
        <f t="shared" si="2"/>
        <v>INSERT INTO participantes (id,nivel,correo,matricula,clave,nombre,carrera,grado,sexo,situacion,evaluados,num_evaluados,total_evaluaciones,ultimo_acceso,nivel_acceso) VALUES (1121,'LICENCIATURA','karlaguadalupe.grajalesmasini','111085','TOMAR DEL SND','GRAJALES MASINI KARLA GUADALUPE','ARQUITECTURA','7mo','FEMENINO','ACTIVO','',0,0,'','ALUMNO');</v>
      </c>
    </row>
    <row r="123" spans="1:12" ht="130.5" x14ac:dyDescent="0.35">
      <c r="A123" s="7">
        <v>1122</v>
      </c>
      <c r="B123" s="6" t="s">
        <v>5</v>
      </c>
      <c r="C123" t="s">
        <v>128</v>
      </c>
      <c r="D123" s="7" t="s">
        <v>700</v>
      </c>
      <c r="E123" s="7" t="s">
        <v>1149</v>
      </c>
      <c r="F123" t="s">
        <v>1272</v>
      </c>
      <c r="G123" s="7" t="s">
        <v>1725</v>
      </c>
      <c r="H123" t="s">
        <v>1738</v>
      </c>
      <c r="I123" t="s">
        <v>1743</v>
      </c>
      <c r="J123" t="s">
        <v>1786</v>
      </c>
      <c r="K123" s="2" t="str">
        <f t="shared" si="3"/>
        <v>1122,'LICENCIATURA','dieggo.zepedalopez','111086','TOMAR DEL SND','ZEPEDA LOPEZ DIEGGO','INGENIERIA AEROESPACIAL','7mo','MASCULINO','ACTIVO','',0,0,'','ALUMNO'</v>
      </c>
      <c r="L123" s="10" t="str">
        <f t="shared" si="2"/>
        <v>INSERT INTO participantes (id,nivel,correo,matricula,clave,nombre,carrera,grado,sexo,situacion,evaluados,num_evaluados,total_evaluaciones,ultimo_acceso,nivel_acceso) VALUES (1122,'LICENCIATURA','dieggo.zepedalopez','111086','TOMAR DEL SND','ZEPEDA LOPEZ DIEGGO','INGENIERIA AEROESPACIAL','7mo','MASCULINO','ACTIVO','',0,0,'','ALUMNO');</v>
      </c>
    </row>
    <row r="124" spans="1:12" ht="130.5" x14ac:dyDescent="0.35">
      <c r="A124" s="7">
        <v>1123</v>
      </c>
      <c r="B124" s="6" t="s">
        <v>5</v>
      </c>
      <c r="C124" t="s">
        <v>129</v>
      </c>
      <c r="D124" s="7" t="s">
        <v>701</v>
      </c>
      <c r="E124" s="7" t="s">
        <v>1149</v>
      </c>
      <c r="F124" t="s">
        <v>1273</v>
      </c>
      <c r="G124" s="7" t="s">
        <v>1727</v>
      </c>
      <c r="H124" t="s">
        <v>1738</v>
      </c>
      <c r="I124" t="s">
        <v>1744</v>
      </c>
      <c r="J124" t="s">
        <v>1786</v>
      </c>
      <c r="K124" s="2" t="str">
        <f t="shared" si="3"/>
        <v>1123,'LICENCIATURA','soniaximena.marmolejorodriguez','111088','TOMAR DEL SND','MARMOLEJO RODRIGUEZ SONIA XIMENA','ADMINISTRACION Y DIRECCION DE NEGOCIOS','7mo','FEMENINO','ACTIVO','',0,0,'','ALUMNO'</v>
      </c>
      <c r="L124" s="10" t="str">
        <f t="shared" si="2"/>
        <v>INSERT INTO participantes (id,nivel,correo,matricula,clave,nombre,carrera,grado,sexo,situacion,evaluados,num_evaluados,total_evaluaciones,ultimo_acceso,nivel_acceso) VALUES (1123,'LICENCIATURA','soniaximena.marmolejorodriguez','111088','TOMAR DEL SND','MARMOLEJO RODRIGUEZ SONIA XIMENA','ADMINISTRACION Y DIRECCION DE NEGOCIOS','7mo','FEMENINO','ACTIVO','',0,0,'','ALUMNO');</v>
      </c>
    </row>
    <row r="125" spans="1:12" ht="130.5" x14ac:dyDescent="0.35">
      <c r="A125" s="7">
        <v>1124</v>
      </c>
      <c r="B125" s="6" t="s">
        <v>5</v>
      </c>
      <c r="C125" t="s">
        <v>130</v>
      </c>
      <c r="D125" s="7" t="s">
        <v>702</v>
      </c>
      <c r="E125" s="7" t="s">
        <v>1149</v>
      </c>
      <c r="F125" t="s">
        <v>1274</v>
      </c>
      <c r="G125" s="7" t="s">
        <v>1730</v>
      </c>
      <c r="H125" t="s">
        <v>1738</v>
      </c>
      <c r="I125" t="s">
        <v>1744</v>
      </c>
      <c r="J125" t="s">
        <v>1786</v>
      </c>
      <c r="K125" s="2" t="str">
        <f t="shared" si="3"/>
        <v>1124,'LICENCIATURA','alondra.ramosavalos','111091','TOMAR DEL SND','RAMOS AVALOS ALONDRA','ANIMACION DIGITAL Y VIDEOJUEGOS','7mo','FEMENINO','ACTIVO','',0,0,'','ALUMNO'</v>
      </c>
      <c r="L125" s="10" t="str">
        <f t="shared" si="2"/>
        <v>INSERT INTO participantes (id,nivel,correo,matricula,clave,nombre,carrera,grado,sexo,situacion,evaluados,num_evaluados,total_evaluaciones,ultimo_acceso,nivel_acceso) VALUES (1124,'LICENCIATURA','alondra.ramosavalos','111091','TOMAR DEL SND','RAMOS AVALOS ALONDRA','ANIMACION DIGITAL Y VIDEOJUEGOS','7mo','FEMENINO','ACTIVO','',0,0,'','ALUMNO');</v>
      </c>
    </row>
    <row r="126" spans="1:12" ht="130.5" x14ac:dyDescent="0.35">
      <c r="A126" s="7">
        <v>1125</v>
      </c>
      <c r="B126" s="6" t="s">
        <v>5</v>
      </c>
      <c r="C126" t="s">
        <v>131</v>
      </c>
      <c r="D126" s="7" t="s">
        <v>703</v>
      </c>
      <c r="E126" s="7" t="s">
        <v>1149</v>
      </c>
      <c r="F126" t="s">
        <v>1275</v>
      </c>
      <c r="G126" s="7" t="s">
        <v>1725</v>
      </c>
      <c r="H126" t="s">
        <v>1738</v>
      </c>
      <c r="I126" t="s">
        <v>1743</v>
      </c>
      <c r="J126" t="s">
        <v>1786</v>
      </c>
      <c r="K126" s="2" t="str">
        <f t="shared" si="3"/>
        <v>1125,'LICENCIATURA','neizerjesus.martinezortega','111092','TOMAR DEL SND','MARTINEZ ORTEGA NEIZER JESUS','INGENIERIA AEROESPACIAL','7mo','MASCULINO','ACTIVO','',0,0,'','ALUMNO'</v>
      </c>
      <c r="L126" s="10" t="str">
        <f t="shared" si="2"/>
        <v>INSERT INTO participantes (id,nivel,correo,matricula,clave,nombre,carrera,grado,sexo,situacion,evaluados,num_evaluados,total_evaluaciones,ultimo_acceso,nivel_acceso) VALUES (1125,'LICENCIATURA','neizerjesus.martinezortega','111092','TOMAR DEL SND','MARTINEZ ORTEGA NEIZER JESUS','INGENIERIA AEROESPACIAL','7mo','MASCULINO','ACTIVO','',0,0,'','ALUMNO');</v>
      </c>
    </row>
    <row r="127" spans="1:12" ht="130.5" x14ac:dyDescent="0.35">
      <c r="A127" s="7">
        <v>1126</v>
      </c>
      <c r="B127" s="6" t="s">
        <v>5</v>
      </c>
      <c r="C127" t="s">
        <v>132</v>
      </c>
      <c r="D127" s="7" t="s">
        <v>704</v>
      </c>
      <c r="E127" s="7" t="s">
        <v>1149</v>
      </c>
      <c r="F127" t="s">
        <v>1276</v>
      </c>
      <c r="G127" s="7" t="s">
        <v>1725</v>
      </c>
      <c r="H127" t="s">
        <v>1738</v>
      </c>
      <c r="I127" t="s">
        <v>1743</v>
      </c>
      <c r="J127" t="s">
        <v>1786</v>
      </c>
      <c r="K127" s="2" t="str">
        <f t="shared" si="3"/>
        <v>1126,'LICENCIATURA','sebastian.garciamejia','111093','TOMAR DEL SND','GARCIA MEJIA SEBASTIAN','INGENIERIA AEROESPACIAL','7mo','MASCULINO','ACTIVO','',0,0,'','ALUMNO'</v>
      </c>
      <c r="L127" s="10" t="str">
        <f t="shared" si="2"/>
        <v>INSERT INTO participantes (id,nivel,correo,matricula,clave,nombre,carrera,grado,sexo,situacion,evaluados,num_evaluados,total_evaluaciones,ultimo_acceso,nivel_acceso) VALUES (1126,'LICENCIATURA','sebastian.garciamejia','111093','TOMAR DEL SND','GARCIA MEJIA SEBASTIAN','INGENIERIA AEROESPACIAL','7mo','MASCULINO','ACTIVO','',0,0,'','ALUMNO');</v>
      </c>
    </row>
    <row r="128" spans="1:12" ht="130.5" x14ac:dyDescent="0.35">
      <c r="A128" s="7">
        <v>1127</v>
      </c>
      <c r="B128" s="6" t="s">
        <v>5</v>
      </c>
      <c r="C128" t="s">
        <v>133</v>
      </c>
      <c r="D128" s="7" t="s">
        <v>705</v>
      </c>
      <c r="E128" s="7" t="s">
        <v>1149</v>
      </c>
      <c r="F128" t="s">
        <v>1277</v>
      </c>
      <c r="G128" s="7" t="s">
        <v>1726</v>
      </c>
      <c r="H128" t="s">
        <v>1738</v>
      </c>
      <c r="I128" t="s">
        <v>1743</v>
      </c>
      <c r="J128" t="s">
        <v>1786</v>
      </c>
      <c r="K128" s="2" t="str">
        <f t="shared" si="3"/>
        <v>1127,'LICENCIATURA','rodrigo.alvarezespinosa','111094','TOMAR DEL SND','ALVAREZ ESPINOSA RODRIGO','PSICOLOGIA','7mo','MASCULINO','ACTIVO','',0,0,'','ALUMNO'</v>
      </c>
      <c r="L128" s="10" t="str">
        <f t="shared" si="2"/>
        <v>INSERT INTO participantes (id,nivel,correo,matricula,clave,nombre,carrera,grado,sexo,situacion,evaluados,num_evaluados,total_evaluaciones,ultimo_acceso,nivel_acceso) VALUES (1127,'LICENCIATURA','rodrigo.alvarezespinosa','111094','TOMAR DEL SND','ALVAREZ ESPINOSA RODRIGO','PSICOLOGIA','7mo','MASCULINO','ACTIVO','',0,0,'','ALUMNO');</v>
      </c>
    </row>
    <row r="129" spans="1:12" ht="130.5" x14ac:dyDescent="0.35">
      <c r="A129" s="7">
        <v>1128</v>
      </c>
      <c r="B129" s="6" t="s">
        <v>5</v>
      </c>
      <c r="C129" t="s">
        <v>134</v>
      </c>
      <c r="D129" s="7" t="s">
        <v>706</v>
      </c>
      <c r="E129" s="7" t="s">
        <v>1149</v>
      </c>
      <c r="F129" t="s">
        <v>1278</v>
      </c>
      <c r="G129" s="7" t="s">
        <v>1733</v>
      </c>
      <c r="H129" t="s">
        <v>1738</v>
      </c>
      <c r="I129" t="s">
        <v>1744</v>
      </c>
      <c r="J129" t="s">
        <v>1786</v>
      </c>
      <c r="K129" s="2" t="str">
        <f t="shared" si="3"/>
        <v>1128,'LICENCIATURA','giovanna.santillanbarragan','111095','TOMAR DEL SND','SANTILLAN BARRAGAN GIOVANNA','DISEÑO GRAFICO Y DIGITAL','7mo','FEMENINO','ACTIVO','',0,0,'','ALUMNO'</v>
      </c>
      <c r="L129" s="10" t="str">
        <f t="shared" si="2"/>
        <v>INSERT INTO participantes (id,nivel,correo,matricula,clave,nombre,carrera,grado,sexo,situacion,evaluados,num_evaluados,total_evaluaciones,ultimo_acceso,nivel_acceso) VALUES (1128,'LICENCIATURA','giovanna.santillanbarragan','111095','TOMAR DEL SND','SANTILLAN BARRAGAN GIOVANNA','DISEÑO GRAFICO Y DIGITAL','7mo','FEMENINO','ACTIVO','',0,0,'','ALUMNO');</v>
      </c>
    </row>
    <row r="130" spans="1:12" ht="130.5" x14ac:dyDescent="0.35">
      <c r="A130" s="7">
        <v>1129</v>
      </c>
      <c r="B130" s="6" t="s">
        <v>5</v>
      </c>
      <c r="C130" t="s">
        <v>135</v>
      </c>
      <c r="D130" s="7" t="s">
        <v>707</v>
      </c>
      <c r="E130" s="7" t="s">
        <v>1149</v>
      </c>
      <c r="F130" t="s">
        <v>1279</v>
      </c>
      <c r="G130" s="7" t="s">
        <v>1729</v>
      </c>
      <c r="H130" t="s">
        <v>1738</v>
      </c>
      <c r="I130" t="s">
        <v>1744</v>
      </c>
      <c r="J130" t="s">
        <v>1786</v>
      </c>
      <c r="K130" s="2" t="str">
        <f t="shared" si="3"/>
        <v>1129,'LICENCIATURA','analucia.fongurquidy','111097','TOMAR DEL SND','FONG URQUIDY ANA LUCIA','ARQUITECTURA','7mo','FEMENINO','ACTIVO','',0,0,'','ALUMNO'</v>
      </c>
      <c r="L130" s="10" t="str">
        <f t="shared" ref="L130:L193" si="4">CONCATENATE($K$1,K130,");")</f>
        <v>INSERT INTO participantes (id,nivel,correo,matricula,clave,nombre,carrera,grado,sexo,situacion,evaluados,num_evaluados,total_evaluaciones,ultimo_acceso,nivel_acceso) VALUES (1129,'LICENCIATURA','analucia.fongurquidy','111097','TOMAR DEL SND','FONG URQUIDY ANA LUCIA','ARQUITECTURA','7mo','FEMENINO','ACTIVO','',0,0,'','ALUMNO');</v>
      </c>
    </row>
    <row r="131" spans="1:12" ht="130.5" x14ac:dyDescent="0.35">
      <c r="A131" s="7">
        <v>1130</v>
      </c>
      <c r="B131" s="6" t="s">
        <v>5</v>
      </c>
      <c r="C131" t="s">
        <v>136</v>
      </c>
      <c r="D131" s="7" t="s">
        <v>708</v>
      </c>
      <c r="E131" s="7" t="s">
        <v>1149</v>
      </c>
      <c r="F131" t="s">
        <v>1280</v>
      </c>
      <c r="G131" s="7" t="s">
        <v>1726</v>
      </c>
      <c r="H131" t="s">
        <v>1738</v>
      </c>
      <c r="I131" t="s">
        <v>1744</v>
      </c>
      <c r="J131" t="s">
        <v>1786</v>
      </c>
      <c r="K131" s="2" t="str">
        <f t="shared" ref="K131:K194" si="5">CONCATENATE(A131,",'",B131,"','",C131,"','",D131,"','",E131,"','",F131,"','",G131,"','",H131,"','",UPPER(I131),"','",UPPER(J131),"','',0,0,'','ALUMNO'")</f>
        <v>1130,'LICENCIATURA','mariana.torrescamacho','111098','TOMAR DEL SND','TORRES CAMACHO MARIANA','PSICOLOGIA','7mo','FEMENINO','ACTIVO','',0,0,'','ALUMNO'</v>
      </c>
      <c r="L131" s="10" t="str">
        <f t="shared" si="4"/>
        <v>INSERT INTO participantes (id,nivel,correo,matricula,clave,nombre,carrera,grado,sexo,situacion,evaluados,num_evaluados,total_evaluaciones,ultimo_acceso,nivel_acceso) VALUES (1130,'LICENCIATURA','mariana.torrescamacho','111098','TOMAR DEL SND','TORRES CAMACHO MARIANA','PSICOLOGIA','7mo','FEMENINO','ACTIVO','',0,0,'','ALUMNO');</v>
      </c>
    </row>
    <row r="132" spans="1:12" ht="130.5" x14ac:dyDescent="0.35">
      <c r="A132" s="7">
        <v>1131</v>
      </c>
      <c r="B132" s="6" t="s">
        <v>5</v>
      </c>
      <c r="C132" t="s">
        <v>137</v>
      </c>
      <c r="D132" s="7" t="s">
        <v>709</v>
      </c>
      <c r="E132" s="7" t="s">
        <v>1149</v>
      </c>
      <c r="F132" t="s">
        <v>1281</v>
      </c>
      <c r="G132" s="7" t="s">
        <v>1725</v>
      </c>
      <c r="H132" t="s">
        <v>1738</v>
      </c>
      <c r="I132" t="s">
        <v>1743</v>
      </c>
      <c r="J132" t="s">
        <v>1786</v>
      </c>
      <c r="K132" s="2" t="str">
        <f t="shared" si="5"/>
        <v>1131,'LICENCIATURA','alvaro.delapeñaperez','111100','TOMAR DEL SND','DE LA PEÑA PEREZ ALVARO','INGENIERIA AEROESPACIAL','7mo','MASCULINO','ACTIVO','',0,0,'','ALUMNO'</v>
      </c>
      <c r="L132" s="10" t="str">
        <f t="shared" si="4"/>
        <v>INSERT INTO participantes (id,nivel,correo,matricula,clave,nombre,carrera,grado,sexo,situacion,evaluados,num_evaluados,total_evaluaciones,ultimo_acceso,nivel_acceso) VALUES (1131,'LICENCIATURA','alvaro.delapeñaperez','111100','TOMAR DEL SND','DE LA PEÑA PEREZ ALVARO','INGENIERIA AEROESPACIAL','7mo','MASCULINO','ACTIVO','',0,0,'','ALUMNO');</v>
      </c>
    </row>
    <row r="133" spans="1:12" ht="130.5" x14ac:dyDescent="0.35">
      <c r="A133" s="7">
        <v>1132</v>
      </c>
      <c r="B133" s="6" t="s">
        <v>5</v>
      </c>
      <c r="C133" t="s">
        <v>138</v>
      </c>
      <c r="D133" s="7" t="s">
        <v>710</v>
      </c>
      <c r="E133" s="7" t="s">
        <v>1149</v>
      </c>
      <c r="F133" t="s">
        <v>1282</v>
      </c>
      <c r="G133" s="7" t="s">
        <v>1729</v>
      </c>
      <c r="H133" t="s">
        <v>1738</v>
      </c>
      <c r="I133" t="s">
        <v>1743</v>
      </c>
      <c r="J133" t="s">
        <v>1786</v>
      </c>
      <c r="K133" s="2" t="str">
        <f t="shared" si="5"/>
        <v>1132,'LICENCIATURA','rodrigosaul.lopezalferez','111102','TOMAR DEL SND','LOPEZ ALFEREZ RODRIGO SAUL','ARQUITECTURA','7mo','MASCULINO','ACTIVO','',0,0,'','ALUMNO'</v>
      </c>
      <c r="L133" s="10" t="str">
        <f t="shared" si="4"/>
        <v>INSERT INTO participantes (id,nivel,correo,matricula,clave,nombre,carrera,grado,sexo,situacion,evaluados,num_evaluados,total_evaluaciones,ultimo_acceso,nivel_acceso) VALUES (1132,'LICENCIATURA','rodrigosaul.lopezalferez','111102','TOMAR DEL SND','LOPEZ ALFEREZ RODRIGO SAUL','ARQUITECTURA','7mo','MASCULINO','ACTIVO','',0,0,'','ALUMNO');</v>
      </c>
    </row>
    <row r="134" spans="1:12" ht="130.5" x14ac:dyDescent="0.35">
      <c r="A134" s="7">
        <v>1133</v>
      </c>
      <c r="B134" s="6" t="s">
        <v>5</v>
      </c>
      <c r="C134" t="s">
        <v>139</v>
      </c>
      <c r="D134" s="7" t="s">
        <v>711</v>
      </c>
      <c r="E134" s="7" t="s">
        <v>1149</v>
      </c>
      <c r="F134" t="s">
        <v>1283</v>
      </c>
      <c r="G134" s="7" t="s">
        <v>1723</v>
      </c>
      <c r="H134" t="s">
        <v>1738</v>
      </c>
      <c r="I134" t="s">
        <v>1744</v>
      </c>
      <c r="J134" t="s">
        <v>1786</v>
      </c>
      <c r="K134" s="2" t="str">
        <f t="shared" si="5"/>
        <v>1133,'LICENCIATURA','abrilisabella.godoyflores','111103','TOMAR DEL SND','GODOY FLORES ABRIL ISABELLA','INGENIERIA CIBERNETICA Y EN SISTEMAS COMPUTACIONALES','7mo','FEMENINO','ACTIVO','',0,0,'','ALUMNO'</v>
      </c>
      <c r="L134" s="10" t="str">
        <f t="shared" si="4"/>
        <v>INSERT INTO participantes (id,nivel,correo,matricula,clave,nombre,carrera,grado,sexo,situacion,evaluados,num_evaluados,total_evaluaciones,ultimo_acceso,nivel_acceso) VALUES (1133,'LICENCIATURA','abrilisabella.godoyflores','111103','TOMAR DEL SND','GODOY FLORES ABRIL ISABELLA','INGENIERIA CIBERNETICA Y EN SISTEMAS COMPUTACIONALES','7mo','FEMENINO','ACTIVO','',0,0,'','ALUMNO');</v>
      </c>
    </row>
    <row r="135" spans="1:12" ht="130.5" x14ac:dyDescent="0.35">
      <c r="A135" s="7">
        <v>1134</v>
      </c>
      <c r="B135" s="6" t="s">
        <v>5</v>
      </c>
      <c r="C135" t="s">
        <v>140</v>
      </c>
      <c r="D135" s="7" t="s">
        <v>712</v>
      </c>
      <c r="E135" s="7" t="s">
        <v>1149</v>
      </c>
      <c r="F135" t="s">
        <v>1284</v>
      </c>
      <c r="G135" s="7" t="s">
        <v>1730</v>
      </c>
      <c r="H135" t="s">
        <v>1738</v>
      </c>
      <c r="I135" t="s">
        <v>1744</v>
      </c>
      <c r="J135" t="s">
        <v>1786</v>
      </c>
      <c r="K135" s="2" t="str">
        <f t="shared" si="5"/>
        <v>1134,'LICENCIATURA','gloriamiranda.hernandezvargas','111105','TOMAR DEL SND','HERNANDEZ VARGAS GLORIA MIRANDA','ANIMACION DIGITAL Y VIDEOJUEGOS','7mo','FEMENINO','ACTIVO','',0,0,'','ALUMNO'</v>
      </c>
      <c r="L135" s="10" t="str">
        <f t="shared" si="4"/>
        <v>INSERT INTO participantes (id,nivel,correo,matricula,clave,nombre,carrera,grado,sexo,situacion,evaluados,num_evaluados,total_evaluaciones,ultimo_acceso,nivel_acceso) VALUES (1134,'LICENCIATURA','gloriamiranda.hernandezvargas','111105','TOMAR DEL SND','HERNANDEZ VARGAS GLORIA MIRANDA','ANIMACION DIGITAL Y VIDEOJUEGOS','7mo','FEMENINO','ACTIVO','',0,0,'','ALUMNO');</v>
      </c>
    </row>
    <row r="136" spans="1:12" ht="130.5" x14ac:dyDescent="0.35">
      <c r="A136" s="7">
        <v>1135</v>
      </c>
      <c r="B136" s="6" t="s">
        <v>5</v>
      </c>
      <c r="C136" t="s">
        <v>141</v>
      </c>
      <c r="D136" s="7" t="s">
        <v>713</v>
      </c>
      <c r="E136" s="7" t="s">
        <v>1149</v>
      </c>
      <c r="F136" t="s">
        <v>1285</v>
      </c>
      <c r="G136" s="7" t="s">
        <v>1725</v>
      </c>
      <c r="H136" t="s">
        <v>1738</v>
      </c>
      <c r="I136" t="s">
        <v>1743</v>
      </c>
      <c r="J136" t="s">
        <v>1786</v>
      </c>
      <c r="K136" s="2" t="str">
        <f t="shared" si="5"/>
        <v>1135,'LICENCIATURA','diego.villaseñorclaudin','111108','TOMAR DEL SND','VILLASEÑOR CLAUDIN DIEGO','INGENIERIA AEROESPACIAL','7mo','MASCULINO','ACTIVO','',0,0,'','ALUMNO'</v>
      </c>
      <c r="L136" s="10" t="str">
        <f t="shared" si="4"/>
        <v>INSERT INTO participantes (id,nivel,correo,matricula,clave,nombre,carrera,grado,sexo,situacion,evaluados,num_evaluados,total_evaluaciones,ultimo_acceso,nivel_acceso) VALUES (1135,'LICENCIATURA','diego.villaseñorclaudin','111108','TOMAR DEL SND','VILLASEÑOR CLAUDIN DIEGO','INGENIERIA AEROESPACIAL','7mo','MASCULINO','ACTIVO','',0,0,'','ALUMNO');</v>
      </c>
    </row>
    <row r="137" spans="1:12" ht="130.5" x14ac:dyDescent="0.35">
      <c r="A137" s="7">
        <v>1136</v>
      </c>
      <c r="B137" s="6" t="s">
        <v>5</v>
      </c>
      <c r="C137" t="s">
        <v>142</v>
      </c>
      <c r="D137" s="7" t="s">
        <v>714</v>
      </c>
      <c r="E137" s="7" t="s">
        <v>1149</v>
      </c>
      <c r="F137" t="s">
        <v>1286</v>
      </c>
      <c r="G137" s="7" t="s">
        <v>1727</v>
      </c>
      <c r="H137" t="s">
        <v>1738</v>
      </c>
      <c r="I137" t="s">
        <v>1744</v>
      </c>
      <c r="J137" t="s">
        <v>1786</v>
      </c>
      <c r="K137" s="2" t="str">
        <f t="shared" si="5"/>
        <v>1136,'LICENCIATURA','mariasofia.esparzacontreras','111110','TOMAR DEL SND','ESPARZA CONTRERAS MARIA SOFIA','ADMINISTRACION Y DIRECCION DE NEGOCIOS','7mo','FEMENINO','ACTIVO','',0,0,'','ALUMNO'</v>
      </c>
      <c r="L137" s="10" t="str">
        <f t="shared" si="4"/>
        <v>INSERT INTO participantes (id,nivel,correo,matricula,clave,nombre,carrera,grado,sexo,situacion,evaluados,num_evaluados,total_evaluaciones,ultimo_acceso,nivel_acceso) VALUES (1136,'LICENCIATURA','mariasofia.esparzacontreras','111110','TOMAR DEL SND','ESPARZA CONTRERAS MARIA SOFIA','ADMINISTRACION Y DIRECCION DE NEGOCIOS','7mo','FEMENINO','ACTIVO','',0,0,'','ALUMNO');</v>
      </c>
    </row>
    <row r="138" spans="1:12" ht="130.5" x14ac:dyDescent="0.35">
      <c r="A138" s="7">
        <v>1137</v>
      </c>
      <c r="B138" s="6" t="s">
        <v>5</v>
      </c>
      <c r="C138" t="s">
        <v>143</v>
      </c>
      <c r="D138" s="7" t="s">
        <v>715</v>
      </c>
      <c r="E138" s="7" t="s">
        <v>1149</v>
      </c>
      <c r="F138" t="s">
        <v>1287</v>
      </c>
      <c r="G138" s="7" t="s">
        <v>1733</v>
      </c>
      <c r="H138" t="s">
        <v>1738</v>
      </c>
      <c r="I138" t="s">
        <v>1744</v>
      </c>
      <c r="J138" t="s">
        <v>1786</v>
      </c>
      <c r="K138" s="2" t="str">
        <f t="shared" si="5"/>
        <v>1137,'LICENCIATURA','mariafernanda.alvarezlopez','111111','TOMAR DEL SND','ALVAREZ LOPEZ MARIA FERNANDA','DISEÑO GRAFICO Y DIGITAL','7mo','FEMENINO','ACTIVO','',0,0,'','ALUMNO'</v>
      </c>
      <c r="L138" s="10" t="str">
        <f t="shared" si="4"/>
        <v>INSERT INTO participantes (id,nivel,correo,matricula,clave,nombre,carrera,grado,sexo,situacion,evaluados,num_evaluados,total_evaluaciones,ultimo_acceso,nivel_acceso) VALUES (1137,'LICENCIATURA','mariafernanda.alvarezlopez','111111','TOMAR DEL SND','ALVAREZ LOPEZ MARIA FERNANDA','DISEÑO GRAFICO Y DIGITAL','7mo','FEMENINO','ACTIVO','',0,0,'','ALUMNO');</v>
      </c>
    </row>
    <row r="139" spans="1:12" ht="130.5" x14ac:dyDescent="0.35">
      <c r="A139" s="7">
        <v>1138</v>
      </c>
      <c r="B139" s="6" t="s">
        <v>5</v>
      </c>
      <c r="C139" t="s">
        <v>144</v>
      </c>
      <c r="D139" s="7" t="s">
        <v>716</v>
      </c>
      <c r="E139" s="7" t="s">
        <v>1149</v>
      </c>
      <c r="F139" t="s">
        <v>1288</v>
      </c>
      <c r="G139" s="7" t="s">
        <v>1731</v>
      </c>
      <c r="H139" t="s">
        <v>1738</v>
      </c>
      <c r="I139" t="s">
        <v>1743</v>
      </c>
      <c r="J139" t="s">
        <v>1786</v>
      </c>
      <c r="K139" s="2" t="str">
        <f t="shared" si="5"/>
        <v>1138,'LICENCIATURA','luisantonio.santanaaguilar','111112','TOMAR DEL SND','SANTANA AGUILAR LUIS ANTONIO','INGENIERÍA AUTOMOTRIZ','7mo','MASCULINO','ACTIVO','',0,0,'','ALUMNO'</v>
      </c>
      <c r="L139" s="10" t="str">
        <f t="shared" si="4"/>
        <v>INSERT INTO participantes (id,nivel,correo,matricula,clave,nombre,carrera,grado,sexo,situacion,evaluados,num_evaluados,total_evaluaciones,ultimo_acceso,nivel_acceso) VALUES (1138,'LICENCIATURA','luisantonio.santanaaguilar','111112','TOMAR DEL SND','SANTANA AGUILAR LUIS ANTONIO','INGENIERÍA AUTOMOTRIZ','7mo','MASCULINO','ACTIVO','',0,0,'','ALUMNO');</v>
      </c>
    </row>
    <row r="140" spans="1:12" ht="130.5" x14ac:dyDescent="0.35">
      <c r="A140" s="7">
        <v>1139</v>
      </c>
      <c r="B140" s="6" t="s">
        <v>5</v>
      </c>
      <c r="C140" t="s">
        <v>145</v>
      </c>
      <c r="D140" s="7" t="s">
        <v>717</v>
      </c>
      <c r="E140" s="7" t="s">
        <v>1149</v>
      </c>
      <c r="F140" t="s">
        <v>1289</v>
      </c>
      <c r="G140" s="7" t="s">
        <v>1725</v>
      </c>
      <c r="H140" t="s">
        <v>1738</v>
      </c>
      <c r="I140" t="s">
        <v>1744</v>
      </c>
      <c r="J140" t="s">
        <v>1786</v>
      </c>
      <c r="K140" s="2" t="str">
        <f t="shared" si="5"/>
        <v>1139,'LICENCIATURA','alondrajamileth.velazquezcastro','111113','TOMAR DEL SND','VELAZQUEZ CASTRO ALONDRA JAMILETH','INGENIERIA AEROESPACIAL','7mo','FEMENINO','ACTIVO','',0,0,'','ALUMNO'</v>
      </c>
      <c r="L140" s="10" t="str">
        <f t="shared" si="4"/>
        <v>INSERT INTO participantes (id,nivel,correo,matricula,clave,nombre,carrera,grado,sexo,situacion,evaluados,num_evaluados,total_evaluaciones,ultimo_acceso,nivel_acceso) VALUES (1139,'LICENCIATURA','alondrajamileth.velazquezcastro','111113','TOMAR DEL SND','VELAZQUEZ CASTRO ALONDRA JAMILETH','INGENIERIA AEROESPACIAL','7mo','FEMENINO','ACTIVO','',0,0,'','ALUMNO');</v>
      </c>
    </row>
    <row r="141" spans="1:12" ht="130.5" x14ac:dyDescent="0.35">
      <c r="A141" s="7">
        <v>1140</v>
      </c>
      <c r="B141" s="6" t="s">
        <v>5</v>
      </c>
      <c r="C141" t="s">
        <v>146</v>
      </c>
      <c r="D141" s="7" t="s">
        <v>718</v>
      </c>
      <c r="E141" s="7" t="s">
        <v>1149</v>
      </c>
      <c r="F141" t="s">
        <v>1290</v>
      </c>
      <c r="G141" s="7" t="s">
        <v>1724</v>
      </c>
      <c r="H141" t="s">
        <v>1738</v>
      </c>
      <c r="I141" t="s">
        <v>1744</v>
      </c>
      <c r="J141" t="s">
        <v>1786</v>
      </c>
      <c r="K141" s="2" t="str">
        <f t="shared" si="5"/>
        <v>1140,'LICENCIATURA','lyaabigail.huertalopez','111114','TOMAR DEL SND','HUERTA LOPEZ LYA ABIGAIL','NUTRICION Y GASTRONOMIA','7mo','FEMENINO','ACTIVO','',0,0,'','ALUMNO'</v>
      </c>
      <c r="L141" s="10" t="str">
        <f t="shared" si="4"/>
        <v>INSERT INTO participantes (id,nivel,correo,matricula,clave,nombre,carrera,grado,sexo,situacion,evaluados,num_evaluados,total_evaluaciones,ultimo_acceso,nivel_acceso) VALUES (1140,'LICENCIATURA','lyaabigail.huertalopez','111114','TOMAR DEL SND','HUERTA LOPEZ LYA ABIGAIL','NUTRICION Y GASTRONOMIA','7mo','FEMENINO','ACTIVO','',0,0,'','ALUMNO');</v>
      </c>
    </row>
    <row r="142" spans="1:12" ht="130.5" x14ac:dyDescent="0.35">
      <c r="A142" s="7">
        <v>1141</v>
      </c>
      <c r="B142" s="6" t="s">
        <v>5</v>
      </c>
      <c r="C142" t="s">
        <v>147</v>
      </c>
      <c r="D142" s="7" t="s">
        <v>719</v>
      </c>
      <c r="E142" s="7" t="s">
        <v>1149</v>
      </c>
      <c r="F142" t="s">
        <v>1291</v>
      </c>
      <c r="G142" s="7" t="s">
        <v>1726</v>
      </c>
      <c r="H142" t="s">
        <v>1738</v>
      </c>
      <c r="I142" t="s">
        <v>1743</v>
      </c>
      <c r="J142" t="s">
        <v>1786</v>
      </c>
      <c r="K142" s="2" t="str">
        <f t="shared" si="5"/>
        <v>1141,'LICENCIATURA','enriquerene.toledosegovia','111115','TOMAR DEL SND','TOLEDO SEGOVIA ENRIQUE RENE','PSICOLOGIA','7mo','MASCULINO','ACTIVO','',0,0,'','ALUMNO'</v>
      </c>
      <c r="L142" s="10" t="str">
        <f t="shared" si="4"/>
        <v>INSERT INTO participantes (id,nivel,correo,matricula,clave,nombre,carrera,grado,sexo,situacion,evaluados,num_evaluados,total_evaluaciones,ultimo_acceso,nivel_acceso) VALUES (1141,'LICENCIATURA','enriquerene.toledosegovia','111115','TOMAR DEL SND','TOLEDO SEGOVIA ENRIQUE RENE','PSICOLOGIA','7mo','MASCULINO','ACTIVO','',0,0,'','ALUMNO');</v>
      </c>
    </row>
    <row r="143" spans="1:12" ht="130.5" x14ac:dyDescent="0.35">
      <c r="A143" s="7">
        <v>1142</v>
      </c>
      <c r="B143" s="6" t="s">
        <v>5</v>
      </c>
      <c r="C143" t="s">
        <v>148</v>
      </c>
      <c r="D143" s="7" t="s">
        <v>720</v>
      </c>
      <c r="E143" s="7" t="s">
        <v>1149</v>
      </c>
      <c r="F143" t="s">
        <v>1292</v>
      </c>
      <c r="G143" s="7" t="s">
        <v>1726</v>
      </c>
      <c r="H143" t="s">
        <v>1738</v>
      </c>
      <c r="I143" t="s">
        <v>1744</v>
      </c>
      <c r="J143" t="s">
        <v>1786</v>
      </c>
      <c r="K143" s="2" t="str">
        <f t="shared" si="5"/>
        <v>1142,'LICENCIATURA','mariana.avilaestrada','111116','TOMAR DEL SND','AVILA ESTRADA MARIANA','PSICOLOGIA','7mo','FEMENINO','ACTIVO','',0,0,'','ALUMNO'</v>
      </c>
      <c r="L143" s="10" t="str">
        <f t="shared" si="4"/>
        <v>INSERT INTO participantes (id,nivel,correo,matricula,clave,nombre,carrera,grado,sexo,situacion,evaluados,num_evaluados,total_evaluaciones,ultimo_acceso,nivel_acceso) VALUES (1142,'LICENCIATURA','mariana.avilaestrada','111116','TOMAR DEL SND','AVILA ESTRADA MARIANA','PSICOLOGIA','7mo','FEMENINO','ACTIVO','',0,0,'','ALUMNO');</v>
      </c>
    </row>
    <row r="144" spans="1:12" ht="130.5" x14ac:dyDescent="0.35">
      <c r="A144" s="7">
        <v>1143</v>
      </c>
      <c r="B144" s="6" t="s">
        <v>5</v>
      </c>
      <c r="C144" t="s">
        <v>149</v>
      </c>
      <c r="D144" s="7" t="s">
        <v>721</v>
      </c>
      <c r="E144" s="7" t="s">
        <v>1149</v>
      </c>
      <c r="F144" t="s">
        <v>1293</v>
      </c>
      <c r="G144" s="7" t="s">
        <v>1727</v>
      </c>
      <c r="H144" t="s">
        <v>1738</v>
      </c>
      <c r="I144" t="s">
        <v>1744</v>
      </c>
      <c r="J144" t="s">
        <v>1786</v>
      </c>
      <c r="K144" s="2" t="str">
        <f t="shared" si="5"/>
        <v>1143,'LICENCIATURA','lauramaria.iñiguezoseguera','111117','TOMAR DEL SND','IÑIGUEZ OSEGUERA LAURA MARIA','ADMINISTRACION Y DIRECCION DE NEGOCIOS','7mo','FEMENINO','ACTIVO','',0,0,'','ALUMNO'</v>
      </c>
      <c r="L144" s="10" t="str">
        <f t="shared" si="4"/>
        <v>INSERT INTO participantes (id,nivel,correo,matricula,clave,nombre,carrera,grado,sexo,situacion,evaluados,num_evaluados,total_evaluaciones,ultimo_acceso,nivel_acceso) VALUES (1143,'LICENCIATURA','lauramaria.iñiguezoseguera','111117','TOMAR DEL SND','IÑIGUEZ OSEGUERA LAURA MARIA','ADMINISTRACION Y DIRECCION DE NEGOCIOS','7mo','FEMENINO','ACTIVO','',0,0,'','ALUMNO');</v>
      </c>
    </row>
    <row r="145" spans="1:12" ht="130.5" x14ac:dyDescent="0.35">
      <c r="A145" s="7">
        <v>1144</v>
      </c>
      <c r="B145" s="6" t="s">
        <v>5</v>
      </c>
      <c r="C145" t="s">
        <v>150</v>
      </c>
      <c r="D145" s="7" t="s">
        <v>722</v>
      </c>
      <c r="E145" s="7" t="s">
        <v>1149</v>
      </c>
      <c r="F145" t="s">
        <v>1294</v>
      </c>
      <c r="G145" s="7" t="s">
        <v>1723</v>
      </c>
      <c r="H145" t="s">
        <v>1738</v>
      </c>
      <c r="I145" t="s">
        <v>1743</v>
      </c>
      <c r="J145" t="s">
        <v>1786</v>
      </c>
      <c r="K145" s="2" t="str">
        <f t="shared" si="5"/>
        <v>1144,'LICENCIATURA','emiliano.francoorozco','111118','TOMAR DEL SND','FRANCO OROZCO EMILIANO','INGENIERIA CIBERNETICA Y EN SISTEMAS COMPUTACIONALES','7mo','MASCULINO','ACTIVO','',0,0,'','ALUMNO'</v>
      </c>
      <c r="L145" s="10" t="str">
        <f t="shared" si="4"/>
        <v>INSERT INTO participantes (id,nivel,correo,matricula,clave,nombre,carrera,grado,sexo,situacion,evaluados,num_evaluados,total_evaluaciones,ultimo_acceso,nivel_acceso) VALUES (1144,'LICENCIATURA','emiliano.francoorozco','111118','TOMAR DEL SND','FRANCO OROZCO EMILIANO','INGENIERIA CIBERNETICA Y EN SISTEMAS COMPUTACIONALES','7mo','MASCULINO','ACTIVO','',0,0,'','ALUMNO');</v>
      </c>
    </row>
    <row r="146" spans="1:12" ht="130.5" x14ac:dyDescent="0.35">
      <c r="A146" s="7">
        <v>1145</v>
      </c>
      <c r="B146" s="6" t="s">
        <v>5</v>
      </c>
      <c r="C146" t="s">
        <v>151</v>
      </c>
      <c r="D146" s="7" t="s">
        <v>723</v>
      </c>
      <c r="E146" s="7" t="s">
        <v>1149</v>
      </c>
      <c r="F146" t="s">
        <v>1295</v>
      </c>
      <c r="G146" s="7" t="s">
        <v>1726</v>
      </c>
      <c r="H146" t="s">
        <v>1738</v>
      </c>
      <c r="I146" t="s">
        <v>1744</v>
      </c>
      <c r="J146" t="s">
        <v>1786</v>
      </c>
      <c r="K146" s="2" t="str">
        <f t="shared" si="5"/>
        <v>1145,'LICENCIATURA','brendasusana.padillavidales','111119','TOMAR DEL SND','PADILLA VIDALES BRENDA SUSANA','PSICOLOGIA','7mo','FEMENINO','ACTIVO','',0,0,'','ALUMNO'</v>
      </c>
      <c r="L146" s="10" t="str">
        <f t="shared" si="4"/>
        <v>INSERT INTO participantes (id,nivel,correo,matricula,clave,nombre,carrera,grado,sexo,situacion,evaluados,num_evaluados,total_evaluaciones,ultimo_acceso,nivel_acceso) VALUES (1145,'LICENCIATURA','brendasusana.padillavidales','111119','TOMAR DEL SND','PADILLA VIDALES BRENDA SUSANA','PSICOLOGIA','7mo','FEMENINO','ACTIVO','',0,0,'','ALUMNO');</v>
      </c>
    </row>
    <row r="147" spans="1:12" ht="130.5" x14ac:dyDescent="0.35">
      <c r="A147" s="7">
        <v>1146</v>
      </c>
      <c r="B147" s="6" t="s">
        <v>5</v>
      </c>
      <c r="C147" t="s">
        <v>152</v>
      </c>
      <c r="D147" s="7" t="s">
        <v>724</v>
      </c>
      <c r="E147" s="7" t="s">
        <v>1149</v>
      </c>
      <c r="F147" t="s">
        <v>1296</v>
      </c>
      <c r="G147" s="7" t="s">
        <v>1725</v>
      </c>
      <c r="H147" t="s">
        <v>1738</v>
      </c>
      <c r="I147" t="s">
        <v>1743</v>
      </c>
      <c r="J147" t="s">
        <v>1786</v>
      </c>
      <c r="K147" s="2" t="str">
        <f t="shared" si="5"/>
        <v>1146,'LICENCIATURA','jorgearmando.diazesparza','111120','TOMAR DEL SND','DIAZ ESPARZA JORGE ARMANDO','INGENIERIA AEROESPACIAL','7mo','MASCULINO','ACTIVO','',0,0,'','ALUMNO'</v>
      </c>
      <c r="L147" s="10" t="str">
        <f t="shared" si="4"/>
        <v>INSERT INTO participantes (id,nivel,correo,matricula,clave,nombre,carrera,grado,sexo,situacion,evaluados,num_evaluados,total_evaluaciones,ultimo_acceso,nivel_acceso) VALUES (1146,'LICENCIATURA','jorgearmando.diazesparza','111120','TOMAR DEL SND','DIAZ ESPARZA JORGE ARMANDO','INGENIERIA AEROESPACIAL','7mo','MASCULINO','ACTIVO','',0,0,'','ALUMNO');</v>
      </c>
    </row>
    <row r="148" spans="1:12" ht="130.5" x14ac:dyDescent="0.35">
      <c r="A148" s="7">
        <v>1147</v>
      </c>
      <c r="B148" s="6" t="s">
        <v>5</v>
      </c>
      <c r="C148" t="s">
        <v>153</v>
      </c>
      <c r="D148" s="7" t="s">
        <v>725</v>
      </c>
      <c r="E148" s="7" t="s">
        <v>1149</v>
      </c>
      <c r="F148" t="s">
        <v>1297</v>
      </c>
      <c r="G148" s="7" t="s">
        <v>1726</v>
      </c>
      <c r="H148" t="s">
        <v>1738</v>
      </c>
      <c r="I148" t="s">
        <v>1743</v>
      </c>
      <c r="J148" t="s">
        <v>1786</v>
      </c>
      <c r="K148" s="2" t="str">
        <f t="shared" si="5"/>
        <v>1147,'LICENCIATURA','santiago.pelayoespinosa','111121','TOMAR DEL SND','PELAYO ESPINOSA SANTIAGO','PSICOLOGIA','7mo','MASCULINO','ACTIVO','',0,0,'','ALUMNO'</v>
      </c>
      <c r="L148" s="10" t="str">
        <f t="shared" si="4"/>
        <v>INSERT INTO participantes (id,nivel,correo,matricula,clave,nombre,carrera,grado,sexo,situacion,evaluados,num_evaluados,total_evaluaciones,ultimo_acceso,nivel_acceso) VALUES (1147,'LICENCIATURA','santiago.pelayoespinosa','111121','TOMAR DEL SND','PELAYO ESPINOSA SANTIAGO','PSICOLOGIA','7mo','MASCULINO','ACTIVO','',0,0,'','ALUMNO');</v>
      </c>
    </row>
    <row r="149" spans="1:12" ht="130.5" x14ac:dyDescent="0.35">
      <c r="A149" s="7">
        <v>1148</v>
      </c>
      <c r="B149" s="6" t="s">
        <v>5</v>
      </c>
      <c r="C149" t="s">
        <v>154</v>
      </c>
      <c r="D149" s="7" t="s">
        <v>726</v>
      </c>
      <c r="E149" s="7" t="s">
        <v>1149</v>
      </c>
      <c r="F149" t="s">
        <v>1298</v>
      </c>
      <c r="G149" s="7" t="s">
        <v>1724</v>
      </c>
      <c r="H149" t="s">
        <v>1738</v>
      </c>
      <c r="I149" t="s">
        <v>1744</v>
      </c>
      <c r="J149" t="s">
        <v>1786</v>
      </c>
      <c r="K149" s="2" t="str">
        <f t="shared" si="5"/>
        <v>1148,'LICENCIATURA','natalia.esquerquintanilla','111122','TOMAR DEL SND','ESQUER QUINTANILLA NATALIA','NUTRICION Y GASTRONOMIA','7mo','FEMENINO','ACTIVO','',0,0,'','ALUMNO'</v>
      </c>
      <c r="L149" s="10" t="str">
        <f t="shared" si="4"/>
        <v>INSERT INTO participantes (id,nivel,correo,matricula,clave,nombre,carrera,grado,sexo,situacion,evaluados,num_evaluados,total_evaluaciones,ultimo_acceso,nivel_acceso) VALUES (1148,'LICENCIATURA','natalia.esquerquintanilla','111122','TOMAR DEL SND','ESQUER QUINTANILLA NATALIA','NUTRICION Y GASTRONOMIA','7mo','FEMENINO','ACTIVO','',0,0,'','ALUMNO');</v>
      </c>
    </row>
    <row r="150" spans="1:12" ht="130.5" x14ac:dyDescent="0.35">
      <c r="A150" s="7">
        <v>1149</v>
      </c>
      <c r="B150" s="6" t="s">
        <v>5</v>
      </c>
      <c r="C150" t="s">
        <v>155</v>
      </c>
      <c r="D150" s="7" t="s">
        <v>727</v>
      </c>
      <c r="E150" s="7" t="s">
        <v>1149</v>
      </c>
      <c r="F150" t="s">
        <v>1299</v>
      </c>
      <c r="G150" s="7" t="s">
        <v>1733</v>
      </c>
      <c r="H150" t="s">
        <v>1738</v>
      </c>
      <c r="I150" t="s">
        <v>1744</v>
      </c>
      <c r="J150" t="s">
        <v>1786</v>
      </c>
      <c r="K150" s="2" t="str">
        <f t="shared" si="5"/>
        <v>1149,'LICENCIATURA','danajoanelle.mercadotorres','111123','TOMAR DEL SND','MERCADO TORRES DANA JOANELLE','DISEÑO GRAFICO Y DIGITAL','7mo','FEMENINO','ACTIVO','',0,0,'','ALUMNO'</v>
      </c>
      <c r="L150" s="10" t="str">
        <f t="shared" si="4"/>
        <v>INSERT INTO participantes (id,nivel,correo,matricula,clave,nombre,carrera,grado,sexo,situacion,evaluados,num_evaluados,total_evaluaciones,ultimo_acceso,nivel_acceso) VALUES (1149,'LICENCIATURA','danajoanelle.mercadotorres','111123','TOMAR DEL SND','MERCADO TORRES DANA JOANELLE','DISEÑO GRAFICO Y DIGITAL','7mo','FEMENINO','ACTIVO','',0,0,'','ALUMNO');</v>
      </c>
    </row>
    <row r="151" spans="1:12" ht="130.5" x14ac:dyDescent="0.35">
      <c r="A151" s="7">
        <v>1150</v>
      </c>
      <c r="B151" s="6" t="s">
        <v>5</v>
      </c>
      <c r="C151" t="s">
        <v>156</v>
      </c>
      <c r="D151" s="7" t="s">
        <v>728</v>
      </c>
      <c r="E151" s="7" t="s">
        <v>1149</v>
      </c>
      <c r="F151" t="s">
        <v>1300</v>
      </c>
      <c r="G151" s="7" t="s">
        <v>1724</v>
      </c>
      <c r="H151" t="s">
        <v>1738</v>
      </c>
      <c r="I151" t="s">
        <v>1744</v>
      </c>
      <c r="J151" t="s">
        <v>1786</v>
      </c>
      <c r="K151" s="2" t="str">
        <f t="shared" si="5"/>
        <v>1150,'LICENCIATURA','karenjanette.gonzalezjimenez','111124','TOMAR DEL SND','GONZALEZ JIMENEZ KAREN JANETTE','NUTRICION Y GASTRONOMIA','7mo','FEMENINO','ACTIVO','',0,0,'','ALUMNO'</v>
      </c>
      <c r="L151" s="10" t="str">
        <f t="shared" si="4"/>
        <v>INSERT INTO participantes (id,nivel,correo,matricula,clave,nombre,carrera,grado,sexo,situacion,evaluados,num_evaluados,total_evaluaciones,ultimo_acceso,nivel_acceso) VALUES (1150,'LICENCIATURA','karenjanette.gonzalezjimenez','111124','TOMAR DEL SND','GONZALEZ JIMENEZ KAREN JANETTE','NUTRICION Y GASTRONOMIA','7mo','FEMENINO','ACTIVO','',0,0,'','ALUMNO');</v>
      </c>
    </row>
    <row r="152" spans="1:12" ht="130.5" x14ac:dyDescent="0.35">
      <c r="A152" s="7">
        <v>1151</v>
      </c>
      <c r="B152" s="6" t="s">
        <v>5</v>
      </c>
      <c r="C152" t="s">
        <v>157</v>
      </c>
      <c r="D152" s="7" t="s">
        <v>729</v>
      </c>
      <c r="E152" s="7" t="s">
        <v>1149</v>
      </c>
      <c r="F152" t="s">
        <v>1301</v>
      </c>
      <c r="G152" s="7" t="s">
        <v>1725</v>
      </c>
      <c r="H152" t="s">
        <v>1738</v>
      </c>
      <c r="I152" t="s">
        <v>1743</v>
      </c>
      <c r="J152" t="s">
        <v>1786</v>
      </c>
      <c r="K152" s="2" t="str">
        <f t="shared" si="5"/>
        <v>1151,'LICENCIATURA','juanpablo.figueroarodriguez','111125','TOMAR DEL SND','FIGUEROA RODRIGUEZ JUAN PABLO','INGENIERIA AEROESPACIAL','7mo','MASCULINO','ACTIVO','',0,0,'','ALUMNO'</v>
      </c>
      <c r="L152" s="10" t="str">
        <f t="shared" si="4"/>
        <v>INSERT INTO participantes (id,nivel,correo,matricula,clave,nombre,carrera,grado,sexo,situacion,evaluados,num_evaluados,total_evaluaciones,ultimo_acceso,nivel_acceso) VALUES (1151,'LICENCIATURA','juanpablo.figueroarodriguez','111125','TOMAR DEL SND','FIGUEROA RODRIGUEZ JUAN PABLO','INGENIERIA AEROESPACIAL','7mo','MASCULINO','ACTIVO','',0,0,'','ALUMNO');</v>
      </c>
    </row>
    <row r="153" spans="1:12" ht="130.5" x14ac:dyDescent="0.35">
      <c r="A153" s="7">
        <v>1152</v>
      </c>
      <c r="B153" s="6" t="s">
        <v>5</v>
      </c>
      <c r="C153" t="s">
        <v>158</v>
      </c>
      <c r="D153" s="7" t="s">
        <v>730</v>
      </c>
      <c r="E153" s="7" t="s">
        <v>1149</v>
      </c>
      <c r="F153" t="s">
        <v>1302</v>
      </c>
      <c r="G153" s="7" t="s">
        <v>1725</v>
      </c>
      <c r="H153" t="s">
        <v>1738</v>
      </c>
      <c r="I153" t="s">
        <v>1743</v>
      </c>
      <c r="J153" t="s">
        <v>1786</v>
      </c>
      <c r="K153" s="2" t="str">
        <f t="shared" si="5"/>
        <v>1152,'LICENCIATURA','joseramon.vegapacheco','111126','TOMAR DEL SND','VEGA PACHECO JOSE RAMON','INGENIERIA AEROESPACIAL','7mo','MASCULINO','ACTIVO','',0,0,'','ALUMNO'</v>
      </c>
      <c r="L153" s="10" t="str">
        <f t="shared" si="4"/>
        <v>INSERT INTO participantes (id,nivel,correo,matricula,clave,nombre,carrera,grado,sexo,situacion,evaluados,num_evaluados,total_evaluaciones,ultimo_acceso,nivel_acceso) VALUES (1152,'LICENCIATURA','joseramon.vegapacheco','111126','TOMAR DEL SND','VEGA PACHECO JOSE RAMON','INGENIERIA AEROESPACIAL','7mo','MASCULINO','ACTIVO','',0,0,'','ALUMNO');</v>
      </c>
    </row>
    <row r="154" spans="1:12" ht="130.5" x14ac:dyDescent="0.35">
      <c r="A154" s="7">
        <v>1153</v>
      </c>
      <c r="B154" s="6" t="s">
        <v>5</v>
      </c>
      <c r="C154" t="s">
        <v>159</v>
      </c>
      <c r="D154" s="7" t="s">
        <v>731</v>
      </c>
      <c r="E154" s="7" t="s">
        <v>1149</v>
      </c>
      <c r="F154" t="s">
        <v>1303</v>
      </c>
      <c r="G154" s="7" t="s">
        <v>1731</v>
      </c>
      <c r="H154" t="s">
        <v>1738</v>
      </c>
      <c r="I154" t="s">
        <v>1743</v>
      </c>
      <c r="J154" t="s">
        <v>1786</v>
      </c>
      <c r="K154" s="2" t="str">
        <f t="shared" si="5"/>
        <v>1153,'LICENCIATURA','sebastian.rochalozano','111127','TOMAR DEL SND','ROCHA LOZANO SEBASTIAN','INGENIERÍA AUTOMOTRIZ','7mo','MASCULINO','ACTIVO','',0,0,'','ALUMNO'</v>
      </c>
      <c r="L154" s="10" t="str">
        <f t="shared" si="4"/>
        <v>INSERT INTO participantes (id,nivel,correo,matricula,clave,nombre,carrera,grado,sexo,situacion,evaluados,num_evaluados,total_evaluaciones,ultimo_acceso,nivel_acceso) VALUES (1153,'LICENCIATURA','sebastian.rochalozano','111127','TOMAR DEL SND','ROCHA LOZANO SEBASTIAN','INGENIERÍA AUTOMOTRIZ','7mo','MASCULINO','ACTIVO','',0,0,'','ALUMNO');</v>
      </c>
    </row>
    <row r="155" spans="1:12" ht="130.5" x14ac:dyDescent="0.35">
      <c r="A155" s="7">
        <v>1154</v>
      </c>
      <c r="B155" s="6" t="s">
        <v>5</v>
      </c>
      <c r="C155" t="s">
        <v>160</v>
      </c>
      <c r="D155" s="7" t="s">
        <v>732</v>
      </c>
      <c r="E155" s="7" t="s">
        <v>1149</v>
      </c>
      <c r="F155" t="s">
        <v>1304</v>
      </c>
      <c r="G155" s="7" t="s">
        <v>1724</v>
      </c>
      <c r="H155" t="s">
        <v>1738</v>
      </c>
      <c r="I155" t="s">
        <v>1743</v>
      </c>
      <c r="J155" t="s">
        <v>1786</v>
      </c>
      <c r="K155" s="2" t="str">
        <f t="shared" si="5"/>
        <v>1154,'LICENCIATURA','emilio.anayarodriguez','111128','TOMAR DEL SND','ANAYA RODRIGUEZ EMILIO','NUTRICION Y GASTRONOMIA','7mo','MASCULINO','ACTIVO','',0,0,'','ALUMNO'</v>
      </c>
      <c r="L155" s="10" t="str">
        <f t="shared" si="4"/>
        <v>INSERT INTO participantes (id,nivel,correo,matricula,clave,nombre,carrera,grado,sexo,situacion,evaluados,num_evaluados,total_evaluaciones,ultimo_acceso,nivel_acceso) VALUES (1154,'LICENCIATURA','emilio.anayarodriguez','111128','TOMAR DEL SND','ANAYA RODRIGUEZ EMILIO','NUTRICION Y GASTRONOMIA','7mo','MASCULINO','ACTIVO','',0,0,'','ALUMNO');</v>
      </c>
    </row>
    <row r="156" spans="1:12" ht="130.5" x14ac:dyDescent="0.35">
      <c r="A156" s="7">
        <v>1155</v>
      </c>
      <c r="B156" s="6" t="s">
        <v>5</v>
      </c>
      <c r="C156" t="s">
        <v>161</v>
      </c>
      <c r="D156" s="7" t="s">
        <v>733</v>
      </c>
      <c r="E156" s="7" t="s">
        <v>1149</v>
      </c>
      <c r="F156" t="s">
        <v>1305</v>
      </c>
      <c r="G156" s="7" t="s">
        <v>1730</v>
      </c>
      <c r="H156" t="s">
        <v>1738</v>
      </c>
      <c r="I156" t="s">
        <v>1744</v>
      </c>
      <c r="J156" t="s">
        <v>1786</v>
      </c>
      <c r="K156" s="2" t="str">
        <f t="shared" si="5"/>
        <v>1155,'LICENCIATURA','kenniaguadalupe.aguilarcallejas','111129','TOMAR DEL SND','AGUILAR CALLEJAS KENNIA GUADALUPE','ANIMACION DIGITAL Y VIDEOJUEGOS','7mo','FEMENINO','ACTIVO','',0,0,'','ALUMNO'</v>
      </c>
      <c r="L156" s="10" t="str">
        <f t="shared" si="4"/>
        <v>INSERT INTO participantes (id,nivel,correo,matricula,clave,nombre,carrera,grado,sexo,situacion,evaluados,num_evaluados,total_evaluaciones,ultimo_acceso,nivel_acceso) VALUES (1155,'LICENCIATURA','kenniaguadalupe.aguilarcallejas','111129','TOMAR DEL SND','AGUILAR CALLEJAS KENNIA GUADALUPE','ANIMACION DIGITAL Y VIDEOJUEGOS','7mo','FEMENINO','ACTIVO','',0,0,'','ALUMNO');</v>
      </c>
    </row>
    <row r="157" spans="1:12" ht="130.5" x14ac:dyDescent="0.35">
      <c r="A157" s="7">
        <v>1156</v>
      </c>
      <c r="B157" s="6" t="s">
        <v>5</v>
      </c>
      <c r="C157" t="s">
        <v>162</v>
      </c>
      <c r="D157" s="7" t="s">
        <v>734</v>
      </c>
      <c r="E157" s="7" t="s">
        <v>1149</v>
      </c>
      <c r="F157" t="s">
        <v>1306</v>
      </c>
      <c r="G157" s="7" t="s">
        <v>1725</v>
      </c>
      <c r="H157" t="s">
        <v>1738</v>
      </c>
      <c r="I157" t="s">
        <v>1743</v>
      </c>
      <c r="J157" t="s">
        <v>1786</v>
      </c>
      <c r="K157" s="2" t="str">
        <f t="shared" si="5"/>
        <v>1156,'LICENCIATURA','braulioaaron.gaticacano','111130','TOMAR DEL SND','GATICA CANO BRAULIO AARON','INGENIERIA AEROESPACIAL','7mo','MASCULINO','ACTIVO','',0,0,'','ALUMNO'</v>
      </c>
      <c r="L157" s="10" t="str">
        <f t="shared" si="4"/>
        <v>INSERT INTO participantes (id,nivel,correo,matricula,clave,nombre,carrera,grado,sexo,situacion,evaluados,num_evaluados,total_evaluaciones,ultimo_acceso,nivel_acceso) VALUES (1156,'LICENCIATURA','braulioaaron.gaticacano','111130','TOMAR DEL SND','GATICA CANO BRAULIO AARON','INGENIERIA AEROESPACIAL','7mo','MASCULINO','ACTIVO','',0,0,'','ALUMNO');</v>
      </c>
    </row>
    <row r="158" spans="1:12" ht="130.5" x14ac:dyDescent="0.35">
      <c r="A158" s="7">
        <v>1157</v>
      </c>
      <c r="B158" s="6" t="s">
        <v>5</v>
      </c>
      <c r="C158" t="s">
        <v>163</v>
      </c>
      <c r="D158" s="7" t="s">
        <v>735</v>
      </c>
      <c r="E158" s="7" t="s">
        <v>1149</v>
      </c>
      <c r="F158" t="s">
        <v>1307</v>
      </c>
      <c r="G158" s="7" t="s">
        <v>1725</v>
      </c>
      <c r="H158" t="s">
        <v>1738</v>
      </c>
      <c r="I158" t="s">
        <v>1744</v>
      </c>
      <c r="J158" t="s">
        <v>1786</v>
      </c>
      <c r="K158" s="2" t="str">
        <f t="shared" si="5"/>
        <v>1157,'LICENCIATURA','melanydenisse.avilaestrada','111150','TOMAR DEL SND','AVILA ESTRADA MELANY DENISSE','INGENIERIA AEROESPACIAL','7mo','FEMENINO','ACTIVO','',0,0,'','ALUMNO'</v>
      </c>
      <c r="L158" s="10" t="str">
        <f t="shared" si="4"/>
        <v>INSERT INTO participantes (id,nivel,correo,matricula,clave,nombre,carrera,grado,sexo,situacion,evaluados,num_evaluados,total_evaluaciones,ultimo_acceso,nivel_acceso) VALUES (1157,'LICENCIATURA','melanydenisse.avilaestrada','111150','TOMAR DEL SND','AVILA ESTRADA MELANY DENISSE','INGENIERIA AEROESPACIAL','7mo','FEMENINO','ACTIVO','',0,0,'','ALUMNO');</v>
      </c>
    </row>
    <row r="159" spans="1:12" ht="130.5" x14ac:dyDescent="0.35">
      <c r="A159" s="7">
        <v>1158</v>
      </c>
      <c r="B159" s="6" t="s">
        <v>5</v>
      </c>
      <c r="C159" t="s">
        <v>164</v>
      </c>
      <c r="D159" s="7" t="s">
        <v>736</v>
      </c>
      <c r="E159" s="7" t="s">
        <v>1149</v>
      </c>
      <c r="F159" t="s">
        <v>1308</v>
      </c>
      <c r="G159" s="7" t="s">
        <v>1726</v>
      </c>
      <c r="H159" t="s">
        <v>1738</v>
      </c>
      <c r="I159" t="s">
        <v>1744</v>
      </c>
      <c r="J159" t="s">
        <v>1786</v>
      </c>
      <c r="K159" s="2" t="str">
        <f t="shared" si="5"/>
        <v>1158,'LICENCIATURA','anapaula.ruelasnavarro','111152','TOMAR DEL SND','RUELAS NAVARRO ANA PAULA','PSICOLOGIA','7mo','FEMENINO','ACTIVO','',0,0,'','ALUMNO'</v>
      </c>
      <c r="L159" s="10" t="str">
        <f t="shared" si="4"/>
        <v>INSERT INTO participantes (id,nivel,correo,matricula,clave,nombre,carrera,grado,sexo,situacion,evaluados,num_evaluados,total_evaluaciones,ultimo_acceso,nivel_acceso) VALUES (1158,'LICENCIATURA','anapaula.ruelasnavarro','111152','TOMAR DEL SND','RUELAS NAVARRO ANA PAULA','PSICOLOGIA','7mo','FEMENINO','ACTIVO','',0,0,'','ALUMNO');</v>
      </c>
    </row>
    <row r="160" spans="1:12" ht="130.5" x14ac:dyDescent="0.35">
      <c r="A160" s="7">
        <v>1159</v>
      </c>
      <c r="B160" s="6" t="s">
        <v>5</v>
      </c>
      <c r="C160" t="s">
        <v>165</v>
      </c>
      <c r="D160" s="7" t="s">
        <v>737</v>
      </c>
      <c r="E160" s="7" t="s">
        <v>1149</v>
      </c>
      <c r="F160" t="s">
        <v>1309</v>
      </c>
      <c r="G160" s="7" t="s">
        <v>1725</v>
      </c>
      <c r="H160" t="s">
        <v>1738</v>
      </c>
      <c r="I160" t="s">
        <v>1744</v>
      </c>
      <c r="J160" t="s">
        <v>1786</v>
      </c>
      <c r="K160" s="2" t="str">
        <f t="shared" si="5"/>
        <v>1159,'LICENCIATURA','laurasusana.cejaperez','111153','TOMAR DEL SND','CEJA PEREZ LAURA SUSANA','INGENIERIA AEROESPACIAL','7mo','FEMENINO','ACTIVO','',0,0,'','ALUMNO'</v>
      </c>
      <c r="L160" s="10" t="str">
        <f t="shared" si="4"/>
        <v>INSERT INTO participantes (id,nivel,correo,matricula,clave,nombre,carrera,grado,sexo,situacion,evaluados,num_evaluados,total_evaluaciones,ultimo_acceso,nivel_acceso) VALUES (1159,'LICENCIATURA','laurasusana.cejaperez','111153','TOMAR DEL SND','CEJA PEREZ LAURA SUSANA','INGENIERIA AEROESPACIAL','7mo','FEMENINO','ACTIVO','',0,0,'','ALUMNO');</v>
      </c>
    </row>
    <row r="161" spans="1:12" ht="130.5" x14ac:dyDescent="0.35">
      <c r="A161" s="7">
        <v>1160</v>
      </c>
      <c r="B161" s="6" t="s">
        <v>5</v>
      </c>
      <c r="C161" t="s">
        <v>166</v>
      </c>
      <c r="D161" s="7" t="s">
        <v>738</v>
      </c>
      <c r="E161" s="7" t="s">
        <v>1149</v>
      </c>
      <c r="F161" t="s">
        <v>1310</v>
      </c>
      <c r="G161" s="7" t="s">
        <v>1723</v>
      </c>
      <c r="H161" t="s">
        <v>1738</v>
      </c>
      <c r="I161" t="s">
        <v>1743</v>
      </c>
      <c r="J161" t="s">
        <v>1786</v>
      </c>
      <c r="K161" s="2" t="str">
        <f t="shared" si="5"/>
        <v>1160,'LICENCIATURA','hectorenrique.mariscalsanchez','111154','TOMAR DEL SND','MARISCAL SANCHEZ HECTOR ENRIQUE','INGENIERIA CIBERNETICA Y EN SISTEMAS COMPUTACIONALES','7mo','MASCULINO','ACTIVO','',0,0,'','ALUMNO'</v>
      </c>
      <c r="L161" s="10" t="str">
        <f t="shared" si="4"/>
        <v>INSERT INTO participantes (id,nivel,correo,matricula,clave,nombre,carrera,grado,sexo,situacion,evaluados,num_evaluados,total_evaluaciones,ultimo_acceso,nivel_acceso) VALUES (1160,'LICENCIATURA','hectorenrique.mariscalsanchez','111154','TOMAR DEL SND','MARISCAL SANCHEZ HECTOR ENRIQUE','INGENIERIA CIBERNETICA Y EN SISTEMAS COMPUTACIONALES','7mo','MASCULINO','ACTIVO','',0,0,'','ALUMNO');</v>
      </c>
    </row>
    <row r="162" spans="1:12" ht="130.5" x14ac:dyDescent="0.35">
      <c r="A162" s="7">
        <v>1161</v>
      </c>
      <c r="B162" s="6" t="s">
        <v>5</v>
      </c>
      <c r="C162" t="s">
        <v>167</v>
      </c>
      <c r="D162" s="7" t="s">
        <v>739</v>
      </c>
      <c r="E162" s="7" t="s">
        <v>1149</v>
      </c>
      <c r="F162" t="s">
        <v>1311</v>
      </c>
      <c r="G162" s="7" t="s">
        <v>1726</v>
      </c>
      <c r="H162" t="s">
        <v>1738</v>
      </c>
      <c r="I162" t="s">
        <v>1744</v>
      </c>
      <c r="J162" t="s">
        <v>1786</v>
      </c>
      <c r="K162" s="2" t="str">
        <f t="shared" si="5"/>
        <v>1161,'LICENCIATURA','carolinaalexandra.sandovalberumen','111155','TOMAR DEL SND','SANDOVAL BERUMEN CAROLINA ALEXANDRA','PSICOLOGIA','7mo','FEMENINO','ACTIVO','',0,0,'','ALUMNO'</v>
      </c>
      <c r="L162" s="10" t="str">
        <f t="shared" si="4"/>
        <v>INSERT INTO participantes (id,nivel,correo,matricula,clave,nombre,carrera,grado,sexo,situacion,evaluados,num_evaluados,total_evaluaciones,ultimo_acceso,nivel_acceso) VALUES (1161,'LICENCIATURA','carolinaalexandra.sandovalberumen','111155','TOMAR DEL SND','SANDOVAL BERUMEN CAROLINA ALEXANDRA','PSICOLOGIA','7mo','FEMENINO','ACTIVO','',0,0,'','ALUMNO');</v>
      </c>
    </row>
    <row r="163" spans="1:12" ht="130.5" x14ac:dyDescent="0.35">
      <c r="A163" s="7">
        <v>1162</v>
      </c>
      <c r="B163" s="6" t="s">
        <v>5</v>
      </c>
      <c r="C163" t="s">
        <v>168</v>
      </c>
      <c r="D163" s="7" t="s">
        <v>740</v>
      </c>
      <c r="E163" s="7" t="s">
        <v>1149</v>
      </c>
      <c r="F163" t="s">
        <v>1312</v>
      </c>
      <c r="G163" s="7" t="s">
        <v>1727</v>
      </c>
      <c r="H163" t="s">
        <v>1738</v>
      </c>
      <c r="I163" t="s">
        <v>1743</v>
      </c>
      <c r="J163" t="s">
        <v>1786</v>
      </c>
      <c r="K163" s="2" t="str">
        <f t="shared" si="5"/>
        <v>1162,'LICENCIATURA','luisfernando.lopezorozco','111157','TOMAR DEL SND','LOPEZ OROZCO LUIS FERNANDO','ADMINISTRACION Y DIRECCION DE NEGOCIOS','7mo','MASCULINO','ACTIVO','',0,0,'','ALUMNO'</v>
      </c>
      <c r="L163" s="10" t="str">
        <f t="shared" si="4"/>
        <v>INSERT INTO participantes (id,nivel,correo,matricula,clave,nombre,carrera,grado,sexo,situacion,evaluados,num_evaluados,total_evaluaciones,ultimo_acceso,nivel_acceso) VALUES (1162,'LICENCIATURA','luisfernando.lopezorozco','111157','TOMAR DEL SND','LOPEZ OROZCO LUIS FERNANDO','ADMINISTRACION Y DIRECCION DE NEGOCIOS','7mo','MASCULINO','ACTIVO','',0,0,'','ALUMNO');</v>
      </c>
    </row>
    <row r="164" spans="1:12" ht="130.5" x14ac:dyDescent="0.35">
      <c r="A164" s="7">
        <v>1163</v>
      </c>
      <c r="B164" s="6" t="s">
        <v>5</v>
      </c>
      <c r="C164" t="s">
        <v>169</v>
      </c>
      <c r="D164" s="7" t="s">
        <v>741</v>
      </c>
      <c r="E164" s="7" t="s">
        <v>1149</v>
      </c>
      <c r="F164" t="s">
        <v>1313</v>
      </c>
      <c r="G164" s="7" t="s">
        <v>1724</v>
      </c>
      <c r="H164" t="s">
        <v>1738</v>
      </c>
      <c r="I164" t="s">
        <v>1743</v>
      </c>
      <c r="J164" t="s">
        <v>1786</v>
      </c>
      <c r="K164" s="2" t="str">
        <f t="shared" si="5"/>
        <v>1163,'LICENCIATURA','alberto.lariosiñiguez','111159','TOMAR DEL SND','LARIOS IÑIGUEZ ALBERTO','NUTRICION Y GASTRONOMIA','7mo','MASCULINO','ACTIVO','',0,0,'','ALUMNO'</v>
      </c>
      <c r="L164" s="10" t="str">
        <f t="shared" si="4"/>
        <v>INSERT INTO participantes (id,nivel,correo,matricula,clave,nombre,carrera,grado,sexo,situacion,evaluados,num_evaluados,total_evaluaciones,ultimo_acceso,nivel_acceso) VALUES (1163,'LICENCIATURA','alberto.lariosiñiguez','111159','TOMAR DEL SND','LARIOS IÑIGUEZ ALBERTO','NUTRICION Y GASTRONOMIA','7mo','MASCULINO','ACTIVO','',0,0,'','ALUMNO');</v>
      </c>
    </row>
    <row r="165" spans="1:12" ht="130.5" x14ac:dyDescent="0.35">
      <c r="A165" s="7">
        <v>1164</v>
      </c>
      <c r="B165" s="6" t="s">
        <v>5</v>
      </c>
      <c r="C165" t="s">
        <v>170</v>
      </c>
      <c r="D165" s="7" t="s">
        <v>742</v>
      </c>
      <c r="E165" s="7" t="s">
        <v>1149</v>
      </c>
      <c r="F165" t="s">
        <v>1314</v>
      </c>
      <c r="G165" s="7" t="s">
        <v>1730</v>
      </c>
      <c r="H165" t="s">
        <v>1738</v>
      </c>
      <c r="I165" t="s">
        <v>1744</v>
      </c>
      <c r="J165" t="s">
        <v>1786</v>
      </c>
      <c r="K165" s="2" t="str">
        <f t="shared" si="5"/>
        <v>1164,'LICENCIATURA','karlaalexia.reyespalacios','111162','TOMAR DEL SND','REYES PALACIOS KARLA ALEXIA','ANIMACION DIGITAL Y VIDEOJUEGOS','7mo','FEMENINO','ACTIVO','',0,0,'','ALUMNO'</v>
      </c>
      <c r="L165" s="10" t="str">
        <f t="shared" si="4"/>
        <v>INSERT INTO participantes (id,nivel,correo,matricula,clave,nombre,carrera,grado,sexo,situacion,evaluados,num_evaluados,total_evaluaciones,ultimo_acceso,nivel_acceso) VALUES (1164,'LICENCIATURA','karlaalexia.reyespalacios','111162','TOMAR DEL SND','REYES PALACIOS KARLA ALEXIA','ANIMACION DIGITAL Y VIDEOJUEGOS','7mo','FEMENINO','ACTIVO','',0,0,'','ALUMNO');</v>
      </c>
    </row>
    <row r="166" spans="1:12" ht="130.5" x14ac:dyDescent="0.35">
      <c r="A166" s="7">
        <v>1165</v>
      </c>
      <c r="B166" s="6" t="s">
        <v>5</v>
      </c>
      <c r="C166" t="s">
        <v>171</v>
      </c>
      <c r="D166" s="7" t="s">
        <v>743</v>
      </c>
      <c r="E166" s="7" t="s">
        <v>1149</v>
      </c>
      <c r="F166" t="s">
        <v>1315</v>
      </c>
      <c r="G166" s="7" t="s">
        <v>1726</v>
      </c>
      <c r="H166" t="s">
        <v>1738</v>
      </c>
      <c r="I166" t="s">
        <v>1744</v>
      </c>
      <c r="J166" t="s">
        <v>1786</v>
      </c>
      <c r="K166" s="2" t="str">
        <f t="shared" si="5"/>
        <v>1165,'LICENCIATURA','fatimadennise.arceespino','111163','TOMAR DEL SND','ARCE ESPINO FATIMA DENNISE','PSICOLOGIA','7mo','FEMENINO','ACTIVO','',0,0,'','ALUMNO'</v>
      </c>
      <c r="L166" s="10" t="str">
        <f t="shared" si="4"/>
        <v>INSERT INTO participantes (id,nivel,correo,matricula,clave,nombre,carrera,grado,sexo,situacion,evaluados,num_evaluados,total_evaluaciones,ultimo_acceso,nivel_acceso) VALUES (1165,'LICENCIATURA','fatimadennise.arceespino','111163','TOMAR DEL SND','ARCE ESPINO FATIMA DENNISE','PSICOLOGIA','7mo','FEMENINO','ACTIVO','',0,0,'','ALUMNO');</v>
      </c>
    </row>
    <row r="167" spans="1:12" ht="130.5" x14ac:dyDescent="0.35">
      <c r="A167" s="7">
        <v>1166</v>
      </c>
      <c r="B167" s="6" t="s">
        <v>5</v>
      </c>
      <c r="C167" t="s">
        <v>172</v>
      </c>
      <c r="D167" s="7" t="s">
        <v>744</v>
      </c>
      <c r="E167" s="7" t="s">
        <v>1149</v>
      </c>
      <c r="F167" t="s">
        <v>1316</v>
      </c>
      <c r="G167" s="7" t="s">
        <v>1726</v>
      </c>
      <c r="H167" t="s">
        <v>1738</v>
      </c>
      <c r="I167" t="s">
        <v>1744</v>
      </c>
      <c r="J167" t="s">
        <v>1786</v>
      </c>
      <c r="K167" s="2" t="str">
        <f t="shared" si="5"/>
        <v>1166,'LICENCIATURA','tatiana.gallimartinez','111165','TOMAR DEL SND','GALLI MARTINEZ TATIANA','PSICOLOGIA','7mo','FEMENINO','ACTIVO','',0,0,'','ALUMNO'</v>
      </c>
      <c r="L167" s="10" t="str">
        <f t="shared" si="4"/>
        <v>INSERT INTO participantes (id,nivel,correo,matricula,clave,nombre,carrera,grado,sexo,situacion,evaluados,num_evaluados,total_evaluaciones,ultimo_acceso,nivel_acceso) VALUES (1166,'LICENCIATURA','tatiana.gallimartinez','111165','TOMAR DEL SND','GALLI MARTINEZ TATIANA','PSICOLOGIA','7mo','FEMENINO','ACTIVO','',0,0,'','ALUMNO');</v>
      </c>
    </row>
    <row r="168" spans="1:12" ht="130.5" x14ac:dyDescent="0.35">
      <c r="A168" s="7">
        <v>1167</v>
      </c>
      <c r="B168" s="6" t="s">
        <v>5</v>
      </c>
      <c r="C168" t="s">
        <v>173</v>
      </c>
      <c r="D168" s="7" t="s">
        <v>745</v>
      </c>
      <c r="E168" s="7" t="s">
        <v>1149</v>
      </c>
      <c r="F168" t="s">
        <v>1317</v>
      </c>
      <c r="G168" s="7" t="s">
        <v>1726</v>
      </c>
      <c r="H168" t="s">
        <v>1738</v>
      </c>
      <c r="I168" t="s">
        <v>1743</v>
      </c>
      <c r="J168" t="s">
        <v>1786</v>
      </c>
      <c r="K168" s="2" t="str">
        <f t="shared" si="5"/>
        <v>1167,'LICENCIATURA','victormanuel.cervantespanduro','111166','TOMAR DEL SND','CERVANTES PANDURO VICTOR MANUEL','PSICOLOGIA','7mo','MASCULINO','ACTIVO','',0,0,'','ALUMNO'</v>
      </c>
      <c r="L168" s="10" t="str">
        <f t="shared" si="4"/>
        <v>INSERT INTO participantes (id,nivel,correo,matricula,clave,nombre,carrera,grado,sexo,situacion,evaluados,num_evaluados,total_evaluaciones,ultimo_acceso,nivel_acceso) VALUES (1167,'LICENCIATURA','victormanuel.cervantespanduro','111166','TOMAR DEL SND','CERVANTES PANDURO VICTOR MANUEL','PSICOLOGIA','7mo','MASCULINO','ACTIVO','',0,0,'','ALUMNO');</v>
      </c>
    </row>
    <row r="169" spans="1:12" ht="130.5" x14ac:dyDescent="0.35">
      <c r="A169" s="7">
        <v>1168</v>
      </c>
      <c r="B169" s="6" t="s">
        <v>5</v>
      </c>
      <c r="C169" t="s">
        <v>174</v>
      </c>
      <c r="D169" s="7" t="s">
        <v>746</v>
      </c>
      <c r="E169" s="7" t="s">
        <v>1149</v>
      </c>
      <c r="F169" t="s">
        <v>1318</v>
      </c>
      <c r="G169" s="7" t="s">
        <v>1731</v>
      </c>
      <c r="H169" t="s">
        <v>1738</v>
      </c>
      <c r="I169" t="s">
        <v>1743</v>
      </c>
      <c r="J169" t="s">
        <v>1786</v>
      </c>
      <c r="K169" s="2" t="str">
        <f t="shared" si="5"/>
        <v>1168,'LICENCIATURA','orlandobaru.muñozrodriguez','111168','TOMAR DEL SND','MUÑOZ RODRIGUEZ ORLANDO BARU','INGENIERÍA AUTOMOTRIZ','7mo','MASCULINO','ACTIVO','',0,0,'','ALUMNO'</v>
      </c>
      <c r="L169" s="10" t="str">
        <f t="shared" si="4"/>
        <v>INSERT INTO participantes (id,nivel,correo,matricula,clave,nombre,carrera,grado,sexo,situacion,evaluados,num_evaluados,total_evaluaciones,ultimo_acceso,nivel_acceso) VALUES (1168,'LICENCIATURA','orlandobaru.muñozrodriguez','111168','TOMAR DEL SND','MUÑOZ RODRIGUEZ ORLANDO BARU','INGENIERÍA AUTOMOTRIZ','7mo','MASCULINO','ACTIVO','',0,0,'','ALUMNO');</v>
      </c>
    </row>
    <row r="170" spans="1:12" ht="130.5" x14ac:dyDescent="0.35">
      <c r="A170" s="7">
        <v>1169</v>
      </c>
      <c r="B170" s="6" t="s">
        <v>5</v>
      </c>
      <c r="C170" t="s">
        <v>175</v>
      </c>
      <c r="D170" s="7" t="s">
        <v>747</v>
      </c>
      <c r="E170" s="7" t="s">
        <v>1149</v>
      </c>
      <c r="F170" t="s">
        <v>1319</v>
      </c>
      <c r="G170" s="7" t="s">
        <v>1728</v>
      </c>
      <c r="H170" t="s">
        <v>1738</v>
      </c>
      <c r="I170" t="s">
        <v>1744</v>
      </c>
      <c r="J170" t="s">
        <v>1786</v>
      </c>
      <c r="K170" s="2" t="str">
        <f t="shared" si="5"/>
        <v>1169,'LICENCIATURA','daniela.rojaslopez','111169','TOMAR DEL SND','ROJAS LOPEZ DANIELA','INGENIERIA INDUSTRIAL Y EN SISTEMAS ORGANIZACIONALES','7mo','FEMENINO','ACTIVO','',0,0,'','ALUMNO'</v>
      </c>
      <c r="L170" s="10" t="str">
        <f t="shared" si="4"/>
        <v>INSERT INTO participantes (id,nivel,correo,matricula,clave,nombre,carrera,grado,sexo,situacion,evaluados,num_evaluados,total_evaluaciones,ultimo_acceso,nivel_acceso) VALUES (1169,'LICENCIATURA','daniela.rojaslopez','111169','TOMAR DEL SND','ROJAS LOPEZ DANIELA','INGENIERIA INDUSTRIAL Y EN SISTEMAS ORGANIZACIONALES','7mo','FEMENINO','ACTIVO','',0,0,'','ALUMNO');</v>
      </c>
    </row>
    <row r="171" spans="1:12" ht="130.5" x14ac:dyDescent="0.35">
      <c r="A171" s="7">
        <v>1170</v>
      </c>
      <c r="B171" s="6" t="s">
        <v>5</v>
      </c>
      <c r="C171" t="s">
        <v>176</v>
      </c>
      <c r="D171" s="7" t="s">
        <v>748</v>
      </c>
      <c r="E171" s="7" t="s">
        <v>1149</v>
      </c>
      <c r="F171" t="s">
        <v>1320</v>
      </c>
      <c r="G171" s="7" t="s">
        <v>1731</v>
      </c>
      <c r="H171" t="s">
        <v>1738</v>
      </c>
      <c r="I171" t="s">
        <v>1743</v>
      </c>
      <c r="J171" t="s">
        <v>1786</v>
      </c>
      <c r="K171" s="2" t="str">
        <f t="shared" si="5"/>
        <v>1170,'LICENCIATURA','dario.aguilar','111170','TOMAR DEL SND','AGUILAR DARIO','INGENIERÍA AUTOMOTRIZ','7mo','MASCULINO','ACTIVO','',0,0,'','ALUMNO'</v>
      </c>
      <c r="L171" s="10" t="str">
        <f t="shared" si="4"/>
        <v>INSERT INTO participantes (id,nivel,correo,matricula,clave,nombre,carrera,grado,sexo,situacion,evaluados,num_evaluados,total_evaluaciones,ultimo_acceso,nivel_acceso) VALUES (1170,'LICENCIATURA','dario.aguilar','111170','TOMAR DEL SND','AGUILAR DARIO','INGENIERÍA AUTOMOTRIZ','7mo','MASCULINO','ACTIVO','',0,0,'','ALUMNO');</v>
      </c>
    </row>
    <row r="172" spans="1:12" ht="130.5" x14ac:dyDescent="0.35">
      <c r="A172" s="7">
        <v>1171</v>
      </c>
      <c r="B172" s="6" t="s">
        <v>5</v>
      </c>
      <c r="C172" t="s">
        <v>177</v>
      </c>
      <c r="D172" s="7" t="s">
        <v>749</v>
      </c>
      <c r="E172" s="7" t="s">
        <v>1149</v>
      </c>
      <c r="F172" t="s">
        <v>1321</v>
      </c>
      <c r="G172" s="7" t="s">
        <v>1731</v>
      </c>
      <c r="H172" t="s">
        <v>1738</v>
      </c>
      <c r="I172" t="s">
        <v>1743</v>
      </c>
      <c r="J172" t="s">
        <v>1786</v>
      </c>
      <c r="K172" s="2" t="str">
        <f t="shared" si="5"/>
        <v>1171,'LICENCIATURA','javier.ayalaesparza','111171','TOMAR DEL SND','AYALA ESPARZA JAVIER','INGENIERÍA AUTOMOTRIZ','7mo','MASCULINO','ACTIVO','',0,0,'','ALUMNO'</v>
      </c>
      <c r="L172" s="10" t="str">
        <f t="shared" si="4"/>
        <v>INSERT INTO participantes (id,nivel,correo,matricula,clave,nombre,carrera,grado,sexo,situacion,evaluados,num_evaluados,total_evaluaciones,ultimo_acceso,nivel_acceso) VALUES (1171,'LICENCIATURA','javier.ayalaesparza','111171','TOMAR DEL SND','AYALA ESPARZA JAVIER','INGENIERÍA AUTOMOTRIZ','7mo','MASCULINO','ACTIVO','',0,0,'','ALUMNO');</v>
      </c>
    </row>
    <row r="173" spans="1:12" ht="130.5" x14ac:dyDescent="0.35">
      <c r="A173" s="7">
        <v>1172</v>
      </c>
      <c r="B173" s="6" t="s">
        <v>5</v>
      </c>
      <c r="C173" t="s">
        <v>178</v>
      </c>
      <c r="D173" s="7" t="s">
        <v>750</v>
      </c>
      <c r="E173" s="7" t="s">
        <v>1149</v>
      </c>
      <c r="F173" t="s">
        <v>1322</v>
      </c>
      <c r="G173" s="7" t="s">
        <v>1729</v>
      </c>
      <c r="H173" t="s">
        <v>1738</v>
      </c>
      <c r="I173" t="s">
        <v>1743</v>
      </c>
      <c r="J173" t="s">
        <v>1786</v>
      </c>
      <c r="K173" s="2" t="str">
        <f t="shared" si="5"/>
        <v>1172,'LICENCIATURA','josuesebastianemiliano.matadelamora','111172','TOMAR DEL SND','MATA DE LA MORA JOSUE SEBASTIAN EMILIANO','ARQUITECTURA','7mo','MASCULINO','ACTIVO','',0,0,'','ALUMNO'</v>
      </c>
      <c r="L173" s="10" t="str">
        <f t="shared" si="4"/>
        <v>INSERT INTO participantes (id,nivel,correo,matricula,clave,nombre,carrera,grado,sexo,situacion,evaluados,num_evaluados,total_evaluaciones,ultimo_acceso,nivel_acceso) VALUES (1172,'LICENCIATURA','josuesebastianemiliano.matadelamora','111172','TOMAR DEL SND','MATA DE LA MORA JOSUE SEBASTIAN EMILIANO','ARQUITECTURA','7mo','MASCULINO','ACTIVO','',0,0,'','ALUMNO');</v>
      </c>
    </row>
    <row r="174" spans="1:12" ht="130.5" x14ac:dyDescent="0.35">
      <c r="A174" s="7">
        <v>1173</v>
      </c>
      <c r="B174" s="6" t="s">
        <v>5</v>
      </c>
      <c r="C174" t="s">
        <v>179</v>
      </c>
      <c r="D174" s="7" t="s">
        <v>751</v>
      </c>
      <c r="E174" s="7" t="s">
        <v>1149</v>
      </c>
      <c r="F174" t="s">
        <v>1323</v>
      </c>
      <c r="G174" s="7" t="s">
        <v>1727</v>
      </c>
      <c r="H174" t="s">
        <v>1738</v>
      </c>
      <c r="I174" t="s">
        <v>1744</v>
      </c>
      <c r="J174" t="s">
        <v>1786</v>
      </c>
      <c r="K174" s="2" t="str">
        <f t="shared" si="5"/>
        <v>1173,'LICENCIATURA','gabrielamonserrat.covarrubiaslimon','111174','TOMAR DEL SND','COVARRUBIAS LIMON GABRIELA MONSERRAT','ADMINISTRACION Y DIRECCION DE NEGOCIOS','7mo','FEMENINO','ACTIVO','',0,0,'','ALUMNO'</v>
      </c>
      <c r="L174" s="10" t="str">
        <f t="shared" si="4"/>
        <v>INSERT INTO participantes (id,nivel,correo,matricula,clave,nombre,carrera,grado,sexo,situacion,evaluados,num_evaluados,total_evaluaciones,ultimo_acceso,nivel_acceso) VALUES (1173,'LICENCIATURA','gabrielamonserrat.covarrubiaslimon','111174','TOMAR DEL SND','COVARRUBIAS LIMON GABRIELA MONSERRAT','ADMINISTRACION Y DIRECCION DE NEGOCIOS','7mo','FEMENINO','ACTIVO','',0,0,'','ALUMNO');</v>
      </c>
    </row>
    <row r="175" spans="1:12" ht="130.5" x14ac:dyDescent="0.35">
      <c r="A175" s="7">
        <v>1174</v>
      </c>
      <c r="B175" s="6" t="s">
        <v>5</v>
      </c>
      <c r="C175" t="s">
        <v>180</v>
      </c>
      <c r="D175" s="7" t="s">
        <v>752</v>
      </c>
      <c r="E175" s="7" t="s">
        <v>1149</v>
      </c>
      <c r="F175" t="s">
        <v>1324</v>
      </c>
      <c r="G175" s="7" t="s">
        <v>1726</v>
      </c>
      <c r="H175" t="s">
        <v>1738</v>
      </c>
      <c r="I175" t="s">
        <v>1744</v>
      </c>
      <c r="J175" t="s">
        <v>1786</v>
      </c>
      <c r="K175" s="2" t="str">
        <f t="shared" si="5"/>
        <v>1174,'LICENCIATURA','ximena.covarrubiaslimon','111178','TOMAR DEL SND','COVARRUBIAS LIMON XIMENA','PSICOLOGIA','7mo','FEMENINO','ACTIVO','',0,0,'','ALUMNO'</v>
      </c>
      <c r="L175" s="10" t="str">
        <f t="shared" si="4"/>
        <v>INSERT INTO participantes (id,nivel,correo,matricula,clave,nombre,carrera,grado,sexo,situacion,evaluados,num_evaluados,total_evaluaciones,ultimo_acceso,nivel_acceso) VALUES (1174,'LICENCIATURA','ximena.covarrubiaslimon','111178','TOMAR DEL SND','COVARRUBIAS LIMON XIMENA','PSICOLOGIA','7mo','FEMENINO','ACTIVO','',0,0,'','ALUMNO');</v>
      </c>
    </row>
    <row r="176" spans="1:12" ht="130.5" x14ac:dyDescent="0.35">
      <c r="A176" s="7">
        <v>1175</v>
      </c>
      <c r="B176" s="6" t="s">
        <v>5</v>
      </c>
      <c r="C176" t="s">
        <v>181</v>
      </c>
      <c r="D176" s="7" t="s">
        <v>753</v>
      </c>
      <c r="E176" s="7" t="s">
        <v>1149</v>
      </c>
      <c r="F176" t="s">
        <v>1325</v>
      </c>
      <c r="G176" s="7" t="s">
        <v>1730</v>
      </c>
      <c r="H176" t="s">
        <v>1738</v>
      </c>
      <c r="I176" t="s">
        <v>1744</v>
      </c>
      <c r="J176" t="s">
        <v>1786</v>
      </c>
      <c r="K176" s="2" t="str">
        <f t="shared" si="5"/>
        <v>1175,'LICENCIATURA','adrianapaola.rodriguezmartinez','111179','TOMAR DEL SND','RODRIGUEZ MARTINEZ ADRIANA PAOLA','ANIMACION DIGITAL Y VIDEOJUEGOS','7mo','FEMENINO','ACTIVO','',0,0,'','ALUMNO'</v>
      </c>
      <c r="L176" s="10" t="str">
        <f t="shared" si="4"/>
        <v>INSERT INTO participantes (id,nivel,correo,matricula,clave,nombre,carrera,grado,sexo,situacion,evaluados,num_evaluados,total_evaluaciones,ultimo_acceso,nivel_acceso) VALUES (1175,'LICENCIATURA','adrianapaola.rodriguezmartinez','111179','TOMAR DEL SND','RODRIGUEZ MARTINEZ ADRIANA PAOLA','ANIMACION DIGITAL Y VIDEOJUEGOS','7mo','FEMENINO','ACTIVO','',0,0,'','ALUMNO');</v>
      </c>
    </row>
    <row r="177" spans="1:12" ht="130.5" x14ac:dyDescent="0.35">
      <c r="A177" s="7">
        <v>1176</v>
      </c>
      <c r="B177" s="6" t="s">
        <v>5</v>
      </c>
      <c r="C177" t="s">
        <v>182</v>
      </c>
      <c r="D177" s="7" t="s">
        <v>754</v>
      </c>
      <c r="E177" s="7" t="s">
        <v>1149</v>
      </c>
      <c r="F177" t="s">
        <v>1326</v>
      </c>
      <c r="G177" s="7" t="s">
        <v>1729</v>
      </c>
      <c r="H177" t="s">
        <v>1738</v>
      </c>
      <c r="I177" t="s">
        <v>1744</v>
      </c>
      <c r="J177" t="s">
        <v>1786</v>
      </c>
      <c r="K177" s="2" t="str">
        <f t="shared" si="5"/>
        <v>1176,'LICENCIATURA','anailyguadalupe.chavezortiz','111181','TOMAR DEL SND','CHAVEZ ORTIZ ANAILY GUADALUPE','ARQUITECTURA','7mo','FEMENINO','ACTIVO','',0,0,'','ALUMNO'</v>
      </c>
      <c r="L177" s="10" t="str">
        <f t="shared" si="4"/>
        <v>INSERT INTO participantes (id,nivel,correo,matricula,clave,nombre,carrera,grado,sexo,situacion,evaluados,num_evaluados,total_evaluaciones,ultimo_acceso,nivel_acceso) VALUES (1176,'LICENCIATURA','anailyguadalupe.chavezortiz','111181','TOMAR DEL SND','CHAVEZ ORTIZ ANAILY GUADALUPE','ARQUITECTURA','7mo','FEMENINO','ACTIVO','',0,0,'','ALUMNO');</v>
      </c>
    </row>
    <row r="178" spans="1:12" ht="130.5" x14ac:dyDescent="0.35">
      <c r="A178" s="7">
        <v>1177</v>
      </c>
      <c r="B178" s="6" t="s">
        <v>5</v>
      </c>
      <c r="C178" t="s">
        <v>183</v>
      </c>
      <c r="D178" s="7" t="s">
        <v>755</v>
      </c>
      <c r="E178" s="7" t="s">
        <v>1149</v>
      </c>
      <c r="F178" t="s">
        <v>1327</v>
      </c>
      <c r="G178" s="7" t="s">
        <v>1730</v>
      </c>
      <c r="H178" t="s">
        <v>1738</v>
      </c>
      <c r="I178" t="s">
        <v>1744</v>
      </c>
      <c r="J178" t="s">
        <v>1786</v>
      </c>
      <c r="K178" s="2" t="str">
        <f t="shared" si="5"/>
        <v>1177,'LICENCIATURA','aolanixaxbe.negretecastro','111182','TOMAR DEL SND','NEGRETE CASTRO AOLANI XAXBE','ANIMACION DIGITAL Y VIDEOJUEGOS','7mo','FEMENINO','ACTIVO','',0,0,'','ALUMNO'</v>
      </c>
      <c r="L178" s="10" t="str">
        <f t="shared" si="4"/>
        <v>INSERT INTO participantes (id,nivel,correo,matricula,clave,nombre,carrera,grado,sexo,situacion,evaluados,num_evaluados,total_evaluaciones,ultimo_acceso,nivel_acceso) VALUES (1177,'LICENCIATURA','aolanixaxbe.negretecastro','111182','TOMAR DEL SND','NEGRETE CASTRO AOLANI XAXBE','ANIMACION DIGITAL Y VIDEOJUEGOS','7mo','FEMENINO','ACTIVO','',0,0,'','ALUMNO');</v>
      </c>
    </row>
    <row r="179" spans="1:12" ht="130.5" x14ac:dyDescent="0.35">
      <c r="A179" s="7">
        <v>1178</v>
      </c>
      <c r="B179" s="6" t="s">
        <v>5</v>
      </c>
      <c r="C179" t="s">
        <v>184</v>
      </c>
      <c r="D179" s="7" t="s">
        <v>756</v>
      </c>
      <c r="E179" s="7" t="s">
        <v>1149</v>
      </c>
      <c r="F179" t="s">
        <v>1328</v>
      </c>
      <c r="G179" s="7" t="s">
        <v>1730</v>
      </c>
      <c r="H179" t="s">
        <v>1738</v>
      </c>
      <c r="I179" t="s">
        <v>1744</v>
      </c>
      <c r="J179" t="s">
        <v>1786</v>
      </c>
      <c r="K179" s="2" t="str">
        <f t="shared" si="5"/>
        <v>1178,'LICENCIATURA','sharonsofia.vazquezrodriguez','111183','TOMAR DEL SND','VAZQUEZ RODRIGUEZ SHARON SOFIA','ANIMACION DIGITAL Y VIDEOJUEGOS','7mo','FEMENINO','ACTIVO','',0,0,'','ALUMNO'</v>
      </c>
      <c r="L179" s="10" t="str">
        <f t="shared" si="4"/>
        <v>INSERT INTO participantes (id,nivel,correo,matricula,clave,nombre,carrera,grado,sexo,situacion,evaluados,num_evaluados,total_evaluaciones,ultimo_acceso,nivel_acceso) VALUES (1178,'LICENCIATURA','sharonsofia.vazquezrodriguez','111183','TOMAR DEL SND','VAZQUEZ RODRIGUEZ SHARON SOFIA','ANIMACION DIGITAL Y VIDEOJUEGOS','7mo','FEMENINO','ACTIVO','',0,0,'','ALUMNO');</v>
      </c>
    </row>
    <row r="180" spans="1:12" ht="130.5" x14ac:dyDescent="0.35">
      <c r="A180" s="7">
        <v>1179</v>
      </c>
      <c r="B180" s="6" t="s">
        <v>5</v>
      </c>
      <c r="C180" t="s">
        <v>185</v>
      </c>
      <c r="D180" s="7" t="s">
        <v>757</v>
      </c>
      <c r="E180" s="7" t="s">
        <v>1149</v>
      </c>
      <c r="F180" t="s">
        <v>1329</v>
      </c>
      <c r="G180" s="7" t="s">
        <v>1727</v>
      </c>
      <c r="H180" t="s">
        <v>1738</v>
      </c>
      <c r="I180" t="s">
        <v>1744</v>
      </c>
      <c r="J180" t="s">
        <v>1786</v>
      </c>
      <c r="K180" s="2" t="str">
        <f t="shared" si="5"/>
        <v>1179,'LICENCIATURA','nicole.jimenezmclane','111186','TOMAR DEL SND','JIMENEZ MC LANE NICOLE','ADMINISTRACION Y DIRECCION DE NEGOCIOS','7mo','FEMENINO','ACTIVO','',0,0,'','ALUMNO'</v>
      </c>
      <c r="L180" s="10" t="str">
        <f t="shared" si="4"/>
        <v>INSERT INTO participantes (id,nivel,correo,matricula,clave,nombre,carrera,grado,sexo,situacion,evaluados,num_evaluados,total_evaluaciones,ultimo_acceso,nivel_acceso) VALUES (1179,'LICENCIATURA','nicole.jimenezmclane','111186','TOMAR DEL SND','JIMENEZ MC LANE NICOLE','ADMINISTRACION Y DIRECCION DE NEGOCIOS','7mo','FEMENINO','ACTIVO','',0,0,'','ALUMNO');</v>
      </c>
    </row>
    <row r="181" spans="1:12" ht="130.5" x14ac:dyDescent="0.35">
      <c r="A181" s="7">
        <v>1180</v>
      </c>
      <c r="B181" s="6" t="s">
        <v>5</v>
      </c>
      <c r="C181" t="s">
        <v>186</v>
      </c>
      <c r="D181" s="7" t="s">
        <v>758</v>
      </c>
      <c r="E181" s="7" t="s">
        <v>1149</v>
      </c>
      <c r="F181" t="s">
        <v>1330</v>
      </c>
      <c r="G181" s="7" t="s">
        <v>1729</v>
      </c>
      <c r="H181" t="s">
        <v>1738</v>
      </c>
      <c r="I181" t="s">
        <v>1744</v>
      </c>
      <c r="J181" t="s">
        <v>1786</v>
      </c>
      <c r="K181" s="2" t="str">
        <f t="shared" si="5"/>
        <v>1180,'LICENCIATURA','anacecilia.juarezcastañeda','111188','TOMAR DEL SND','JUAREZ CASTAÑEDA ANA CECILIA','ARQUITECTURA','7mo','FEMENINO','ACTIVO','',0,0,'','ALUMNO'</v>
      </c>
      <c r="L181" s="10" t="str">
        <f t="shared" si="4"/>
        <v>INSERT INTO participantes (id,nivel,correo,matricula,clave,nombre,carrera,grado,sexo,situacion,evaluados,num_evaluados,total_evaluaciones,ultimo_acceso,nivel_acceso) VALUES (1180,'LICENCIATURA','anacecilia.juarezcastañeda','111188','TOMAR DEL SND','JUAREZ CASTAÑEDA ANA CECILIA','ARQUITECTURA','7mo','FEMENINO','ACTIVO','',0,0,'','ALUMNO');</v>
      </c>
    </row>
    <row r="182" spans="1:12" ht="130.5" x14ac:dyDescent="0.35">
      <c r="A182" s="7">
        <v>1181</v>
      </c>
      <c r="B182" s="6" t="s">
        <v>5</v>
      </c>
      <c r="C182" t="s">
        <v>187</v>
      </c>
      <c r="D182" s="7" t="s">
        <v>759</v>
      </c>
      <c r="E182" s="7" t="s">
        <v>1149</v>
      </c>
      <c r="F182" t="s">
        <v>1331</v>
      </c>
      <c r="G182" s="7" t="s">
        <v>1729</v>
      </c>
      <c r="H182" t="s">
        <v>1738</v>
      </c>
      <c r="I182" t="s">
        <v>1744</v>
      </c>
      <c r="J182" t="s">
        <v>1786</v>
      </c>
      <c r="K182" s="2" t="str">
        <f t="shared" si="5"/>
        <v>1181,'LICENCIATURA','michellecarolina.ochoagonzalez','111189','TOMAR DEL SND','OCHOA GONZALEZ MICHELLE CAROLINA','ARQUITECTURA','7mo','FEMENINO','ACTIVO','',0,0,'','ALUMNO'</v>
      </c>
      <c r="L182" s="10" t="str">
        <f t="shared" si="4"/>
        <v>INSERT INTO participantes (id,nivel,correo,matricula,clave,nombre,carrera,grado,sexo,situacion,evaluados,num_evaluados,total_evaluaciones,ultimo_acceso,nivel_acceso) VALUES (1181,'LICENCIATURA','michellecarolina.ochoagonzalez','111189','TOMAR DEL SND','OCHOA GONZALEZ MICHELLE CAROLINA','ARQUITECTURA','7mo','FEMENINO','ACTIVO','',0,0,'','ALUMNO');</v>
      </c>
    </row>
    <row r="183" spans="1:12" ht="130.5" x14ac:dyDescent="0.35">
      <c r="A183" s="7">
        <v>1182</v>
      </c>
      <c r="B183" s="6" t="s">
        <v>5</v>
      </c>
      <c r="C183" t="s">
        <v>188</v>
      </c>
      <c r="D183" s="7" t="s">
        <v>760</v>
      </c>
      <c r="E183" s="7" t="s">
        <v>1149</v>
      </c>
      <c r="F183" t="s">
        <v>1332</v>
      </c>
      <c r="G183" s="7" t="s">
        <v>1723</v>
      </c>
      <c r="H183" t="s">
        <v>1738</v>
      </c>
      <c r="I183" t="s">
        <v>1744</v>
      </c>
      <c r="J183" t="s">
        <v>1786</v>
      </c>
      <c r="K183" s="2" t="str">
        <f t="shared" si="5"/>
        <v>1182,'LICENCIATURA','layssa.gonzalezguerra','111190','TOMAR DEL SND','GONZALEZ GUERRA LAYSSA','INGENIERIA CIBERNETICA Y EN SISTEMAS COMPUTACIONALES','7mo','FEMENINO','ACTIVO','',0,0,'','ALUMNO'</v>
      </c>
      <c r="L183" s="10" t="str">
        <f t="shared" si="4"/>
        <v>INSERT INTO participantes (id,nivel,correo,matricula,clave,nombre,carrera,grado,sexo,situacion,evaluados,num_evaluados,total_evaluaciones,ultimo_acceso,nivel_acceso) VALUES (1182,'LICENCIATURA','layssa.gonzalezguerra','111190','TOMAR DEL SND','GONZALEZ GUERRA LAYSSA','INGENIERIA CIBERNETICA Y EN SISTEMAS COMPUTACIONALES','7mo','FEMENINO','ACTIVO','',0,0,'','ALUMNO');</v>
      </c>
    </row>
    <row r="184" spans="1:12" ht="130.5" x14ac:dyDescent="0.35">
      <c r="A184" s="7">
        <v>1183</v>
      </c>
      <c r="B184" s="6" t="s">
        <v>5</v>
      </c>
      <c r="C184" t="s">
        <v>189</v>
      </c>
      <c r="D184" s="7" t="s">
        <v>761</v>
      </c>
      <c r="E184" s="7" t="s">
        <v>1149</v>
      </c>
      <c r="F184" t="s">
        <v>1333</v>
      </c>
      <c r="G184" s="7" t="s">
        <v>1731</v>
      </c>
      <c r="H184" t="s">
        <v>1738</v>
      </c>
      <c r="I184" t="s">
        <v>1743</v>
      </c>
      <c r="J184" t="s">
        <v>1786</v>
      </c>
      <c r="K184" s="2" t="str">
        <f t="shared" si="5"/>
        <v>1183,'LICENCIATURA','osmarandrey.figueroanuño','111191','TOMAR DEL SND','FIGUEROA NUÑO OSMAR ANDREY','INGENIERÍA AUTOMOTRIZ','7mo','MASCULINO','ACTIVO','',0,0,'','ALUMNO'</v>
      </c>
      <c r="L184" s="10" t="str">
        <f t="shared" si="4"/>
        <v>INSERT INTO participantes (id,nivel,correo,matricula,clave,nombre,carrera,grado,sexo,situacion,evaluados,num_evaluados,total_evaluaciones,ultimo_acceso,nivel_acceso) VALUES (1183,'LICENCIATURA','osmarandrey.figueroanuño','111191','TOMAR DEL SND','FIGUEROA NUÑO OSMAR ANDREY','INGENIERÍA AUTOMOTRIZ','7mo','MASCULINO','ACTIVO','',0,0,'','ALUMNO');</v>
      </c>
    </row>
    <row r="185" spans="1:12" ht="130.5" x14ac:dyDescent="0.35">
      <c r="A185" s="7">
        <v>1184</v>
      </c>
      <c r="B185" s="6" t="s">
        <v>5</v>
      </c>
      <c r="C185" t="s">
        <v>190</v>
      </c>
      <c r="D185" s="7" t="s">
        <v>762</v>
      </c>
      <c r="E185" s="7" t="s">
        <v>1149</v>
      </c>
      <c r="F185" t="s">
        <v>1334</v>
      </c>
      <c r="G185" s="7" t="s">
        <v>1731</v>
      </c>
      <c r="H185" t="s">
        <v>1738</v>
      </c>
      <c r="I185" t="s">
        <v>1743</v>
      </c>
      <c r="J185" t="s">
        <v>1786</v>
      </c>
      <c r="K185" s="2" t="str">
        <f t="shared" si="5"/>
        <v>1184,'LICENCIATURA','alanyael.vazquezochoa','111193','TOMAR DEL SND','VAZQUEZ OCHOA ALAN YAEL','INGENIERÍA AUTOMOTRIZ','7mo','MASCULINO','ACTIVO','',0,0,'','ALUMNO'</v>
      </c>
      <c r="L185" s="10" t="str">
        <f t="shared" si="4"/>
        <v>INSERT INTO participantes (id,nivel,correo,matricula,clave,nombre,carrera,grado,sexo,situacion,evaluados,num_evaluados,total_evaluaciones,ultimo_acceso,nivel_acceso) VALUES (1184,'LICENCIATURA','alanyael.vazquezochoa','111193','TOMAR DEL SND','VAZQUEZ OCHOA ALAN YAEL','INGENIERÍA AUTOMOTRIZ','7mo','MASCULINO','ACTIVO','',0,0,'','ALUMNO');</v>
      </c>
    </row>
    <row r="186" spans="1:12" ht="130.5" x14ac:dyDescent="0.35">
      <c r="A186" s="7">
        <v>1185</v>
      </c>
      <c r="B186" s="6" t="s">
        <v>5</v>
      </c>
      <c r="C186" t="s">
        <v>191</v>
      </c>
      <c r="D186" s="7" t="s">
        <v>763</v>
      </c>
      <c r="E186" s="7" t="s">
        <v>1149</v>
      </c>
      <c r="F186" t="s">
        <v>1335</v>
      </c>
      <c r="G186" s="7" t="s">
        <v>1724</v>
      </c>
      <c r="H186" t="s">
        <v>1738</v>
      </c>
      <c r="I186" t="s">
        <v>1744</v>
      </c>
      <c r="J186" t="s">
        <v>1786</v>
      </c>
      <c r="K186" s="2" t="str">
        <f t="shared" si="5"/>
        <v>1185,'LICENCIATURA','mariafernanda.castillogonzalez','111197','TOMAR DEL SND','CASTILLO GONZALEZ MARIA FERNANDA','NUTRICION Y GASTRONOMIA','7mo','FEMENINO','ACTIVO','',0,0,'','ALUMNO'</v>
      </c>
      <c r="L186" s="10" t="str">
        <f t="shared" si="4"/>
        <v>INSERT INTO participantes (id,nivel,correo,matricula,clave,nombre,carrera,grado,sexo,situacion,evaluados,num_evaluados,total_evaluaciones,ultimo_acceso,nivel_acceso) VALUES (1185,'LICENCIATURA','mariafernanda.castillogonzalez','111197','TOMAR DEL SND','CASTILLO GONZALEZ MARIA FERNANDA','NUTRICION Y GASTRONOMIA','7mo','FEMENINO','ACTIVO','',0,0,'','ALUMNO');</v>
      </c>
    </row>
    <row r="187" spans="1:12" ht="130.5" x14ac:dyDescent="0.35">
      <c r="A187" s="7">
        <v>1186</v>
      </c>
      <c r="B187" s="6" t="s">
        <v>5</v>
      </c>
      <c r="C187" t="s">
        <v>192</v>
      </c>
      <c r="D187" s="7" t="s">
        <v>764</v>
      </c>
      <c r="E187" s="7" t="s">
        <v>1149</v>
      </c>
      <c r="F187" t="s">
        <v>1336</v>
      </c>
      <c r="G187" s="7" t="s">
        <v>1734</v>
      </c>
      <c r="H187" t="s">
        <v>1738</v>
      </c>
      <c r="I187" t="s">
        <v>1744</v>
      </c>
      <c r="J187" t="s">
        <v>1786</v>
      </c>
      <c r="K187" s="2" t="str">
        <f t="shared" si="5"/>
        <v>1186,'LICENCIATURA','dianapaola.coronadotirado','111201','TOMAR DEL SND','CORONADO TIRADO DIANA PAOLA','INGENIERÍA EN INTELIGENCIA ARTIFICIAL','7mo','FEMENINO','ACTIVO','',0,0,'','ALUMNO'</v>
      </c>
      <c r="L187" s="10" t="str">
        <f t="shared" si="4"/>
        <v>INSERT INTO participantes (id,nivel,correo,matricula,clave,nombre,carrera,grado,sexo,situacion,evaluados,num_evaluados,total_evaluaciones,ultimo_acceso,nivel_acceso) VALUES (1186,'LICENCIATURA','dianapaola.coronadotirado','111201','TOMAR DEL SND','CORONADO TIRADO DIANA PAOLA','INGENIERÍA EN INTELIGENCIA ARTIFICIAL','7mo','FEMENINO','ACTIVO','',0,0,'','ALUMNO');</v>
      </c>
    </row>
    <row r="188" spans="1:12" ht="130.5" x14ac:dyDescent="0.35">
      <c r="A188" s="7">
        <v>1187</v>
      </c>
      <c r="B188" s="6" t="s">
        <v>5</v>
      </c>
      <c r="C188" t="s">
        <v>193</v>
      </c>
      <c r="D188" s="7" t="s">
        <v>765</v>
      </c>
      <c r="E188" s="7" t="s">
        <v>1149</v>
      </c>
      <c r="F188" t="s">
        <v>1337</v>
      </c>
      <c r="G188" s="7" t="s">
        <v>1727</v>
      </c>
      <c r="H188" t="s">
        <v>1738</v>
      </c>
      <c r="I188" t="s">
        <v>1743</v>
      </c>
      <c r="J188" t="s">
        <v>1786</v>
      </c>
      <c r="K188" s="2" t="str">
        <f t="shared" si="5"/>
        <v>1187,'LICENCIATURA','andy.rodriguezlazaro','111202','TOMAR DEL SND','RODRIGUEZ LAZARO ANDY','ADMINISTRACION Y DIRECCION DE NEGOCIOS','7mo','MASCULINO','ACTIVO','',0,0,'','ALUMNO'</v>
      </c>
      <c r="L188" s="10" t="str">
        <f t="shared" si="4"/>
        <v>INSERT INTO participantes (id,nivel,correo,matricula,clave,nombre,carrera,grado,sexo,situacion,evaluados,num_evaluados,total_evaluaciones,ultimo_acceso,nivel_acceso) VALUES (1187,'LICENCIATURA','andy.rodriguezlazaro','111202','TOMAR DEL SND','RODRIGUEZ LAZARO ANDY','ADMINISTRACION Y DIRECCION DE NEGOCIOS','7mo','MASCULINO','ACTIVO','',0,0,'','ALUMNO');</v>
      </c>
    </row>
    <row r="189" spans="1:12" ht="130.5" x14ac:dyDescent="0.35">
      <c r="A189" s="7">
        <v>1188</v>
      </c>
      <c r="B189" s="6" t="s">
        <v>5</v>
      </c>
      <c r="C189" t="s">
        <v>194</v>
      </c>
      <c r="D189" s="7" t="s">
        <v>766</v>
      </c>
      <c r="E189" s="7" t="s">
        <v>1149</v>
      </c>
      <c r="F189" t="s">
        <v>1338</v>
      </c>
      <c r="G189" s="7" t="s">
        <v>1729</v>
      </c>
      <c r="H189" t="s">
        <v>1738</v>
      </c>
      <c r="I189" t="s">
        <v>1744</v>
      </c>
      <c r="J189" t="s">
        <v>1786</v>
      </c>
      <c r="K189" s="2" t="str">
        <f t="shared" si="5"/>
        <v>1188,'LICENCIATURA','paulinanataly.valadezrivera','111203','TOMAR DEL SND','VALADEZ RIVERA PAULINA NATALY','ARQUITECTURA','7mo','FEMENINO','ACTIVO','',0,0,'','ALUMNO'</v>
      </c>
      <c r="L189" s="10" t="str">
        <f t="shared" si="4"/>
        <v>INSERT INTO participantes (id,nivel,correo,matricula,clave,nombre,carrera,grado,sexo,situacion,evaluados,num_evaluados,total_evaluaciones,ultimo_acceso,nivel_acceso) VALUES (1188,'LICENCIATURA','paulinanataly.valadezrivera','111203','TOMAR DEL SND','VALADEZ RIVERA PAULINA NATALY','ARQUITECTURA','7mo','FEMENINO','ACTIVO','',0,0,'','ALUMNO');</v>
      </c>
    </row>
    <row r="190" spans="1:12" ht="130.5" x14ac:dyDescent="0.35">
      <c r="A190" s="7">
        <v>1189</v>
      </c>
      <c r="B190" s="6" t="s">
        <v>5</v>
      </c>
      <c r="C190" t="s">
        <v>195</v>
      </c>
      <c r="D190" s="7" t="s">
        <v>767</v>
      </c>
      <c r="E190" s="7" t="s">
        <v>1149</v>
      </c>
      <c r="F190" t="s">
        <v>1339</v>
      </c>
      <c r="G190" s="7" t="s">
        <v>1726</v>
      </c>
      <c r="H190" t="s">
        <v>1738</v>
      </c>
      <c r="I190" t="s">
        <v>1744</v>
      </c>
      <c r="J190" t="s">
        <v>1786</v>
      </c>
      <c r="K190" s="2" t="str">
        <f t="shared" si="5"/>
        <v>1189,'LICENCIATURA','anabelen.oceguedagil','111204','TOMAR DEL SND','OCEGUEDA GIL ANA BELEN','PSICOLOGIA','7mo','FEMENINO','ACTIVO','',0,0,'','ALUMNO'</v>
      </c>
      <c r="L190" s="10" t="str">
        <f t="shared" si="4"/>
        <v>INSERT INTO participantes (id,nivel,correo,matricula,clave,nombre,carrera,grado,sexo,situacion,evaluados,num_evaluados,total_evaluaciones,ultimo_acceso,nivel_acceso) VALUES (1189,'LICENCIATURA','anabelen.oceguedagil','111204','TOMAR DEL SND','OCEGUEDA GIL ANA BELEN','PSICOLOGIA','7mo','FEMENINO','ACTIVO','',0,0,'','ALUMNO');</v>
      </c>
    </row>
    <row r="191" spans="1:12" ht="130.5" x14ac:dyDescent="0.35">
      <c r="A191" s="7">
        <v>1190</v>
      </c>
      <c r="B191" s="6" t="s">
        <v>5</v>
      </c>
      <c r="C191" t="s">
        <v>196</v>
      </c>
      <c r="D191" s="7" t="s">
        <v>768</v>
      </c>
      <c r="E191" s="7" t="s">
        <v>1149</v>
      </c>
      <c r="F191" t="s">
        <v>1340</v>
      </c>
      <c r="G191" s="7" t="s">
        <v>1730</v>
      </c>
      <c r="H191" t="s">
        <v>1738</v>
      </c>
      <c r="I191" t="s">
        <v>1744</v>
      </c>
      <c r="J191" t="s">
        <v>1786</v>
      </c>
      <c r="K191" s="2" t="str">
        <f t="shared" si="5"/>
        <v>1190,'LICENCIATURA','claudiafernanda.ramirezarreola','111206','TOMAR DEL SND','RAMIREZ ARREOLA CLAUDIA FERNANDA','ANIMACION DIGITAL Y VIDEOJUEGOS','7mo','FEMENINO','ACTIVO','',0,0,'','ALUMNO'</v>
      </c>
      <c r="L191" s="10" t="str">
        <f t="shared" si="4"/>
        <v>INSERT INTO participantes (id,nivel,correo,matricula,clave,nombre,carrera,grado,sexo,situacion,evaluados,num_evaluados,total_evaluaciones,ultimo_acceso,nivel_acceso) VALUES (1190,'LICENCIATURA','claudiafernanda.ramirezarreola','111206','TOMAR DEL SND','RAMIREZ ARREOLA CLAUDIA FERNANDA','ANIMACION DIGITAL Y VIDEOJUEGOS','7mo','FEMENINO','ACTIVO','',0,0,'','ALUMNO');</v>
      </c>
    </row>
    <row r="192" spans="1:12" ht="130.5" x14ac:dyDescent="0.35">
      <c r="A192" s="7">
        <v>1191</v>
      </c>
      <c r="B192" s="6" t="s">
        <v>5</v>
      </c>
      <c r="C192" t="s">
        <v>197</v>
      </c>
      <c r="D192" s="7" t="s">
        <v>769</v>
      </c>
      <c r="E192" s="7" t="s">
        <v>1149</v>
      </c>
      <c r="F192" t="s">
        <v>1341</v>
      </c>
      <c r="G192" s="7" t="s">
        <v>1734</v>
      </c>
      <c r="H192" t="s">
        <v>1738</v>
      </c>
      <c r="I192" t="s">
        <v>1743</v>
      </c>
      <c r="J192" t="s">
        <v>1786</v>
      </c>
      <c r="K192" s="2" t="str">
        <f t="shared" si="5"/>
        <v>1191,'LICENCIATURA','carlosfernando.serranoamador','111208','TOMAR DEL SND','SERRANO AMADOR CARLOS FERNANDO','INGENIERÍA EN INTELIGENCIA ARTIFICIAL','7mo','MASCULINO','ACTIVO','',0,0,'','ALUMNO'</v>
      </c>
      <c r="L192" s="10" t="str">
        <f t="shared" si="4"/>
        <v>INSERT INTO participantes (id,nivel,correo,matricula,clave,nombre,carrera,grado,sexo,situacion,evaluados,num_evaluados,total_evaluaciones,ultimo_acceso,nivel_acceso) VALUES (1191,'LICENCIATURA','carlosfernando.serranoamador','111208','TOMAR DEL SND','SERRANO AMADOR CARLOS FERNANDO','INGENIERÍA EN INTELIGENCIA ARTIFICIAL','7mo','MASCULINO','ACTIVO','',0,0,'','ALUMNO');</v>
      </c>
    </row>
    <row r="193" spans="1:12" ht="130.5" x14ac:dyDescent="0.35">
      <c r="A193" s="7">
        <v>1192</v>
      </c>
      <c r="B193" s="6" t="s">
        <v>5</v>
      </c>
      <c r="C193" t="s">
        <v>198</v>
      </c>
      <c r="D193" s="7" t="s">
        <v>770</v>
      </c>
      <c r="E193" s="7" t="s">
        <v>1149</v>
      </c>
      <c r="F193" t="s">
        <v>1342</v>
      </c>
      <c r="G193" s="7" t="s">
        <v>1729</v>
      </c>
      <c r="H193" t="s">
        <v>1738</v>
      </c>
      <c r="I193" t="s">
        <v>1743</v>
      </c>
      <c r="J193" t="s">
        <v>1786</v>
      </c>
      <c r="K193" s="2" t="str">
        <f t="shared" si="5"/>
        <v>1192,'LICENCIATURA','cristianfabian.zamudiovazquez','111210','TOMAR DEL SND','ZAMUDIO VAZQUEZ CRISTIAN FABIAN','ARQUITECTURA','7mo','MASCULINO','ACTIVO','',0,0,'','ALUMNO'</v>
      </c>
      <c r="L193" s="10" t="str">
        <f t="shared" si="4"/>
        <v>INSERT INTO participantes (id,nivel,correo,matricula,clave,nombre,carrera,grado,sexo,situacion,evaluados,num_evaluados,total_evaluaciones,ultimo_acceso,nivel_acceso) VALUES (1192,'LICENCIATURA','cristianfabian.zamudiovazquez','111210','TOMAR DEL SND','ZAMUDIO VAZQUEZ CRISTIAN FABIAN','ARQUITECTURA','7mo','MASCULINO','ACTIVO','',0,0,'','ALUMNO');</v>
      </c>
    </row>
    <row r="194" spans="1:12" ht="130.5" x14ac:dyDescent="0.35">
      <c r="A194" s="7">
        <v>1193</v>
      </c>
      <c r="B194" s="6" t="s">
        <v>5</v>
      </c>
      <c r="C194" t="s">
        <v>199</v>
      </c>
      <c r="D194" s="7" t="s">
        <v>771</v>
      </c>
      <c r="E194" s="7" t="s">
        <v>1149</v>
      </c>
      <c r="F194" t="s">
        <v>1343</v>
      </c>
      <c r="G194" s="7" t="s">
        <v>1729</v>
      </c>
      <c r="H194" t="s">
        <v>1738</v>
      </c>
      <c r="I194" t="s">
        <v>1744</v>
      </c>
      <c r="J194" t="s">
        <v>1786</v>
      </c>
      <c r="K194" s="2" t="str">
        <f t="shared" si="5"/>
        <v>1193,'LICENCIATURA','jackeline.hernandez','111213','TOMAR DEL SND','HERNANDEZ JACKELINE','ARQUITECTURA','7mo','FEMENINO','ACTIVO','',0,0,'','ALUMNO'</v>
      </c>
      <c r="L194" s="10" t="str">
        <f t="shared" ref="L194:L257" si="6">CONCATENATE($K$1,K194,");")</f>
        <v>INSERT INTO participantes (id,nivel,correo,matricula,clave,nombre,carrera,grado,sexo,situacion,evaluados,num_evaluados,total_evaluaciones,ultimo_acceso,nivel_acceso) VALUES (1193,'LICENCIATURA','jackeline.hernandez','111213','TOMAR DEL SND','HERNANDEZ JACKELINE','ARQUITECTURA','7mo','FEMENINO','ACTIVO','',0,0,'','ALUMNO');</v>
      </c>
    </row>
    <row r="195" spans="1:12" ht="130.5" x14ac:dyDescent="0.35">
      <c r="A195" s="7">
        <v>1194</v>
      </c>
      <c r="B195" s="6" t="s">
        <v>5</v>
      </c>
      <c r="C195" t="s">
        <v>200</v>
      </c>
      <c r="D195" s="7" t="s">
        <v>772</v>
      </c>
      <c r="E195" s="7" t="s">
        <v>1149</v>
      </c>
      <c r="F195" t="s">
        <v>1344</v>
      </c>
      <c r="G195" s="7" t="s">
        <v>1731</v>
      </c>
      <c r="H195" t="s">
        <v>1738</v>
      </c>
      <c r="I195" t="s">
        <v>1743</v>
      </c>
      <c r="J195" t="s">
        <v>1786</v>
      </c>
      <c r="K195" s="2" t="str">
        <f t="shared" ref="K195:K258" si="7">CONCATENATE(A195,",'",B195,"','",C195,"','",D195,"','",E195,"','",F195,"','",G195,"','",H195,"','",UPPER(I195),"','",UPPER(J195),"','',0,0,'','ALUMNO'")</f>
        <v>1194,'LICENCIATURA','dylanadrian.castillogomez','111214','TOMAR DEL SND','CASTILLO GOMEZ DYLAN ADRIAN','INGENIERÍA AUTOMOTRIZ','7mo','MASCULINO','ACTIVO','',0,0,'','ALUMNO'</v>
      </c>
      <c r="L195" s="10" t="str">
        <f t="shared" si="6"/>
        <v>INSERT INTO participantes (id,nivel,correo,matricula,clave,nombre,carrera,grado,sexo,situacion,evaluados,num_evaluados,total_evaluaciones,ultimo_acceso,nivel_acceso) VALUES (1194,'LICENCIATURA','dylanadrian.castillogomez','111214','TOMAR DEL SND','CASTILLO GOMEZ DYLAN ADRIAN','INGENIERÍA AUTOMOTRIZ','7mo','MASCULINO','ACTIVO','',0,0,'','ALUMNO');</v>
      </c>
    </row>
    <row r="196" spans="1:12" ht="130.5" x14ac:dyDescent="0.35">
      <c r="A196" s="7">
        <v>1195</v>
      </c>
      <c r="B196" s="6" t="s">
        <v>5</v>
      </c>
      <c r="C196" t="s">
        <v>201</v>
      </c>
      <c r="D196" s="7" t="s">
        <v>773</v>
      </c>
      <c r="E196" s="7" t="s">
        <v>1149</v>
      </c>
      <c r="F196" t="s">
        <v>1345</v>
      </c>
      <c r="G196" s="7" t="s">
        <v>1724</v>
      </c>
      <c r="H196" t="s">
        <v>1738</v>
      </c>
      <c r="I196" t="s">
        <v>1744</v>
      </c>
      <c r="J196" t="s">
        <v>1786</v>
      </c>
      <c r="K196" s="2" t="str">
        <f t="shared" si="7"/>
        <v>1195,'LICENCIATURA','victoria.guerreroflores','111221','TOMAR DEL SND','GUERRERO FLORES VICTORIA','NUTRICION Y GASTRONOMIA','7mo','FEMENINO','ACTIVO','',0,0,'','ALUMNO'</v>
      </c>
      <c r="L196" s="10" t="str">
        <f t="shared" si="6"/>
        <v>INSERT INTO participantes (id,nivel,correo,matricula,clave,nombre,carrera,grado,sexo,situacion,evaluados,num_evaluados,total_evaluaciones,ultimo_acceso,nivel_acceso) VALUES (1195,'LICENCIATURA','victoria.guerreroflores','111221','TOMAR DEL SND','GUERRERO FLORES VICTORIA','NUTRICION Y GASTRONOMIA','7mo','FEMENINO','ACTIVO','',0,0,'','ALUMNO');</v>
      </c>
    </row>
    <row r="197" spans="1:12" ht="130.5" x14ac:dyDescent="0.35">
      <c r="A197" s="7">
        <v>1196</v>
      </c>
      <c r="B197" s="6" t="s">
        <v>5</v>
      </c>
      <c r="C197" t="s">
        <v>202</v>
      </c>
      <c r="D197" s="7" t="s">
        <v>774</v>
      </c>
      <c r="E197" s="7" t="s">
        <v>1149</v>
      </c>
      <c r="F197" t="s">
        <v>1346</v>
      </c>
      <c r="G197" s="7" t="s">
        <v>1730</v>
      </c>
      <c r="H197" t="s">
        <v>1738</v>
      </c>
      <c r="I197" t="s">
        <v>1744</v>
      </c>
      <c r="J197" t="s">
        <v>1786</v>
      </c>
      <c r="K197" s="2" t="str">
        <f t="shared" si="7"/>
        <v>1196,'LICENCIATURA','melissaitzel.alatorregomez','111223','TOMAR DEL SND','ALATORRE GOMEZ MELISSA ITZEL','ANIMACION DIGITAL Y VIDEOJUEGOS','7mo','FEMENINO','ACTIVO','',0,0,'','ALUMNO'</v>
      </c>
      <c r="L197" s="10" t="str">
        <f t="shared" si="6"/>
        <v>INSERT INTO participantes (id,nivel,correo,matricula,clave,nombre,carrera,grado,sexo,situacion,evaluados,num_evaluados,total_evaluaciones,ultimo_acceso,nivel_acceso) VALUES (1196,'LICENCIATURA','melissaitzel.alatorregomez','111223','TOMAR DEL SND','ALATORRE GOMEZ MELISSA ITZEL','ANIMACION DIGITAL Y VIDEOJUEGOS','7mo','FEMENINO','ACTIVO','',0,0,'','ALUMNO');</v>
      </c>
    </row>
    <row r="198" spans="1:12" ht="130.5" x14ac:dyDescent="0.35">
      <c r="A198" s="7">
        <v>1197</v>
      </c>
      <c r="B198" s="6" t="s">
        <v>5</v>
      </c>
      <c r="C198" t="s">
        <v>203</v>
      </c>
      <c r="D198" s="7" t="s">
        <v>775</v>
      </c>
      <c r="E198" s="7" t="s">
        <v>1149</v>
      </c>
      <c r="F198" t="s">
        <v>1347</v>
      </c>
      <c r="G198" s="7" t="s">
        <v>1726</v>
      </c>
      <c r="H198" t="s">
        <v>1738</v>
      </c>
      <c r="I198" t="s">
        <v>1744</v>
      </c>
      <c r="J198" t="s">
        <v>1786</v>
      </c>
      <c r="K198" s="2" t="str">
        <f t="shared" si="7"/>
        <v>1197,'LICENCIATURA','melissaitzel.silvamartinez','111225','TOMAR DEL SND','SILVA MARTINEZ MELISSA ITZEL','PSICOLOGIA','7mo','FEMENINO','ACTIVO','',0,0,'','ALUMNO'</v>
      </c>
      <c r="L198" s="10" t="str">
        <f t="shared" si="6"/>
        <v>INSERT INTO participantes (id,nivel,correo,matricula,clave,nombre,carrera,grado,sexo,situacion,evaluados,num_evaluados,total_evaluaciones,ultimo_acceso,nivel_acceso) VALUES (1197,'LICENCIATURA','melissaitzel.silvamartinez','111225','TOMAR DEL SND','SILVA MARTINEZ MELISSA ITZEL','PSICOLOGIA','7mo','FEMENINO','ACTIVO','',0,0,'','ALUMNO');</v>
      </c>
    </row>
    <row r="199" spans="1:12" ht="130.5" x14ac:dyDescent="0.35">
      <c r="A199" s="7">
        <v>1198</v>
      </c>
      <c r="B199" s="6" t="s">
        <v>5</v>
      </c>
      <c r="C199" t="s">
        <v>204</v>
      </c>
      <c r="D199" s="7" t="s">
        <v>776</v>
      </c>
      <c r="E199" s="7" t="s">
        <v>1149</v>
      </c>
      <c r="F199" t="s">
        <v>1348</v>
      </c>
      <c r="G199" s="7" t="s">
        <v>1727</v>
      </c>
      <c r="H199" t="s">
        <v>1738</v>
      </c>
      <c r="I199" t="s">
        <v>1743</v>
      </c>
      <c r="J199" t="s">
        <v>1786</v>
      </c>
      <c r="K199" s="2" t="str">
        <f t="shared" si="7"/>
        <v>1198,'LICENCIATURA','sebastianemiliano.apontenavarro','111226','TOMAR DEL SND','APONTE NAVARRO SEBASTIAN EMILIANO','ADMINISTRACION Y DIRECCION DE NEGOCIOS','7mo','MASCULINO','ACTIVO','',0,0,'','ALUMNO'</v>
      </c>
      <c r="L199" s="10" t="str">
        <f t="shared" si="6"/>
        <v>INSERT INTO participantes (id,nivel,correo,matricula,clave,nombre,carrera,grado,sexo,situacion,evaluados,num_evaluados,total_evaluaciones,ultimo_acceso,nivel_acceso) VALUES (1198,'LICENCIATURA','sebastianemiliano.apontenavarro','111226','TOMAR DEL SND','APONTE NAVARRO SEBASTIAN EMILIANO','ADMINISTRACION Y DIRECCION DE NEGOCIOS','7mo','MASCULINO','ACTIVO','',0,0,'','ALUMNO');</v>
      </c>
    </row>
    <row r="200" spans="1:12" ht="130.5" x14ac:dyDescent="0.35">
      <c r="A200" s="7">
        <v>1199</v>
      </c>
      <c r="B200" s="6" t="s">
        <v>5</v>
      </c>
      <c r="C200" t="s">
        <v>205</v>
      </c>
      <c r="D200" s="7" t="s">
        <v>777</v>
      </c>
      <c r="E200" s="7" t="s">
        <v>1149</v>
      </c>
      <c r="F200" t="s">
        <v>1349</v>
      </c>
      <c r="G200" s="7" t="s">
        <v>1729</v>
      </c>
      <c r="H200" t="s">
        <v>1738</v>
      </c>
      <c r="I200" t="s">
        <v>1744</v>
      </c>
      <c r="J200" t="s">
        <v>1786</v>
      </c>
      <c r="K200" s="2" t="str">
        <f t="shared" si="7"/>
        <v>1199,'LICENCIATURA','michelle.ruizvalenzuela','111228','TOMAR DEL SND','RUIZ VALENZUELA MICHELLE','ARQUITECTURA','7mo','FEMENINO','ACTIVO','',0,0,'','ALUMNO'</v>
      </c>
      <c r="L200" s="10" t="str">
        <f t="shared" si="6"/>
        <v>INSERT INTO participantes (id,nivel,correo,matricula,clave,nombre,carrera,grado,sexo,situacion,evaluados,num_evaluados,total_evaluaciones,ultimo_acceso,nivel_acceso) VALUES (1199,'LICENCIATURA','michelle.ruizvalenzuela','111228','TOMAR DEL SND','RUIZ VALENZUELA MICHELLE','ARQUITECTURA','7mo','FEMENINO','ACTIVO','',0,0,'','ALUMNO');</v>
      </c>
    </row>
    <row r="201" spans="1:12" ht="130.5" x14ac:dyDescent="0.35">
      <c r="A201" s="7">
        <v>1200</v>
      </c>
      <c r="B201" s="6" t="s">
        <v>5</v>
      </c>
      <c r="C201" t="s">
        <v>206</v>
      </c>
      <c r="D201" s="7" t="s">
        <v>778</v>
      </c>
      <c r="E201" s="7" t="s">
        <v>1149</v>
      </c>
      <c r="F201" t="s">
        <v>1350</v>
      </c>
      <c r="G201" s="7" t="s">
        <v>1731</v>
      </c>
      <c r="H201" t="s">
        <v>1738</v>
      </c>
      <c r="I201" t="s">
        <v>1743</v>
      </c>
      <c r="J201" t="s">
        <v>1786</v>
      </c>
      <c r="K201" s="2" t="str">
        <f t="shared" si="7"/>
        <v>1200,'LICENCIATURA','santiagorene.mejiadelarosa','111236','TOMAR DEL SND','MEJIA DE LA ROSA SANTIAGO RENE','INGENIERÍA AUTOMOTRIZ','7mo','MASCULINO','ACTIVO','',0,0,'','ALUMNO'</v>
      </c>
      <c r="L201" s="10" t="str">
        <f t="shared" si="6"/>
        <v>INSERT INTO participantes (id,nivel,correo,matricula,clave,nombre,carrera,grado,sexo,situacion,evaluados,num_evaluados,total_evaluaciones,ultimo_acceso,nivel_acceso) VALUES (1200,'LICENCIATURA','santiagorene.mejiadelarosa','111236','TOMAR DEL SND','MEJIA DE LA ROSA SANTIAGO RENE','INGENIERÍA AUTOMOTRIZ','7mo','MASCULINO','ACTIVO','',0,0,'','ALUMNO');</v>
      </c>
    </row>
    <row r="202" spans="1:12" ht="130.5" x14ac:dyDescent="0.35">
      <c r="A202" s="7">
        <v>1201</v>
      </c>
      <c r="B202" s="6" t="s">
        <v>5</v>
      </c>
      <c r="C202" t="s">
        <v>207</v>
      </c>
      <c r="D202" s="7" t="s">
        <v>779</v>
      </c>
      <c r="E202" s="7" t="s">
        <v>1149</v>
      </c>
      <c r="F202" t="s">
        <v>1351</v>
      </c>
      <c r="G202" s="7" t="s">
        <v>1729</v>
      </c>
      <c r="H202" t="s">
        <v>1738</v>
      </c>
      <c r="I202" t="s">
        <v>1743</v>
      </c>
      <c r="J202" t="s">
        <v>1786</v>
      </c>
      <c r="K202" s="2" t="str">
        <f t="shared" si="7"/>
        <v>1201,'LICENCIATURA','angelguillermo.vegarodriguez','111237','TOMAR DEL SND','VEGA RODRIGUEZ ANGEL GUILLERMO','ARQUITECTURA','7mo','MASCULINO','ACTIVO','',0,0,'','ALUMNO'</v>
      </c>
      <c r="L202" s="10" t="str">
        <f t="shared" si="6"/>
        <v>INSERT INTO participantes (id,nivel,correo,matricula,clave,nombre,carrera,grado,sexo,situacion,evaluados,num_evaluados,total_evaluaciones,ultimo_acceso,nivel_acceso) VALUES (1201,'LICENCIATURA','angelguillermo.vegarodriguez','111237','TOMAR DEL SND','VEGA RODRIGUEZ ANGEL GUILLERMO','ARQUITECTURA','7mo','MASCULINO','ACTIVO','',0,0,'','ALUMNO');</v>
      </c>
    </row>
    <row r="203" spans="1:12" ht="130.5" x14ac:dyDescent="0.35">
      <c r="A203" s="7">
        <v>1202</v>
      </c>
      <c r="B203" s="6" t="s">
        <v>5</v>
      </c>
      <c r="C203" t="s">
        <v>208</v>
      </c>
      <c r="D203" s="7" t="s">
        <v>780</v>
      </c>
      <c r="E203" s="7" t="s">
        <v>1149</v>
      </c>
      <c r="F203" t="s">
        <v>1352</v>
      </c>
      <c r="G203" s="7" t="s">
        <v>1729</v>
      </c>
      <c r="H203" t="s">
        <v>1738</v>
      </c>
      <c r="I203" t="s">
        <v>1744</v>
      </c>
      <c r="J203" t="s">
        <v>1786</v>
      </c>
      <c r="K203" s="2" t="str">
        <f t="shared" si="7"/>
        <v>1202,'LICENCIATURA','valeria.alejogonzalez','111238','TOMAR DEL SND','ALEJO GONZALEZ VALERIA','ARQUITECTURA','7mo','FEMENINO','ACTIVO','',0,0,'','ALUMNO'</v>
      </c>
      <c r="L203" s="10" t="str">
        <f t="shared" si="6"/>
        <v>INSERT INTO participantes (id,nivel,correo,matricula,clave,nombre,carrera,grado,sexo,situacion,evaluados,num_evaluados,total_evaluaciones,ultimo_acceso,nivel_acceso) VALUES (1202,'LICENCIATURA','valeria.alejogonzalez','111238','TOMAR DEL SND','ALEJO GONZALEZ VALERIA','ARQUITECTURA','7mo','FEMENINO','ACTIVO','',0,0,'','ALUMNO');</v>
      </c>
    </row>
    <row r="204" spans="1:12" ht="130.5" x14ac:dyDescent="0.35">
      <c r="A204" s="7">
        <v>1203</v>
      </c>
      <c r="B204" s="6" t="s">
        <v>5</v>
      </c>
      <c r="C204" t="s">
        <v>209</v>
      </c>
      <c r="D204" s="7" t="s">
        <v>781</v>
      </c>
      <c r="E204" s="7" t="s">
        <v>1149</v>
      </c>
      <c r="F204" t="s">
        <v>1353</v>
      </c>
      <c r="G204" s="7" t="s">
        <v>1726</v>
      </c>
      <c r="H204" t="s">
        <v>1738</v>
      </c>
      <c r="I204" t="s">
        <v>1744</v>
      </c>
      <c r="J204" t="s">
        <v>1786</v>
      </c>
      <c r="K204" s="2" t="str">
        <f t="shared" si="7"/>
        <v>1203,'LICENCIATURA','sarahi.bajoperez','111250','TOMAR DEL SND','BAJO PEREZ SARAHI','PSICOLOGIA','7mo','FEMENINO','ACTIVO','',0,0,'','ALUMNO'</v>
      </c>
      <c r="L204" s="10" t="str">
        <f t="shared" si="6"/>
        <v>INSERT INTO participantes (id,nivel,correo,matricula,clave,nombre,carrera,grado,sexo,situacion,evaluados,num_evaluados,total_evaluaciones,ultimo_acceso,nivel_acceso) VALUES (1203,'LICENCIATURA','sarahi.bajoperez','111250','TOMAR DEL SND','BAJO PEREZ SARAHI','PSICOLOGIA','7mo','FEMENINO','ACTIVO','',0,0,'','ALUMNO');</v>
      </c>
    </row>
    <row r="205" spans="1:12" ht="130.5" x14ac:dyDescent="0.35">
      <c r="A205" s="7">
        <v>1204</v>
      </c>
      <c r="B205" s="6" t="s">
        <v>5</v>
      </c>
      <c r="C205" t="s">
        <v>210</v>
      </c>
      <c r="D205" s="7" t="s">
        <v>782</v>
      </c>
      <c r="E205" s="7" t="s">
        <v>1149</v>
      </c>
      <c r="F205" t="s">
        <v>1354</v>
      </c>
      <c r="G205" s="7" t="s">
        <v>1730</v>
      </c>
      <c r="H205" t="s">
        <v>1738</v>
      </c>
      <c r="I205" t="s">
        <v>1744</v>
      </c>
      <c r="J205" t="s">
        <v>1786</v>
      </c>
      <c r="K205" s="2" t="str">
        <f t="shared" si="7"/>
        <v>1204,'LICENCIATURA','marisol.guzmanmoreno','111251','TOMAR DEL SND','GUZMAN MORENO MARISOL','ANIMACION DIGITAL Y VIDEOJUEGOS','7mo','FEMENINO','ACTIVO','',0,0,'','ALUMNO'</v>
      </c>
      <c r="L205" s="10" t="str">
        <f t="shared" si="6"/>
        <v>INSERT INTO participantes (id,nivel,correo,matricula,clave,nombre,carrera,grado,sexo,situacion,evaluados,num_evaluados,total_evaluaciones,ultimo_acceso,nivel_acceso) VALUES (1204,'LICENCIATURA','marisol.guzmanmoreno','111251','TOMAR DEL SND','GUZMAN MORENO MARISOL','ANIMACION DIGITAL Y VIDEOJUEGOS','7mo','FEMENINO','ACTIVO','',0,0,'','ALUMNO');</v>
      </c>
    </row>
    <row r="206" spans="1:12" ht="130.5" x14ac:dyDescent="0.35">
      <c r="A206" s="7">
        <v>1205</v>
      </c>
      <c r="B206" s="6" t="s">
        <v>5</v>
      </c>
      <c r="C206" t="s">
        <v>211</v>
      </c>
      <c r="D206" s="7" t="s">
        <v>783</v>
      </c>
      <c r="E206" s="7" t="s">
        <v>1149</v>
      </c>
      <c r="F206" t="s">
        <v>1355</v>
      </c>
      <c r="G206" s="7" t="s">
        <v>1724</v>
      </c>
      <c r="H206" t="s">
        <v>1738</v>
      </c>
      <c r="I206" t="s">
        <v>1744</v>
      </c>
      <c r="J206" t="s">
        <v>1786</v>
      </c>
      <c r="K206" s="2" t="str">
        <f t="shared" si="7"/>
        <v>1205,'LICENCIATURA','andreapaola.rodriguezvega','111276','TOMAR DEL SND','RODRIGUEZ VEGA ANDREA PAOLA','NUTRICION Y GASTRONOMIA','7mo','FEMENINO','ACTIVO','',0,0,'','ALUMNO'</v>
      </c>
      <c r="L206" s="10" t="str">
        <f t="shared" si="6"/>
        <v>INSERT INTO participantes (id,nivel,correo,matricula,clave,nombre,carrera,grado,sexo,situacion,evaluados,num_evaluados,total_evaluaciones,ultimo_acceso,nivel_acceso) VALUES (1205,'LICENCIATURA','andreapaola.rodriguezvega','111276','TOMAR DEL SND','RODRIGUEZ VEGA ANDREA PAOLA','NUTRICION Y GASTRONOMIA','7mo','FEMENINO','ACTIVO','',0,0,'','ALUMNO');</v>
      </c>
    </row>
    <row r="207" spans="1:12" ht="130.5" x14ac:dyDescent="0.35">
      <c r="A207" s="7">
        <v>1206</v>
      </c>
      <c r="B207" s="6" t="s">
        <v>5</v>
      </c>
      <c r="C207" t="s">
        <v>212</v>
      </c>
      <c r="D207" s="7" t="s">
        <v>784</v>
      </c>
      <c r="E207" s="7" t="s">
        <v>1149</v>
      </c>
      <c r="F207" t="s">
        <v>1356</v>
      </c>
      <c r="G207" s="7" t="s">
        <v>1729</v>
      </c>
      <c r="H207" t="s">
        <v>1737</v>
      </c>
      <c r="I207" t="s">
        <v>1744</v>
      </c>
      <c r="J207" t="s">
        <v>1786</v>
      </c>
      <c r="K207" s="2" t="str">
        <f t="shared" si="7"/>
        <v>1206,'LICENCIATURA','taniafernanda.riverarangel','111311','TOMAR DEL SND','RIVERA RANGEL TANIA FERNANDA','ARQUITECTURA','5to','FEMENINO','ACTIVO','',0,0,'','ALUMNO'</v>
      </c>
      <c r="L207" s="10" t="str">
        <f t="shared" si="6"/>
        <v>INSERT INTO participantes (id,nivel,correo,matricula,clave,nombre,carrera,grado,sexo,situacion,evaluados,num_evaluados,total_evaluaciones,ultimo_acceso,nivel_acceso) VALUES (1206,'LICENCIATURA','taniafernanda.riverarangel','111311','TOMAR DEL SND','RIVERA RANGEL TANIA FERNANDA','ARQUITECTURA','5to','FEMENINO','ACTIVO','',0,0,'','ALUMNO');</v>
      </c>
    </row>
    <row r="208" spans="1:12" ht="130.5" x14ac:dyDescent="0.35">
      <c r="A208" s="7">
        <v>1207</v>
      </c>
      <c r="B208" s="6" t="s">
        <v>5</v>
      </c>
      <c r="C208" t="s">
        <v>213</v>
      </c>
      <c r="D208" s="7" t="s">
        <v>785</v>
      </c>
      <c r="E208" s="7" t="s">
        <v>1149</v>
      </c>
      <c r="F208" t="s">
        <v>1357</v>
      </c>
      <c r="G208" s="7" t="s">
        <v>1731</v>
      </c>
      <c r="H208" t="s">
        <v>1738</v>
      </c>
      <c r="I208" t="s">
        <v>1743</v>
      </c>
      <c r="J208" t="s">
        <v>1786</v>
      </c>
      <c r="K208" s="2" t="str">
        <f t="shared" si="7"/>
        <v>1207,'LICENCIATURA','hectororlando.valdiviaanguiano','111326','TOMAR DEL SND','VALDIVIA ANGUIANO HECTOR ORLANDO','INGENIERÍA AUTOMOTRIZ','7mo','MASCULINO','ACTIVO','',0,0,'','ALUMNO'</v>
      </c>
      <c r="L208" s="10" t="str">
        <f t="shared" si="6"/>
        <v>INSERT INTO participantes (id,nivel,correo,matricula,clave,nombre,carrera,grado,sexo,situacion,evaluados,num_evaluados,total_evaluaciones,ultimo_acceso,nivel_acceso) VALUES (1207,'LICENCIATURA','hectororlando.valdiviaanguiano','111326','TOMAR DEL SND','VALDIVIA ANGUIANO HECTOR ORLANDO','INGENIERÍA AUTOMOTRIZ','7mo','MASCULINO','ACTIVO','',0,0,'','ALUMNO');</v>
      </c>
    </row>
    <row r="209" spans="1:12" ht="130.5" x14ac:dyDescent="0.35">
      <c r="A209" s="7">
        <v>1208</v>
      </c>
      <c r="B209" s="6" t="s">
        <v>5</v>
      </c>
      <c r="C209" t="s">
        <v>214</v>
      </c>
      <c r="D209" s="7" t="s">
        <v>786</v>
      </c>
      <c r="E209" s="7" t="s">
        <v>1149</v>
      </c>
      <c r="F209" t="s">
        <v>1358</v>
      </c>
      <c r="G209" s="7" t="s">
        <v>1729</v>
      </c>
      <c r="H209" t="s">
        <v>1738</v>
      </c>
      <c r="I209" t="s">
        <v>1744</v>
      </c>
      <c r="J209" t="s">
        <v>1786</v>
      </c>
      <c r="K209" s="2" t="str">
        <f t="shared" si="7"/>
        <v>1208,'LICENCIATURA','reginamargarita.arellanobañuelos','111336','TOMAR DEL SND','ARELLANO BAÑUELOS REGINA MARGARITA','ARQUITECTURA','7mo','FEMENINO','ACTIVO','',0,0,'','ALUMNO'</v>
      </c>
      <c r="L209" s="10" t="str">
        <f t="shared" si="6"/>
        <v>INSERT INTO participantes (id,nivel,correo,matricula,clave,nombre,carrera,grado,sexo,situacion,evaluados,num_evaluados,total_evaluaciones,ultimo_acceso,nivel_acceso) VALUES (1208,'LICENCIATURA','reginamargarita.arellanobañuelos','111336','TOMAR DEL SND','ARELLANO BAÑUELOS REGINA MARGARITA','ARQUITECTURA','7mo','FEMENINO','ACTIVO','',0,0,'','ALUMNO');</v>
      </c>
    </row>
    <row r="210" spans="1:12" ht="130.5" x14ac:dyDescent="0.35">
      <c r="A210" s="7">
        <v>1209</v>
      </c>
      <c r="B210" s="6" t="s">
        <v>5</v>
      </c>
      <c r="C210" t="s">
        <v>215</v>
      </c>
      <c r="D210" s="7" t="s">
        <v>787</v>
      </c>
      <c r="E210" s="7" t="s">
        <v>1149</v>
      </c>
      <c r="F210" t="s">
        <v>1359</v>
      </c>
      <c r="G210" s="7" t="s">
        <v>1723</v>
      </c>
      <c r="H210" t="s">
        <v>1738</v>
      </c>
      <c r="I210" t="s">
        <v>1744</v>
      </c>
      <c r="J210" t="s">
        <v>1786</v>
      </c>
      <c r="K210" s="2" t="str">
        <f t="shared" si="7"/>
        <v>1209,'LICENCIATURA','saraagali.cajeroeinung','111366','TOMAR DEL SND','CAJERO EINUNG SARA AGALI','INGENIERIA CIBERNETICA Y EN SISTEMAS COMPUTACIONALES','7mo','FEMENINO','ACTIVO','',0,0,'','ALUMNO'</v>
      </c>
      <c r="L210" s="10" t="str">
        <f t="shared" si="6"/>
        <v>INSERT INTO participantes (id,nivel,correo,matricula,clave,nombre,carrera,grado,sexo,situacion,evaluados,num_evaluados,total_evaluaciones,ultimo_acceso,nivel_acceso) VALUES (1209,'LICENCIATURA','saraagali.cajeroeinung','111366','TOMAR DEL SND','CAJERO EINUNG SARA AGALI','INGENIERIA CIBERNETICA Y EN SISTEMAS COMPUTACIONALES','7mo','FEMENINO','ACTIVO','',0,0,'','ALUMNO');</v>
      </c>
    </row>
    <row r="211" spans="1:12" ht="130.5" x14ac:dyDescent="0.35">
      <c r="A211" s="7">
        <v>1210</v>
      </c>
      <c r="B211" s="6" t="s">
        <v>5</v>
      </c>
      <c r="C211" t="s">
        <v>216</v>
      </c>
      <c r="D211" s="7" t="s">
        <v>788</v>
      </c>
      <c r="E211" s="7" t="s">
        <v>1149</v>
      </c>
      <c r="F211" t="s">
        <v>1360</v>
      </c>
      <c r="G211" s="7" t="s">
        <v>1725</v>
      </c>
      <c r="H211" t="s">
        <v>1737</v>
      </c>
      <c r="I211" t="s">
        <v>1743</v>
      </c>
      <c r="J211" t="s">
        <v>1786</v>
      </c>
      <c r="K211" s="2" t="str">
        <f t="shared" si="7"/>
        <v>1210,'LICENCIATURA','sauldejesus.villaloboscarrillo','111532','TOMAR DEL SND','VILLALOBOS CARRILLO SAUL DE JESUS','INGENIERIA AEROESPACIAL','5to','MASCULINO','ACTIVO','',0,0,'','ALUMNO'</v>
      </c>
      <c r="L211" s="10" t="str">
        <f t="shared" si="6"/>
        <v>INSERT INTO participantes (id,nivel,correo,matricula,clave,nombre,carrera,grado,sexo,situacion,evaluados,num_evaluados,total_evaluaciones,ultimo_acceso,nivel_acceso) VALUES (1210,'LICENCIATURA','sauldejesus.villaloboscarrillo','111532','TOMAR DEL SND','VILLALOBOS CARRILLO SAUL DE JESUS','INGENIERIA AEROESPACIAL','5to','MASCULINO','ACTIVO','',0,0,'','ALUMNO');</v>
      </c>
    </row>
    <row r="212" spans="1:12" ht="130.5" x14ac:dyDescent="0.35">
      <c r="A212" s="7">
        <v>1211</v>
      </c>
      <c r="B212" s="6" t="s">
        <v>5</v>
      </c>
      <c r="C212" t="s">
        <v>217</v>
      </c>
      <c r="D212" s="7" t="s">
        <v>789</v>
      </c>
      <c r="E212" s="7" t="s">
        <v>1149</v>
      </c>
      <c r="F212" t="s">
        <v>1361</v>
      </c>
      <c r="G212" s="7" t="s">
        <v>1726</v>
      </c>
      <c r="H212" t="s">
        <v>1737</v>
      </c>
      <c r="I212" t="s">
        <v>1744</v>
      </c>
      <c r="J212" t="s">
        <v>1786</v>
      </c>
      <c r="K212" s="2" t="str">
        <f t="shared" si="7"/>
        <v>1211,'LICENCIATURA','anavaleria.godinezsanchez','111604','TOMAR DEL SND','GODINEZ SANCHEZ ANA VALERIA','PSICOLOGIA','5to','FEMENINO','ACTIVO','',0,0,'','ALUMNO'</v>
      </c>
      <c r="L212" s="10" t="str">
        <f t="shared" si="6"/>
        <v>INSERT INTO participantes (id,nivel,correo,matricula,clave,nombre,carrera,grado,sexo,situacion,evaluados,num_evaluados,total_evaluaciones,ultimo_acceso,nivel_acceso) VALUES (1211,'LICENCIATURA','anavaleria.godinezsanchez','111604','TOMAR DEL SND','GODINEZ SANCHEZ ANA VALERIA','PSICOLOGIA','5to','FEMENINO','ACTIVO','',0,0,'','ALUMNO');</v>
      </c>
    </row>
    <row r="213" spans="1:12" ht="130.5" x14ac:dyDescent="0.35">
      <c r="A213" s="7">
        <v>1212</v>
      </c>
      <c r="B213" s="6" t="s">
        <v>5</v>
      </c>
      <c r="C213" t="s">
        <v>218</v>
      </c>
      <c r="D213" s="7" t="s">
        <v>790</v>
      </c>
      <c r="E213" s="7" t="s">
        <v>1149</v>
      </c>
      <c r="F213" t="s">
        <v>1362</v>
      </c>
      <c r="G213" s="7" t="s">
        <v>1730</v>
      </c>
      <c r="H213" t="s">
        <v>1737</v>
      </c>
      <c r="I213" t="s">
        <v>1744</v>
      </c>
      <c r="J213" t="s">
        <v>1786</v>
      </c>
      <c r="K213" s="2" t="str">
        <f t="shared" si="7"/>
        <v>1212,'LICENCIATURA','estephany.coldivarflores','111605','TOMAR DEL SND','COLDIVAR FLORES ESTEPHANY','ANIMACION DIGITAL Y VIDEOJUEGOS','5to','FEMENINO','ACTIVO','',0,0,'','ALUMNO'</v>
      </c>
      <c r="L213" s="10" t="str">
        <f t="shared" si="6"/>
        <v>INSERT INTO participantes (id,nivel,correo,matricula,clave,nombre,carrera,grado,sexo,situacion,evaluados,num_evaluados,total_evaluaciones,ultimo_acceso,nivel_acceso) VALUES (1212,'LICENCIATURA','estephany.coldivarflores','111605','TOMAR DEL SND','COLDIVAR FLORES ESTEPHANY','ANIMACION DIGITAL Y VIDEOJUEGOS','5to','FEMENINO','ACTIVO','',0,0,'','ALUMNO');</v>
      </c>
    </row>
    <row r="214" spans="1:12" ht="130.5" x14ac:dyDescent="0.35">
      <c r="A214" s="7">
        <v>1213</v>
      </c>
      <c r="B214" s="6" t="s">
        <v>5</v>
      </c>
      <c r="C214" t="s">
        <v>219</v>
      </c>
      <c r="D214" s="7" t="s">
        <v>791</v>
      </c>
      <c r="E214" s="7" t="s">
        <v>1149</v>
      </c>
      <c r="F214" t="s">
        <v>1363</v>
      </c>
      <c r="G214" s="7" t="s">
        <v>1727</v>
      </c>
      <c r="H214" t="s">
        <v>1737</v>
      </c>
      <c r="I214" t="s">
        <v>1743</v>
      </c>
      <c r="J214" t="s">
        <v>1786</v>
      </c>
      <c r="K214" s="2" t="str">
        <f t="shared" si="7"/>
        <v>1213,'LICENCIATURA','emmanuelsebastian.castrogarcia','111607','TOMAR DEL SND','CASTRO GARCIA EMMANUEL SEBASTIAN','ADMINISTRACION Y DIRECCION DE NEGOCIOS','5to','MASCULINO','ACTIVO','',0,0,'','ALUMNO'</v>
      </c>
      <c r="L214" s="10" t="str">
        <f t="shared" si="6"/>
        <v>INSERT INTO participantes (id,nivel,correo,matricula,clave,nombre,carrera,grado,sexo,situacion,evaluados,num_evaluados,total_evaluaciones,ultimo_acceso,nivel_acceso) VALUES (1213,'LICENCIATURA','emmanuelsebastian.castrogarcia','111607','TOMAR DEL SND','CASTRO GARCIA EMMANUEL SEBASTIAN','ADMINISTRACION Y DIRECCION DE NEGOCIOS','5to','MASCULINO','ACTIVO','',0,0,'','ALUMNO');</v>
      </c>
    </row>
    <row r="215" spans="1:12" ht="130.5" x14ac:dyDescent="0.35">
      <c r="A215" s="7">
        <v>1214</v>
      </c>
      <c r="B215" s="6" t="s">
        <v>5</v>
      </c>
      <c r="C215" t="s">
        <v>220</v>
      </c>
      <c r="D215" s="7" t="s">
        <v>792</v>
      </c>
      <c r="E215" s="7" t="s">
        <v>1149</v>
      </c>
      <c r="F215" t="s">
        <v>1364</v>
      </c>
      <c r="G215" s="7" t="s">
        <v>1727</v>
      </c>
      <c r="H215" t="s">
        <v>1737</v>
      </c>
      <c r="I215" t="s">
        <v>1744</v>
      </c>
      <c r="J215" t="s">
        <v>1786</v>
      </c>
      <c r="K215" s="2" t="str">
        <f t="shared" si="7"/>
        <v>1214,'LICENCIATURA','danaelena.rendondelrio','111608','TOMAR DEL SND','RENDON DEL RIO DANA ELENA','ADMINISTRACION Y DIRECCION DE NEGOCIOS','5to','FEMENINO','ACTIVO','',0,0,'','ALUMNO'</v>
      </c>
      <c r="L215" s="10" t="str">
        <f t="shared" si="6"/>
        <v>INSERT INTO participantes (id,nivel,correo,matricula,clave,nombre,carrera,grado,sexo,situacion,evaluados,num_evaluados,total_evaluaciones,ultimo_acceso,nivel_acceso) VALUES (1214,'LICENCIATURA','danaelena.rendondelrio','111608','TOMAR DEL SND','RENDON DEL RIO DANA ELENA','ADMINISTRACION Y DIRECCION DE NEGOCIOS','5to','FEMENINO','ACTIVO','',0,0,'','ALUMNO');</v>
      </c>
    </row>
    <row r="216" spans="1:12" ht="130.5" x14ac:dyDescent="0.35">
      <c r="A216" s="7">
        <v>1215</v>
      </c>
      <c r="B216" s="6" t="s">
        <v>5</v>
      </c>
      <c r="C216" t="s">
        <v>221</v>
      </c>
      <c r="D216" s="7" t="s">
        <v>793</v>
      </c>
      <c r="E216" s="7" t="s">
        <v>1149</v>
      </c>
      <c r="F216" t="s">
        <v>1365</v>
      </c>
      <c r="G216" s="7" t="s">
        <v>1725</v>
      </c>
      <c r="H216" t="s">
        <v>1737</v>
      </c>
      <c r="I216" t="s">
        <v>1743</v>
      </c>
      <c r="J216" t="s">
        <v>1786</v>
      </c>
      <c r="K216" s="2" t="str">
        <f t="shared" si="7"/>
        <v>1215,'LICENCIATURA','miguel.delgado','111610','TOMAR DEL SND','DELGADO MIGUEL','INGENIERIA AEROESPACIAL','5to','MASCULINO','ACTIVO','',0,0,'','ALUMNO'</v>
      </c>
      <c r="L216" s="10" t="str">
        <f t="shared" si="6"/>
        <v>INSERT INTO participantes (id,nivel,correo,matricula,clave,nombre,carrera,grado,sexo,situacion,evaluados,num_evaluados,total_evaluaciones,ultimo_acceso,nivel_acceso) VALUES (1215,'LICENCIATURA','miguel.delgado','111610','TOMAR DEL SND','DELGADO MIGUEL','INGENIERIA AEROESPACIAL','5to','MASCULINO','ACTIVO','',0,0,'','ALUMNO');</v>
      </c>
    </row>
    <row r="217" spans="1:12" ht="130.5" x14ac:dyDescent="0.35">
      <c r="A217" s="7">
        <v>1216</v>
      </c>
      <c r="B217" s="6" t="s">
        <v>5</v>
      </c>
      <c r="C217" t="s">
        <v>222</v>
      </c>
      <c r="D217" s="7" t="s">
        <v>794</v>
      </c>
      <c r="E217" s="7" t="s">
        <v>1149</v>
      </c>
      <c r="F217" t="s">
        <v>1366</v>
      </c>
      <c r="G217" s="7" t="s">
        <v>1725</v>
      </c>
      <c r="H217" t="s">
        <v>1737</v>
      </c>
      <c r="I217" t="s">
        <v>1743</v>
      </c>
      <c r="J217" t="s">
        <v>1786</v>
      </c>
      <c r="K217" s="2" t="str">
        <f t="shared" si="7"/>
        <v>1216,'LICENCIATURA','javierantonio.mariscalreyes','111613','TOMAR DEL SND','MARISCAL REYES JAVIER ANTONIO','INGENIERIA AEROESPACIAL','5to','MASCULINO','ACTIVO','',0,0,'','ALUMNO'</v>
      </c>
      <c r="L217" s="10" t="str">
        <f t="shared" si="6"/>
        <v>INSERT INTO participantes (id,nivel,correo,matricula,clave,nombre,carrera,grado,sexo,situacion,evaluados,num_evaluados,total_evaluaciones,ultimo_acceso,nivel_acceso) VALUES (1216,'LICENCIATURA','javierantonio.mariscalreyes','111613','TOMAR DEL SND','MARISCAL REYES JAVIER ANTONIO','INGENIERIA AEROESPACIAL','5to','MASCULINO','ACTIVO','',0,0,'','ALUMNO');</v>
      </c>
    </row>
    <row r="218" spans="1:12" ht="130.5" x14ac:dyDescent="0.35">
      <c r="A218" s="7">
        <v>1217</v>
      </c>
      <c r="B218" s="6" t="s">
        <v>5</v>
      </c>
      <c r="C218" t="s">
        <v>223</v>
      </c>
      <c r="D218" s="7" t="s">
        <v>795</v>
      </c>
      <c r="E218" s="7" t="s">
        <v>1149</v>
      </c>
      <c r="F218" t="s">
        <v>1367</v>
      </c>
      <c r="G218" s="7" t="s">
        <v>1725</v>
      </c>
      <c r="H218" t="s">
        <v>1737</v>
      </c>
      <c r="I218" t="s">
        <v>1743</v>
      </c>
      <c r="J218" t="s">
        <v>1786</v>
      </c>
      <c r="K218" s="2" t="str">
        <f t="shared" si="7"/>
        <v>1217,'LICENCIATURA','kevinemmanuel.hernandezquezada','111615','TOMAR DEL SND','HERNANDEZ QUEZADA KEVIN EMMANUEL','INGENIERIA AEROESPACIAL','5to','MASCULINO','ACTIVO','',0,0,'','ALUMNO'</v>
      </c>
      <c r="L218" s="10" t="str">
        <f t="shared" si="6"/>
        <v>INSERT INTO participantes (id,nivel,correo,matricula,clave,nombre,carrera,grado,sexo,situacion,evaluados,num_evaluados,total_evaluaciones,ultimo_acceso,nivel_acceso) VALUES (1217,'LICENCIATURA','kevinemmanuel.hernandezquezada','111615','TOMAR DEL SND','HERNANDEZ QUEZADA KEVIN EMMANUEL','INGENIERIA AEROESPACIAL','5to','MASCULINO','ACTIVO','',0,0,'','ALUMNO');</v>
      </c>
    </row>
    <row r="219" spans="1:12" ht="130.5" x14ac:dyDescent="0.35">
      <c r="A219" s="7">
        <v>1218</v>
      </c>
      <c r="B219" s="6" t="s">
        <v>5</v>
      </c>
      <c r="C219" t="s">
        <v>224</v>
      </c>
      <c r="D219" s="7" t="s">
        <v>796</v>
      </c>
      <c r="E219" s="7" t="s">
        <v>1149</v>
      </c>
      <c r="F219" t="s">
        <v>1368</v>
      </c>
      <c r="G219" s="7" t="s">
        <v>1729</v>
      </c>
      <c r="H219" t="s">
        <v>1737</v>
      </c>
      <c r="I219" t="s">
        <v>1743</v>
      </c>
      <c r="J219" t="s">
        <v>1786</v>
      </c>
      <c r="K219" s="2" t="str">
        <f t="shared" si="7"/>
        <v>1218,'LICENCIATURA','joseemmanuel.becerrilgarcia','111616','TOMAR DEL SND','BECERRIL GARCIA JOSE EMMANUEL','ARQUITECTURA','5to','MASCULINO','ACTIVO','',0,0,'','ALUMNO'</v>
      </c>
      <c r="L219" s="10" t="str">
        <f t="shared" si="6"/>
        <v>INSERT INTO participantes (id,nivel,correo,matricula,clave,nombre,carrera,grado,sexo,situacion,evaluados,num_evaluados,total_evaluaciones,ultimo_acceso,nivel_acceso) VALUES (1218,'LICENCIATURA','joseemmanuel.becerrilgarcia','111616','TOMAR DEL SND','BECERRIL GARCIA JOSE EMMANUEL','ARQUITECTURA','5to','MASCULINO','ACTIVO','',0,0,'','ALUMNO');</v>
      </c>
    </row>
    <row r="220" spans="1:12" ht="130.5" x14ac:dyDescent="0.35">
      <c r="A220" s="7">
        <v>1219</v>
      </c>
      <c r="B220" s="6" t="s">
        <v>5</v>
      </c>
      <c r="C220" t="s">
        <v>225</v>
      </c>
      <c r="D220" s="7" t="s">
        <v>797</v>
      </c>
      <c r="E220" s="7" t="s">
        <v>1149</v>
      </c>
      <c r="F220" t="s">
        <v>1369</v>
      </c>
      <c r="G220" s="7" t="s">
        <v>1729</v>
      </c>
      <c r="H220" t="s">
        <v>1737</v>
      </c>
      <c r="I220" t="s">
        <v>1744</v>
      </c>
      <c r="J220" t="s">
        <v>1786</v>
      </c>
      <c r="K220" s="2" t="str">
        <f t="shared" si="7"/>
        <v>1219,'LICENCIATURA','alejandra.neriflores','111618','TOMAR DEL SND','NERI FLORES ALEJANDRA','ARQUITECTURA','5to','FEMENINO','ACTIVO','',0,0,'','ALUMNO'</v>
      </c>
      <c r="L220" s="10" t="str">
        <f t="shared" si="6"/>
        <v>INSERT INTO participantes (id,nivel,correo,matricula,clave,nombre,carrera,grado,sexo,situacion,evaluados,num_evaluados,total_evaluaciones,ultimo_acceso,nivel_acceso) VALUES (1219,'LICENCIATURA','alejandra.neriflores','111618','TOMAR DEL SND','NERI FLORES ALEJANDRA','ARQUITECTURA','5to','FEMENINO','ACTIVO','',0,0,'','ALUMNO');</v>
      </c>
    </row>
    <row r="221" spans="1:12" ht="130.5" x14ac:dyDescent="0.35">
      <c r="A221" s="7">
        <v>1220</v>
      </c>
      <c r="B221" s="6" t="s">
        <v>5</v>
      </c>
      <c r="C221" t="s">
        <v>226</v>
      </c>
      <c r="D221" s="7" t="s">
        <v>798</v>
      </c>
      <c r="E221" s="7" t="s">
        <v>1149</v>
      </c>
      <c r="F221" t="s">
        <v>1370</v>
      </c>
      <c r="G221" s="7" t="s">
        <v>1729</v>
      </c>
      <c r="H221" t="s">
        <v>1737</v>
      </c>
      <c r="I221" t="s">
        <v>1743</v>
      </c>
      <c r="J221" t="s">
        <v>1786</v>
      </c>
      <c r="K221" s="2" t="str">
        <f t="shared" si="7"/>
        <v>1220,'LICENCIATURA','pablomanuel.ruizgomez','111619','TOMAR DEL SND','RUIZ GOMEZ PABLO MANUEL','ARQUITECTURA','5to','MASCULINO','ACTIVO','',0,0,'','ALUMNO'</v>
      </c>
      <c r="L221" s="10" t="str">
        <f t="shared" si="6"/>
        <v>INSERT INTO participantes (id,nivel,correo,matricula,clave,nombre,carrera,grado,sexo,situacion,evaluados,num_evaluados,total_evaluaciones,ultimo_acceso,nivel_acceso) VALUES (1220,'LICENCIATURA','pablomanuel.ruizgomez','111619','TOMAR DEL SND','RUIZ GOMEZ PABLO MANUEL','ARQUITECTURA','5to','MASCULINO','ACTIVO','',0,0,'','ALUMNO');</v>
      </c>
    </row>
    <row r="222" spans="1:12" ht="130.5" x14ac:dyDescent="0.35">
      <c r="A222" s="7">
        <v>1221</v>
      </c>
      <c r="B222" s="6" t="s">
        <v>5</v>
      </c>
      <c r="C222" t="s">
        <v>227</v>
      </c>
      <c r="D222" s="7" t="s">
        <v>799</v>
      </c>
      <c r="E222" s="7" t="s">
        <v>1149</v>
      </c>
      <c r="F222" t="s">
        <v>1371</v>
      </c>
      <c r="G222" s="7" t="s">
        <v>1730</v>
      </c>
      <c r="H222" t="s">
        <v>1737</v>
      </c>
      <c r="I222" t="s">
        <v>1744</v>
      </c>
      <c r="J222" t="s">
        <v>1786</v>
      </c>
      <c r="K222" s="2" t="str">
        <f t="shared" si="7"/>
        <v>1221,'LICENCIATURA','kiaramaureen.solorzanogarcia','111622','TOMAR DEL SND','SOLORZANO GARCIA KIARA MAUREEN','ANIMACION DIGITAL Y VIDEOJUEGOS','5to','FEMENINO','ACTIVO','',0,0,'','ALUMNO'</v>
      </c>
      <c r="L222" s="10" t="str">
        <f t="shared" si="6"/>
        <v>INSERT INTO participantes (id,nivel,correo,matricula,clave,nombre,carrera,grado,sexo,situacion,evaluados,num_evaluados,total_evaluaciones,ultimo_acceso,nivel_acceso) VALUES (1221,'LICENCIATURA','kiaramaureen.solorzanogarcia','111622','TOMAR DEL SND','SOLORZANO GARCIA KIARA MAUREEN','ANIMACION DIGITAL Y VIDEOJUEGOS','5to','FEMENINO','ACTIVO','',0,0,'','ALUMNO');</v>
      </c>
    </row>
    <row r="223" spans="1:12" ht="130.5" x14ac:dyDescent="0.35">
      <c r="A223" s="7">
        <v>1222</v>
      </c>
      <c r="B223" s="6" t="s">
        <v>5</v>
      </c>
      <c r="C223" t="s">
        <v>228</v>
      </c>
      <c r="D223" s="7" t="s">
        <v>800</v>
      </c>
      <c r="E223" s="7" t="s">
        <v>1149</v>
      </c>
      <c r="F223" t="s">
        <v>1372</v>
      </c>
      <c r="G223" s="7" t="s">
        <v>1731</v>
      </c>
      <c r="H223" t="s">
        <v>1737</v>
      </c>
      <c r="I223" t="s">
        <v>1743</v>
      </c>
      <c r="J223" t="s">
        <v>1786</v>
      </c>
      <c r="K223" s="2" t="str">
        <f t="shared" si="7"/>
        <v>1222,'LICENCIATURA','erickgermain.isidoroquiñones','111624','TOMAR DEL SND','ISIDORO QUIÑONES ERICK GERMAIN','INGENIERÍA AUTOMOTRIZ','5to','MASCULINO','ACTIVO','',0,0,'','ALUMNO'</v>
      </c>
      <c r="L223" s="10" t="str">
        <f t="shared" si="6"/>
        <v>INSERT INTO participantes (id,nivel,correo,matricula,clave,nombre,carrera,grado,sexo,situacion,evaluados,num_evaluados,total_evaluaciones,ultimo_acceso,nivel_acceso) VALUES (1222,'LICENCIATURA','erickgermain.isidoroquiñones','111624','TOMAR DEL SND','ISIDORO QUIÑONES ERICK GERMAIN','INGENIERÍA AUTOMOTRIZ','5to','MASCULINO','ACTIVO','',0,0,'','ALUMNO');</v>
      </c>
    </row>
    <row r="224" spans="1:12" ht="130.5" x14ac:dyDescent="0.35">
      <c r="A224" s="7">
        <v>1223</v>
      </c>
      <c r="B224" s="6" t="s">
        <v>5</v>
      </c>
      <c r="C224" t="s">
        <v>229</v>
      </c>
      <c r="D224" s="7" t="s">
        <v>801</v>
      </c>
      <c r="E224" s="7" t="s">
        <v>1149</v>
      </c>
      <c r="F224" t="s">
        <v>1373</v>
      </c>
      <c r="G224" s="7" t="s">
        <v>1731</v>
      </c>
      <c r="H224" t="s">
        <v>1737</v>
      </c>
      <c r="I224" t="s">
        <v>1744</v>
      </c>
      <c r="J224" t="s">
        <v>1786</v>
      </c>
      <c r="K224" s="2" t="str">
        <f t="shared" si="7"/>
        <v>1223,'LICENCIATURA','anasofia.fierrosluna','111625','TOMAR DEL SND','FIERROS LUNA ANA SOFIA','INGENIERÍA AUTOMOTRIZ','5to','FEMENINO','ACTIVO','',0,0,'','ALUMNO'</v>
      </c>
      <c r="L224" s="10" t="str">
        <f t="shared" si="6"/>
        <v>INSERT INTO participantes (id,nivel,correo,matricula,clave,nombre,carrera,grado,sexo,situacion,evaluados,num_evaluados,total_evaluaciones,ultimo_acceso,nivel_acceso) VALUES (1223,'LICENCIATURA','anasofia.fierrosluna','111625','TOMAR DEL SND','FIERROS LUNA ANA SOFIA','INGENIERÍA AUTOMOTRIZ','5to','FEMENINO','ACTIVO','',0,0,'','ALUMNO');</v>
      </c>
    </row>
    <row r="225" spans="1:12" ht="130.5" x14ac:dyDescent="0.35">
      <c r="A225" s="7">
        <v>1224</v>
      </c>
      <c r="B225" s="6" t="s">
        <v>5</v>
      </c>
      <c r="C225" t="s">
        <v>230</v>
      </c>
      <c r="D225" s="7" t="s">
        <v>802</v>
      </c>
      <c r="E225" s="7" t="s">
        <v>1149</v>
      </c>
      <c r="F225" t="s">
        <v>1374</v>
      </c>
      <c r="G225" s="7" t="s">
        <v>1731</v>
      </c>
      <c r="H225" t="s">
        <v>1737</v>
      </c>
      <c r="I225" t="s">
        <v>1743</v>
      </c>
      <c r="J225" t="s">
        <v>1786</v>
      </c>
      <c r="K225" s="2" t="str">
        <f t="shared" si="7"/>
        <v>1224,'LICENCIATURA','fabian.amezcuacastellanos','111626','TOMAR DEL SND','AMEZCUA CASTELLANOS FABIAN','INGENIERÍA AUTOMOTRIZ','5to','MASCULINO','ACTIVO','',0,0,'','ALUMNO'</v>
      </c>
      <c r="L225" s="10" t="str">
        <f t="shared" si="6"/>
        <v>INSERT INTO participantes (id,nivel,correo,matricula,clave,nombre,carrera,grado,sexo,situacion,evaluados,num_evaluados,total_evaluaciones,ultimo_acceso,nivel_acceso) VALUES (1224,'LICENCIATURA','fabian.amezcuacastellanos','111626','TOMAR DEL SND','AMEZCUA CASTELLANOS FABIAN','INGENIERÍA AUTOMOTRIZ','5to','MASCULINO','ACTIVO','',0,0,'','ALUMNO');</v>
      </c>
    </row>
    <row r="226" spans="1:12" ht="130.5" x14ac:dyDescent="0.35">
      <c r="A226" s="7">
        <v>1225</v>
      </c>
      <c r="B226" s="6" t="s">
        <v>5</v>
      </c>
      <c r="C226" t="s">
        <v>231</v>
      </c>
      <c r="D226" s="7" t="s">
        <v>803</v>
      </c>
      <c r="E226" s="7" t="s">
        <v>1149</v>
      </c>
      <c r="F226" t="s">
        <v>1375</v>
      </c>
      <c r="G226" s="7" t="s">
        <v>1731</v>
      </c>
      <c r="H226" t="s">
        <v>1737</v>
      </c>
      <c r="I226" t="s">
        <v>1743</v>
      </c>
      <c r="J226" t="s">
        <v>1786</v>
      </c>
      <c r="K226" s="2" t="str">
        <f t="shared" si="7"/>
        <v>1225,'LICENCIATURA','brayanjose.riveraacosta','111627','TOMAR DEL SND','RIVERA ACOSTA BRAYAN JOSE','INGENIERÍA AUTOMOTRIZ','5to','MASCULINO','ACTIVO','',0,0,'','ALUMNO'</v>
      </c>
      <c r="L226" s="10" t="str">
        <f t="shared" si="6"/>
        <v>INSERT INTO participantes (id,nivel,correo,matricula,clave,nombre,carrera,grado,sexo,situacion,evaluados,num_evaluados,total_evaluaciones,ultimo_acceso,nivel_acceso) VALUES (1225,'LICENCIATURA','brayanjose.riveraacosta','111627','TOMAR DEL SND','RIVERA ACOSTA BRAYAN JOSE','INGENIERÍA AUTOMOTRIZ','5to','MASCULINO','ACTIVO','',0,0,'','ALUMNO');</v>
      </c>
    </row>
    <row r="227" spans="1:12" ht="130.5" x14ac:dyDescent="0.35">
      <c r="A227" s="7">
        <v>1226</v>
      </c>
      <c r="B227" s="6" t="s">
        <v>5</v>
      </c>
      <c r="C227" t="s">
        <v>232</v>
      </c>
      <c r="D227" s="7" t="s">
        <v>804</v>
      </c>
      <c r="E227" s="7" t="s">
        <v>1149</v>
      </c>
      <c r="F227" t="s">
        <v>1376</v>
      </c>
      <c r="G227" s="7" t="s">
        <v>1731</v>
      </c>
      <c r="H227" t="s">
        <v>1737</v>
      </c>
      <c r="I227" t="s">
        <v>1744</v>
      </c>
      <c r="J227" t="s">
        <v>1786</v>
      </c>
      <c r="K227" s="2" t="str">
        <f t="shared" si="7"/>
        <v>1226,'LICENCIATURA','zarasofia.montañoambrocio','111628','TOMAR DEL SND','MONTAÑO AMBROCIO ZARA SOFIA','INGENIERÍA AUTOMOTRIZ','5to','FEMENINO','ACTIVO','',0,0,'','ALUMNO'</v>
      </c>
      <c r="L227" s="10" t="str">
        <f t="shared" si="6"/>
        <v>INSERT INTO participantes (id,nivel,correo,matricula,clave,nombre,carrera,grado,sexo,situacion,evaluados,num_evaluados,total_evaluaciones,ultimo_acceso,nivel_acceso) VALUES (1226,'LICENCIATURA','zarasofia.montañoambrocio','111628','TOMAR DEL SND','MONTAÑO AMBROCIO ZARA SOFIA','INGENIERÍA AUTOMOTRIZ','5to','FEMENINO','ACTIVO','',0,0,'','ALUMNO');</v>
      </c>
    </row>
    <row r="228" spans="1:12" ht="130.5" x14ac:dyDescent="0.35">
      <c r="A228" s="7">
        <v>1227</v>
      </c>
      <c r="B228" s="6" t="s">
        <v>5</v>
      </c>
      <c r="C228" t="s">
        <v>233</v>
      </c>
      <c r="D228" s="7" t="s">
        <v>805</v>
      </c>
      <c r="E228" s="7" t="s">
        <v>1149</v>
      </c>
      <c r="F228" t="s">
        <v>1377</v>
      </c>
      <c r="G228" s="7" t="s">
        <v>1725</v>
      </c>
      <c r="H228" t="s">
        <v>1737</v>
      </c>
      <c r="I228" t="s">
        <v>1744</v>
      </c>
      <c r="J228" t="s">
        <v>1786</v>
      </c>
      <c r="K228" s="2" t="str">
        <f t="shared" si="7"/>
        <v>1227,'LICENCIATURA','marianajoselyne.jassoespinosa','111632','TOMAR DEL SND','JASSO ESPINOSA MARIANA JOSELYNE','INGENIERIA AEROESPACIAL','5to','FEMENINO','ACTIVO','',0,0,'','ALUMNO'</v>
      </c>
      <c r="L228" s="10" t="str">
        <f t="shared" si="6"/>
        <v>INSERT INTO participantes (id,nivel,correo,matricula,clave,nombre,carrera,grado,sexo,situacion,evaluados,num_evaluados,total_evaluaciones,ultimo_acceso,nivel_acceso) VALUES (1227,'LICENCIATURA','marianajoselyne.jassoespinosa','111632','TOMAR DEL SND','JASSO ESPINOSA MARIANA JOSELYNE','INGENIERIA AEROESPACIAL','5to','FEMENINO','ACTIVO','',0,0,'','ALUMNO');</v>
      </c>
    </row>
    <row r="229" spans="1:12" ht="130.5" x14ac:dyDescent="0.35">
      <c r="A229" s="7">
        <v>1228</v>
      </c>
      <c r="B229" s="6" t="s">
        <v>5</v>
      </c>
      <c r="C229" t="s">
        <v>234</v>
      </c>
      <c r="D229" s="7" t="s">
        <v>806</v>
      </c>
      <c r="E229" s="7" t="s">
        <v>1149</v>
      </c>
      <c r="F229" t="s">
        <v>1378</v>
      </c>
      <c r="G229" s="7" t="s">
        <v>1726</v>
      </c>
      <c r="H229" t="s">
        <v>1737</v>
      </c>
      <c r="I229" t="s">
        <v>1744</v>
      </c>
      <c r="J229" t="s">
        <v>1786</v>
      </c>
      <c r="K229" s="2" t="str">
        <f t="shared" si="7"/>
        <v>1228,'LICENCIATURA','blancaleticia.iñiguezoseguera','111636','TOMAR DEL SND','IÑIGUEZ OSEGUERA BLANCA LETICIA','PSICOLOGIA','5to','FEMENINO','ACTIVO','',0,0,'','ALUMNO'</v>
      </c>
      <c r="L229" s="10" t="str">
        <f t="shared" si="6"/>
        <v>INSERT INTO participantes (id,nivel,correo,matricula,clave,nombre,carrera,grado,sexo,situacion,evaluados,num_evaluados,total_evaluaciones,ultimo_acceso,nivel_acceso) VALUES (1228,'LICENCIATURA','blancaleticia.iñiguezoseguera','111636','TOMAR DEL SND','IÑIGUEZ OSEGUERA BLANCA LETICIA','PSICOLOGIA','5to','FEMENINO','ACTIVO','',0,0,'','ALUMNO');</v>
      </c>
    </row>
    <row r="230" spans="1:12" ht="130.5" x14ac:dyDescent="0.35">
      <c r="A230" s="7">
        <v>1229</v>
      </c>
      <c r="B230" s="6" t="s">
        <v>5</v>
      </c>
      <c r="C230" t="s">
        <v>235</v>
      </c>
      <c r="D230" s="7" t="s">
        <v>807</v>
      </c>
      <c r="E230" s="7" t="s">
        <v>1149</v>
      </c>
      <c r="F230" t="s">
        <v>1379</v>
      </c>
      <c r="G230" s="7" t="s">
        <v>1731</v>
      </c>
      <c r="H230" t="s">
        <v>1737</v>
      </c>
      <c r="I230" t="s">
        <v>1743</v>
      </c>
      <c r="J230" t="s">
        <v>1786</v>
      </c>
      <c r="K230" s="2" t="str">
        <f t="shared" si="7"/>
        <v>1229,'LICENCIATURA','joaquinalejandro.valdenebromartinez','111638','TOMAR DEL SND','VALDENEBRO MARTINEZ JOAQUIN ALEJANDRO','INGENIERÍA AUTOMOTRIZ','5to','MASCULINO','ACTIVO','',0,0,'','ALUMNO'</v>
      </c>
      <c r="L230" s="10" t="str">
        <f t="shared" si="6"/>
        <v>INSERT INTO participantes (id,nivel,correo,matricula,clave,nombre,carrera,grado,sexo,situacion,evaluados,num_evaluados,total_evaluaciones,ultimo_acceso,nivel_acceso) VALUES (1229,'LICENCIATURA','joaquinalejandro.valdenebromartinez','111638','TOMAR DEL SND','VALDENEBRO MARTINEZ JOAQUIN ALEJANDRO','INGENIERÍA AUTOMOTRIZ','5to','MASCULINO','ACTIVO','',0,0,'','ALUMNO');</v>
      </c>
    </row>
    <row r="231" spans="1:12" ht="130.5" x14ac:dyDescent="0.35">
      <c r="A231" s="7">
        <v>1230</v>
      </c>
      <c r="B231" s="6" t="s">
        <v>5</v>
      </c>
      <c r="C231" t="s">
        <v>236</v>
      </c>
      <c r="D231" s="7" t="s">
        <v>808</v>
      </c>
      <c r="E231" s="7" t="s">
        <v>1149</v>
      </c>
      <c r="F231" t="s">
        <v>1380</v>
      </c>
      <c r="G231" s="7" t="s">
        <v>1725</v>
      </c>
      <c r="H231" t="s">
        <v>1737</v>
      </c>
      <c r="I231" t="s">
        <v>1743</v>
      </c>
      <c r="J231" t="s">
        <v>1786</v>
      </c>
      <c r="K231" s="2" t="str">
        <f t="shared" si="7"/>
        <v>1230,'LICENCIATURA','luisalejandro.esparzasanchez','111642','TOMAR DEL SND','ESPARZA SANCHEZ LUIS ALEJANDRO','INGENIERIA AEROESPACIAL','5to','MASCULINO','ACTIVO','',0,0,'','ALUMNO'</v>
      </c>
      <c r="L231" s="10" t="str">
        <f t="shared" si="6"/>
        <v>INSERT INTO participantes (id,nivel,correo,matricula,clave,nombre,carrera,grado,sexo,situacion,evaluados,num_evaluados,total_evaluaciones,ultimo_acceso,nivel_acceso) VALUES (1230,'LICENCIATURA','luisalejandro.esparzasanchez','111642','TOMAR DEL SND','ESPARZA SANCHEZ LUIS ALEJANDRO','INGENIERIA AEROESPACIAL','5to','MASCULINO','ACTIVO','',0,0,'','ALUMNO');</v>
      </c>
    </row>
    <row r="232" spans="1:12" ht="130.5" x14ac:dyDescent="0.35">
      <c r="A232" s="7">
        <v>1231</v>
      </c>
      <c r="B232" s="6" t="s">
        <v>5</v>
      </c>
      <c r="C232" t="s">
        <v>237</v>
      </c>
      <c r="D232" s="7" t="s">
        <v>809</v>
      </c>
      <c r="E232" s="7" t="s">
        <v>1149</v>
      </c>
      <c r="F232" t="s">
        <v>1381</v>
      </c>
      <c r="G232" s="7" t="s">
        <v>1726</v>
      </c>
      <c r="H232" t="s">
        <v>1737</v>
      </c>
      <c r="I232" t="s">
        <v>1744</v>
      </c>
      <c r="J232" t="s">
        <v>1786</v>
      </c>
      <c r="K232" s="2" t="str">
        <f t="shared" si="7"/>
        <v>1231,'LICENCIATURA','melanirachel.buenogutierrez','111644','TOMAR DEL SND','BUENO GUTIERREZ MELANI RACHEL','PSICOLOGIA','5to','FEMENINO','ACTIVO','',0,0,'','ALUMNO'</v>
      </c>
      <c r="L232" s="10" t="str">
        <f t="shared" si="6"/>
        <v>INSERT INTO participantes (id,nivel,correo,matricula,clave,nombre,carrera,grado,sexo,situacion,evaluados,num_evaluados,total_evaluaciones,ultimo_acceso,nivel_acceso) VALUES (1231,'LICENCIATURA','melanirachel.buenogutierrez','111644','TOMAR DEL SND','BUENO GUTIERREZ MELANI RACHEL','PSICOLOGIA','5to','FEMENINO','ACTIVO','',0,0,'','ALUMNO');</v>
      </c>
    </row>
    <row r="233" spans="1:12" ht="130.5" x14ac:dyDescent="0.35">
      <c r="A233" s="7">
        <v>1232</v>
      </c>
      <c r="B233" s="6" t="s">
        <v>5</v>
      </c>
      <c r="C233" t="s">
        <v>238</v>
      </c>
      <c r="D233" s="7" t="s">
        <v>810</v>
      </c>
      <c r="E233" s="7" t="s">
        <v>1149</v>
      </c>
      <c r="F233" t="s">
        <v>1382</v>
      </c>
      <c r="G233" s="7" t="s">
        <v>1727</v>
      </c>
      <c r="H233" t="s">
        <v>1737</v>
      </c>
      <c r="I233" t="s">
        <v>1743</v>
      </c>
      <c r="J233" t="s">
        <v>1786</v>
      </c>
      <c r="K233" s="2" t="str">
        <f t="shared" si="7"/>
        <v>1232,'LICENCIATURA','juancarlos.castroanzoategui','111645','TOMAR DEL SND','CASTRO ANZOATEGUI JUAN CARLOS','ADMINISTRACION Y DIRECCION DE NEGOCIOS','5to','MASCULINO','ACTIVO','',0,0,'','ALUMNO'</v>
      </c>
      <c r="L233" s="10" t="str">
        <f t="shared" si="6"/>
        <v>INSERT INTO participantes (id,nivel,correo,matricula,clave,nombre,carrera,grado,sexo,situacion,evaluados,num_evaluados,total_evaluaciones,ultimo_acceso,nivel_acceso) VALUES (1232,'LICENCIATURA','juancarlos.castroanzoategui','111645','TOMAR DEL SND','CASTRO ANZOATEGUI JUAN CARLOS','ADMINISTRACION Y DIRECCION DE NEGOCIOS','5to','MASCULINO','ACTIVO','',0,0,'','ALUMNO');</v>
      </c>
    </row>
    <row r="234" spans="1:12" ht="130.5" x14ac:dyDescent="0.35">
      <c r="A234" s="7">
        <v>1233</v>
      </c>
      <c r="B234" s="6" t="s">
        <v>5</v>
      </c>
      <c r="C234" t="s">
        <v>239</v>
      </c>
      <c r="D234" s="7" t="s">
        <v>811</v>
      </c>
      <c r="E234" s="7" t="s">
        <v>1149</v>
      </c>
      <c r="F234" t="s">
        <v>1383</v>
      </c>
      <c r="G234" s="7" t="s">
        <v>1734</v>
      </c>
      <c r="H234" t="s">
        <v>1737</v>
      </c>
      <c r="I234" t="s">
        <v>1743</v>
      </c>
      <c r="J234" t="s">
        <v>1786</v>
      </c>
      <c r="K234" s="2" t="str">
        <f t="shared" si="7"/>
        <v>1233,'LICENCIATURA','diegocristan.sanchezvazquez','111646','TOMAR DEL SND','SANCHEZ VAZQUEZ DIEGO CRISTAN','INGENIERÍA EN INTELIGENCIA ARTIFICIAL','5to','MASCULINO','ACTIVO','',0,0,'','ALUMNO'</v>
      </c>
      <c r="L234" s="10" t="str">
        <f t="shared" si="6"/>
        <v>INSERT INTO participantes (id,nivel,correo,matricula,clave,nombre,carrera,grado,sexo,situacion,evaluados,num_evaluados,total_evaluaciones,ultimo_acceso,nivel_acceso) VALUES (1233,'LICENCIATURA','diegocristan.sanchezvazquez','111646','TOMAR DEL SND','SANCHEZ VAZQUEZ DIEGO CRISTAN','INGENIERÍA EN INTELIGENCIA ARTIFICIAL','5to','MASCULINO','ACTIVO','',0,0,'','ALUMNO');</v>
      </c>
    </row>
    <row r="235" spans="1:12" ht="130.5" x14ac:dyDescent="0.35">
      <c r="A235" s="7">
        <v>1234</v>
      </c>
      <c r="B235" s="6" t="s">
        <v>5</v>
      </c>
      <c r="C235" t="s">
        <v>240</v>
      </c>
      <c r="D235" s="7" t="s">
        <v>812</v>
      </c>
      <c r="E235" s="7" t="s">
        <v>1149</v>
      </c>
      <c r="F235" t="s">
        <v>1384</v>
      </c>
      <c r="G235" s="7" t="s">
        <v>1731</v>
      </c>
      <c r="H235" t="s">
        <v>1737</v>
      </c>
      <c r="I235" t="s">
        <v>1744</v>
      </c>
      <c r="J235" t="s">
        <v>1786</v>
      </c>
      <c r="K235" s="2" t="str">
        <f t="shared" si="7"/>
        <v>1234,'LICENCIATURA','dafnemontserrat.juarezjimenez','111647','TOMAR DEL SND','JUAREZ JIMENEZ DAFNE MONTSERRAT','INGENIERÍA AUTOMOTRIZ','5to','FEMENINO','ACTIVO','',0,0,'','ALUMNO'</v>
      </c>
      <c r="L235" s="10" t="str">
        <f t="shared" si="6"/>
        <v>INSERT INTO participantes (id,nivel,correo,matricula,clave,nombre,carrera,grado,sexo,situacion,evaluados,num_evaluados,total_evaluaciones,ultimo_acceso,nivel_acceso) VALUES (1234,'LICENCIATURA','dafnemontserrat.juarezjimenez','111647','TOMAR DEL SND','JUAREZ JIMENEZ DAFNE MONTSERRAT','INGENIERÍA AUTOMOTRIZ','5to','FEMENINO','ACTIVO','',0,0,'','ALUMNO');</v>
      </c>
    </row>
    <row r="236" spans="1:12" ht="130.5" x14ac:dyDescent="0.35">
      <c r="A236" s="7">
        <v>1235</v>
      </c>
      <c r="B236" s="6" t="s">
        <v>5</v>
      </c>
      <c r="C236" t="s">
        <v>241</v>
      </c>
      <c r="D236" s="7" t="s">
        <v>813</v>
      </c>
      <c r="E236" s="7" t="s">
        <v>1149</v>
      </c>
      <c r="F236" t="s">
        <v>1385</v>
      </c>
      <c r="G236" s="7" t="s">
        <v>1729</v>
      </c>
      <c r="H236" t="s">
        <v>1737</v>
      </c>
      <c r="I236" t="s">
        <v>1744</v>
      </c>
      <c r="J236" t="s">
        <v>1786</v>
      </c>
      <c r="K236" s="2" t="str">
        <f t="shared" si="7"/>
        <v>1235,'LICENCIATURA','mariana.castroanzoategui','111648','TOMAR DEL SND','CASTRO ANZOATEGUI MARIANA','ARQUITECTURA','5to','FEMENINO','ACTIVO','',0,0,'','ALUMNO'</v>
      </c>
      <c r="L236" s="10" t="str">
        <f t="shared" si="6"/>
        <v>INSERT INTO participantes (id,nivel,correo,matricula,clave,nombre,carrera,grado,sexo,situacion,evaluados,num_evaluados,total_evaluaciones,ultimo_acceso,nivel_acceso) VALUES (1235,'LICENCIATURA','mariana.castroanzoategui','111648','TOMAR DEL SND','CASTRO ANZOATEGUI MARIANA','ARQUITECTURA','5to','FEMENINO','ACTIVO','',0,0,'','ALUMNO');</v>
      </c>
    </row>
    <row r="237" spans="1:12" ht="130.5" x14ac:dyDescent="0.35">
      <c r="A237" s="7">
        <v>1236</v>
      </c>
      <c r="B237" s="6" t="s">
        <v>5</v>
      </c>
      <c r="C237" t="s">
        <v>242</v>
      </c>
      <c r="D237" s="7" t="s">
        <v>814</v>
      </c>
      <c r="E237" s="7" t="s">
        <v>1149</v>
      </c>
      <c r="F237" t="s">
        <v>1386</v>
      </c>
      <c r="G237" s="7" t="s">
        <v>1731</v>
      </c>
      <c r="H237" t="s">
        <v>1737</v>
      </c>
      <c r="I237" t="s">
        <v>1743</v>
      </c>
      <c r="J237" t="s">
        <v>1786</v>
      </c>
      <c r="K237" s="2" t="str">
        <f t="shared" si="7"/>
        <v>1236,'LICENCIATURA','juanarmando.floresflores','111650','TOMAR DEL SND','FLORES FLORES JUAN ARMANDO','INGENIERÍA AUTOMOTRIZ','5to','MASCULINO','ACTIVO','',0,0,'','ALUMNO'</v>
      </c>
      <c r="L237" s="10" t="str">
        <f t="shared" si="6"/>
        <v>INSERT INTO participantes (id,nivel,correo,matricula,clave,nombre,carrera,grado,sexo,situacion,evaluados,num_evaluados,total_evaluaciones,ultimo_acceso,nivel_acceso) VALUES (1236,'LICENCIATURA','juanarmando.floresflores','111650','TOMAR DEL SND','FLORES FLORES JUAN ARMANDO','INGENIERÍA AUTOMOTRIZ','5to','MASCULINO','ACTIVO','',0,0,'','ALUMNO');</v>
      </c>
    </row>
    <row r="238" spans="1:12" ht="130.5" x14ac:dyDescent="0.35">
      <c r="A238" s="7">
        <v>1237</v>
      </c>
      <c r="B238" s="6" t="s">
        <v>5</v>
      </c>
      <c r="C238" t="s">
        <v>243</v>
      </c>
      <c r="D238" s="7" t="s">
        <v>815</v>
      </c>
      <c r="E238" s="7" t="s">
        <v>1149</v>
      </c>
      <c r="F238" t="s">
        <v>1387</v>
      </c>
      <c r="G238" s="7" t="s">
        <v>1726</v>
      </c>
      <c r="H238" t="s">
        <v>1737</v>
      </c>
      <c r="I238" t="s">
        <v>1744</v>
      </c>
      <c r="J238" t="s">
        <v>1786</v>
      </c>
      <c r="K238" s="2" t="str">
        <f t="shared" si="7"/>
        <v>1237,'LICENCIATURA','isabella.goribarloza','111654','TOMAR DEL SND','GORIBAR LOZA ISABELLA','PSICOLOGIA','5to','FEMENINO','ACTIVO','',0,0,'','ALUMNO'</v>
      </c>
      <c r="L238" s="10" t="str">
        <f t="shared" si="6"/>
        <v>INSERT INTO participantes (id,nivel,correo,matricula,clave,nombre,carrera,grado,sexo,situacion,evaluados,num_evaluados,total_evaluaciones,ultimo_acceso,nivel_acceso) VALUES (1237,'LICENCIATURA','isabella.goribarloza','111654','TOMAR DEL SND','GORIBAR LOZA ISABELLA','PSICOLOGIA','5to','FEMENINO','ACTIVO','',0,0,'','ALUMNO');</v>
      </c>
    </row>
    <row r="239" spans="1:12" ht="130.5" x14ac:dyDescent="0.35">
      <c r="A239" s="7">
        <v>1238</v>
      </c>
      <c r="B239" s="6" t="s">
        <v>5</v>
      </c>
      <c r="C239" t="s">
        <v>244</v>
      </c>
      <c r="D239" s="7" t="s">
        <v>816</v>
      </c>
      <c r="E239" s="7" t="s">
        <v>1149</v>
      </c>
      <c r="F239" t="s">
        <v>1388</v>
      </c>
      <c r="G239" s="7" t="s">
        <v>1724</v>
      </c>
      <c r="H239" t="s">
        <v>1737</v>
      </c>
      <c r="I239" t="s">
        <v>1743</v>
      </c>
      <c r="J239" t="s">
        <v>1786</v>
      </c>
      <c r="K239" s="2" t="str">
        <f t="shared" si="7"/>
        <v>1238,'LICENCIATURA','fernandadanae.barajasmichel','111655','TOMAR DEL SND','BARAJAS MICHEL FERNANDA DANAE','NUTRICION Y GASTRONOMIA','5to','MASCULINO','ACTIVO','',0,0,'','ALUMNO'</v>
      </c>
      <c r="L239" s="10" t="str">
        <f t="shared" si="6"/>
        <v>INSERT INTO participantes (id,nivel,correo,matricula,clave,nombre,carrera,grado,sexo,situacion,evaluados,num_evaluados,total_evaluaciones,ultimo_acceso,nivel_acceso) VALUES (1238,'LICENCIATURA','fernandadanae.barajasmichel','111655','TOMAR DEL SND','BARAJAS MICHEL FERNANDA DANAE','NUTRICION Y GASTRONOMIA','5to','MASCULINO','ACTIVO','',0,0,'','ALUMNO');</v>
      </c>
    </row>
    <row r="240" spans="1:12" ht="130.5" x14ac:dyDescent="0.35">
      <c r="A240" s="7">
        <v>1239</v>
      </c>
      <c r="B240" s="6" t="s">
        <v>5</v>
      </c>
      <c r="C240" t="s">
        <v>245</v>
      </c>
      <c r="D240" s="7" t="s">
        <v>817</v>
      </c>
      <c r="E240" s="7" t="s">
        <v>1149</v>
      </c>
      <c r="F240" t="s">
        <v>1389</v>
      </c>
      <c r="G240" s="7" t="s">
        <v>1725</v>
      </c>
      <c r="H240" t="s">
        <v>1737</v>
      </c>
      <c r="I240" t="s">
        <v>1743</v>
      </c>
      <c r="J240" t="s">
        <v>1786</v>
      </c>
      <c r="K240" s="2" t="str">
        <f t="shared" si="7"/>
        <v>1239,'LICENCIATURA','arturoemmanuel.castañedahernandez','111656','TOMAR DEL SND','CASTAÑEDA HERNANDEZ ARTURO EMMANUEL','INGENIERIA AEROESPACIAL','5to','MASCULINO','ACTIVO','',0,0,'','ALUMNO'</v>
      </c>
      <c r="L240" s="10" t="str">
        <f t="shared" si="6"/>
        <v>INSERT INTO participantes (id,nivel,correo,matricula,clave,nombre,carrera,grado,sexo,situacion,evaluados,num_evaluados,total_evaluaciones,ultimo_acceso,nivel_acceso) VALUES (1239,'LICENCIATURA','arturoemmanuel.castañedahernandez','111656','TOMAR DEL SND','CASTAÑEDA HERNANDEZ ARTURO EMMANUEL','INGENIERIA AEROESPACIAL','5to','MASCULINO','ACTIVO','',0,0,'','ALUMNO');</v>
      </c>
    </row>
    <row r="241" spans="1:12" ht="130.5" x14ac:dyDescent="0.35">
      <c r="A241" s="7">
        <v>1240</v>
      </c>
      <c r="B241" s="6" t="s">
        <v>5</v>
      </c>
      <c r="C241" t="s">
        <v>246</v>
      </c>
      <c r="D241" s="7" t="s">
        <v>818</v>
      </c>
      <c r="E241" s="7" t="s">
        <v>1149</v>
      </c>
      <c r="F241" t="s">
        <v>1390</v>
      </c>
      <c r="G241" s="7" t="s">
        <v>1731</v>
      </c>
      <c r="H241" t="s">
        <v>1737</v>
      </c>
      <c r="I241" t="s">
        <v>1743</v>
      </c>
      <c r="J241" t="s">
        <v>1786</v>
      </c>
      <c r="K241" s="2" t="str">
        <f t="shared" si="7"/>
        <v>1240,'LICENCIATURA','kevincarlos.sanchezreyes','111658','TOMAR DEL SND','SANCHEZ REYES KEVIN CARLOS','INGENIERÍA AUTOMOTRIZ','5to','MASCULINO','ACTIVO','',0,0,'','ALUMNO'</v>
      </c>
      <c r="L241" s="10" t="str">
        <f t="shared" si="6"/>
        <v>INSERT INTO participantes (id,nivel,correo,matricula,clave,nombre,carrera,grado,sexo,situacion,evaluados,num_evaluados,total_evaluaciones,ultimo_acceso,nivel_acceso) VALUES (1240,'LICENCIATURA','kevincarlos.sanchezreyes','111658','TOMAR DEL SND','SANCHEZ REYES KEVIN CARLOS','INGENIERÍA AUTOMOTRIZ','5to','MASCULINO','ACTIVO','',0,0,'','ALUMNO');</v>
      </c>
    </row>
    <row r="242" spans="1:12" ht="130.5" x14ac:dyDescent="0.35">
      <c r="A242" s="7">
        <v>1241</v>
      </c>
      <c r="B242" s="6" t="s">
        <v>5</v>
      </c>
      <c r="C242" t="s">
        <v>247</v>
      </c>
      <c r="D242" s="7" t="s">
        <v>819</v>
      </c>
      <c r="E242" s="7" t="s">
        <v>1149</v>
      </c>
      <c r="F242" t="s">
        <v>1391</v>
      </c>
      <c r="G242" s="7" t="s">
        <v>1725</v>
      </c>
      <c r="H242" t="s">
        <v>1737</v>
      </c>
      <c r="I242" t="s">
        <v>1743</v>
      </c>
      <c r="J242" t="s">
        <v>1786</v>
      </c>
      <c r="K242" s="2" t="str">
        <f t="shared" si="7"/>
        <v>1241,'LICENCIATURA','roberto.tinocoariceaga','111661','TOMAR DEL SND','TINOCO ARICEAGA ROBERTO','INGENIERIA AEROESPACIAL','5to','MASCULINO','ACTIVO','',0,0,'','ALUMNO'</v>
      </c>
      <c r="L242" s="10" t="str">
        <f t="shared" si="6"/>
        <v>INSERT INTO participantes (id,nivel,correo,matricula,clave,nombre,carrera,grado,sexo,situacion,evaluados,num_evaluados,total_evaluaciones,ultimo_acceso,nivel_acceso) VALUES (1241,'LICENCIATURA','roberto.tinocoariceaga','111661','TOMAR DEL SND','TINOCO ARICEAGA ROBERTO','INGENIERIA AEROESPACIAL','5to','MASCULINO','ACTIVO','',0,0,'','ALUMNO');</v>
      </c>
    </row>
    <row r="243" spans="1:12" ht="130.5" x14ac:dyDescent="0.35">
      <c r="A243" s="7">
        <v>1242</v>
      </c>
      <c r="B243" s="6" t="s">
        <v>5</v>
      </c>
      <c r="C243" t="s">
        <v>248</v>
      </c>
      <c r="D243" s="7" t="s">
        <v>820</v>
      </c>
      <c r="E243" s="7" t="s">
        <v>1149</v>
      </c>
      <c r="F243" t="s">
        <v>1392</v>
      </c>
      <c r="G243" s="7" t="s">
        <v>1725</v>
      </c>
      <c r="H243" t="s">
        <v>1737</v>
      </c>
      <c r="I243" t="s">
        <v>1743</v>
      </c>
      <c r="J243" t="s">
        <v>1786</v>
      </c>
      <c r="K243" s="2" t="str">
        <f t="shared" si="7"/>
        <v>1242,'LICENCIATURA','carlossantiago.perezdiez','111663','TOMAR DEL SND','PEREZ DIEZ CARLOS SANTIAGO','INGENIERIA AEROESPACIAL','5to','MASCULINO','ACTIVO','',0,0,'','ALUMNO'</v>
      </c>
      <c r="L243" s="10" t="str">
        <f t="shared" si="6"/>
        <v>INSERT INTO participantes (id,nivel,correo,matricula,clave,nombre,carrera,grado,sexo,situacion,evaluados,num_evaluados,total_evaluaciones,ultimo_acceso,nivel_acceso) VALUES (1242,'LICENCIATURA','carlossantiago.perezdiez','111663','TOMAR DEL SND','PEREZ DIEZ CARLOS SANTIAGO','INGENIERIA AEROESPACIAL','5to','MASCULINO','ACTIVO','',0,0,'','ALUMNO');</v>
      </c>
    </row>
    <row r="244" spans="1:12" ht="130.5" x14ac:dyDescent="0.35">
      <c r="A244" s="7">
        <v>1243</v>
      </c>
      <c r="B244" s="6" t="s">
        <v>5</v>
      </c>
      <c r="C244" t="s">
        <v>249</v>
      </c>
      <c r="D244" s="7" t="s">
        <v>821</v>
      </c>
      <c r="E244" s="7" t="s">
        <v>1149</v>
      </c>
      <c r="F244" t="s">
        <v>1393</v>
      </c>
      <c r="G244" s="7" t="s">
        <v>1725</v>
      </c>
      <c r="H244" t="s">
        <v>1737</v>
      </c>
      <c r="I244" t="s">
        <v>1744</v>
      </c>
      <c r="J244" t="s">
        <v>1786</v>
      </c>
      <c r="K244" s="2" t="str">
        <f t="shared" si="7"/>
        <v>1243,'LICENCIATURA','valentina.escalanteramirez','111664','TOMAR DEL SND','ESCALANTE RAMIREZ VALENTINA','INGENIERIA AEROESPACIAL','5to','FEMENINO','ACTIVO','',0,0,'','ALUMNO'</v>
      </c>
      <c r="L244" s="10" t="str">
        <f t="shared" si="6"/>
        <v>INSERT INTO participantes (id,nivel,correo,matricula,clave,nombre,carrera,grado,sexo,situacion,evaluados,num_evaluados,total_evaluaciones,ultimo_acceso,nivel_acceso) VALUES (1243,'LICENCIATURA','valentina.escalanteramirez','111664','TOMAR DEL SND','ESCALANTE RAMIREZ VALENTINA','INGENIERIA AEROESPACIAL','5to','FEMENINO','ACTIVO','',0,0,'','ALUMNO');</v>
      </c>
    </row>
    <row r="245" spans="1:12" ht="130.5" x14ac:dyDescent="0.35">
      <c r="A245" s="7">
        <v>1244</v>
      </c>
      <c r="B245" s="6" t="s">
        <v>5</v>
      </c>
      <c r="C245" t="s">
        <v>250</v>
      </c>
      <c r="D245" s="7" t="s">
        <v>822</v>
      </c>
      <c r="E245" s="7" t="s">
        <v>1149</v>
      </c>
      <c r="F245" t="s">
        <v>1394</v>
      </c>
      <c r="G245" s="7" t="s">
        <v>1734</v>
      </c>
      <c r="H245" t="s">
        <v>1737</v>
      </c>
      <c r="I245" t="s">
        <v>1743</v>
      </c>
      <c r="J245" t="s">
        <v>1786</v>
      </c>
      <c r="K245" s="2" t="str">
        <f t="shared" si="7"/>
        <v>1244,'LICENCIATURA','kahlebalejandro.ramirezrobles','111666','TOMAR DEL SND','RAMIREZ ROBLES KAHLEB ALEJANDRO','INGENIERÍA EN INTELIGENCIA ARTIFICIAL','5to','MASCULINO','ACTIVO','',0,0,'','ALUMNO'</v>
      </c>
      <c r="L245" s="10" t="str">
        <f t="shared" si="6"/>
        <v>INSERT INTO participantes (id,nivel,correo,matricula,clave,nombre,carrera,grado,sexo,situacion,evaluados,num_evaluados,total_evaluaciones,ultimo_acceso,nivel_acceso) VALUES (1244,'LICENCIATURA','kahlebalejandro.ramirezrobles','111666','TOMAR DEL SND','RAMIREZ ROBLES KAHLEB ALEJANDRO','INGENIERÍA EN INTELIGENCIA ARTIFICIAL','5to','MASCULINO','ACTIVO','',0,0,'','ALUMNO');</v>
      </c>
    </row>
    <row r="246" spans="1:12" ht="130.5" x14ac:dyDescent="0.35">
      <c r="A246" s="7">
        <v>1245</v>
      </c>
      <c r="B246" s="6" t="s">
        <v>5</v>
      </c>
      <c r="C246" t="s">
        <v>251</v>
      </c>
      <c r="D246" s="7" t="s">
        <v>823</v>
      </c>
      <c r="E246" s="7" t="s">
        <v>1149</v>
      </c>
      <c r="F246" t="s">
        <v>1395</v>
      </c>
      <c r="G246" s="7" t="s">
        <v>1725</v>
      </c>
      <c r="H246" t="s">
        <v>1737</v>
      </c>
      <c r="I246" t="s">
        <v>1743</v>
      </c>
      <c r="J246" t="s">
        <v>1786</v>
      </c>
      <c r="K246" s="2" t="str">
        <f t="shared" si="7"/>
        <v>1245,'LICENCIATURA','zahidlievich.guillenhernandez','111667','TOMAR DEL SND','GUILLEN HERNANDEZ ZAHID LIEVICH','INGENIERIA AEROESPACIAL','5to','MASCULINO','ACTIVO','',0,0,'','ALUMNO'</v>
      </c>
      <c r="L246" s="10" t="str">
        <f t="shared" si="6"/>
        <v>INSERT INTO participantes (id,nivel,correo,matricula,clave,nombre,carrera,grado,sexo,situacion,evaluados,num_evaluados,total_evaluaciones,ultimo_acceso,nivel_acceso) VALUES (1245,'LICENCIATURA','zahidlievich.guillenhernandez','111667','TOMAR DEL SND','GUILLEN HERNANDEZ ZAHID LIEVICH','INGENIERIA AEROESPACIAL','5to','MASCULINO','ACTIVO','',0,0,'','ALUMNO');</v>
      </c>
    </row>
    <row r="247" spans="1:12" ht="130.5" x14ac:dyDescent="0.35">
      <c r="A247" s="7">
        <v>1246</v>
      </c>
      <c r="B247" s="6" t="s">
        <v>5</v>
      </c>
      <c r="C247" t="s">
        <v>252</v>
      </c>
      <c r="D247" s="7" t="s">
        <v>824</v>
      </c>
      <c r="E247" s="7" t="s">
        <v>1149</v>
      </c>
      <c r="F247" t="s">
        <v>1396</v>
      </c>
      <c r="G247" s="7" t="s">
        <v>1725</v>
      </c>
      <c r="H247" t="s">
        <v>1737</v>
      </c>
      <c r="I247" t="s">
        <v>1743</v>
      </c>
      <c r="J247" t="s">
        <v>1786</v>
      </c>
      <c r="K247" s="2" t="str">
        <f t="shared" si="7"/>
        <v>1246,'LICENCIATURA','angelmartin.ceceñaponce','111668','TOMAR DEL SND','CECEÑA PONCE ANGEL MARTIN','INGENIERIA AEROESPACIAL','5to','MASCULINO','ACTIVO','',0,0,'','ALUMNO'</v>
      </c>
      <c r="L247" s="10" t="str">
        <f t="shared" si="6"/>
        <v>INSERT INTO participantes (id,nivel,correo,matricula,clave,nombre,carrera,grado,sexo,situacion,evaluados,num_evaluados,total_evaluaciones,ultimo_acceso,nivel_acceso) VALUES (1246,'LICENCIATURA','angelmartin.ceceñaponce','111668','TOMAR DEL SND','CECEÑA PONCE ANGEL MARTIN','INGENIERIA AEROESPACIAL','5to','MASCULINO','ACTIVO','',0,0,'','ALUMNO');</v>
      </c>
    </row>
    <row r="248" spans="1:12" ht="130.5" x14ac:dyDescent="0.35">
      <c r="A248" s="7">
        <v>1247</v>
      </c>
      <c r="B248" s="6" t="s">
        <v>5</v>
      </c>
      <c r="C248" t="s">
        <v>253</v>
      </c>
      <c r="D248" s="7" t="s">
        <v>825</v>
      </c>
      <c r="E248" s="7" t="s">
        <v>1149</v>
      </c>
      <c r="F248" t="s">
        <v>1397</v>
      </c>
      <c r="G248" s="7" t="s">
        <v>1725</v>
      </c>
      <c r="H248" t="s">
        <v>1737</v>
      </c>
      <c r="I248" t="s">
        <v>1744</v>
      </c>
      <c r="J248" t="s">
        <v>1786</v>
      </c>
      <c r="K248" s="2" t="str">
        <f t="shared" si="7"/>
        <v>1247,'LICENCIATURA','marianisabella.ruizmartin','111669','TOMAR DEL SND','RUIZ MARTIN MARIAN ISABELLA','INGENIERIA AEROESPACIAL','5to','FEMENINO','ACTIVO','',0,0,'','ALUMNO'</v>
      </c>
      <c r="L248" s="10" t="str">
        <f t="shared" si="6"/>
        <v>INSERT INTO participantes (id,nivel,correo,matricula,clave,nombre,carrera,grado,sexo,situacion,evaluados,num_evaluados,total_evaluaciones,ultimo_acceso,nivel_acceso) VALUES (1247,'LICENCIATURA','marianisabella.ruizmartin','111669','TOMAR DEL SND','RUIZ MARTIN MARIAN ISABELLA','INGENIERIA AEROESPACIAL','5to','FEMENINO','ACTIVO','',0,0,'','ALUMNO');</v>
      </c>
    </row>
    <row r="249" spans="1:12" ht="130.5" x14ac:dyDescent="0.35">
      <c r="A249" s="7">
        <v>1248</v>
      </c>
      <c r="B249" s="6" t="s">
        <v>5</v>
      </c>
      <c r="C249" t="s">
        <v>254</v>
      </c>
      <c r="D249" s="7" t="s">
        <v>826</v>
      </c>
      <c r="E249" s="7" t="s">
        <v>1149</v>
      </c>
      <c r="F249" t="s">
        <v>1398</v>
      </c>
      <c r="G249" s="7" t="s">
        <v>1725</v>
      </c>
      <c r="H249" t="s">
        <v>1737</v>
      </c>
      <c r="I249" t="s">
        <v>1743</v>
      </c>
      <c r="J249" t="s">
        <v>1786</v>
      </c>
      <c r="K249" s="2" t="str">
        <f t="shared" si="7"/>
        <v>1248,'LICENCIATURA','angelaioros.davalosgarcia','111670','TOMAR DEL SND','DAVALOS GARCIA ANGEL AIOROS','INGENIERIA AEROESPACIAL','5to','MASCULINO','ACTIVO','',0,0,'','ALUMNO'</v>
      </c>
      <c r="L249" s="10" t="str">
        <f t="shared" si="6"/>
        <v>INSERT INTO participantes (id,nivel,correo,matricula,clave,nombre,carrera,grado,sexo,situacion,evaluados,num_evaluados,total_evaluaciones,ultimo_acceso,nivel_acceso) VALUES (1248,'LICENCIATURA','angelaioros.davalosgarcia','111670','TOMAR DEL SND','DAVALOS GARCIA ANGEL AIOROS','INGENIERIA AEROESPACIAL','5to','MASCULINO','ACTIVO','',0,0,'','ALUMNO');</v>
      </c>
    </row>
    <row r="250" spans="1:12" ht="130.5" x14ac:dyDescent="0.35">
      <c r="A250" s="7">
        <v>1249</v>
      </c>
      <c r="B250" s="6" t="s">
        <v>5</v>
      </c>
      <c r="C250" t="s">
        <v>255</v>
      </c>
      <c r="D250" s="7" t="s">
        <v>827</v>
      </c>
      <c r="E250" s="7" t="s">
        <v>1149</v>
      </c>
      <c r="F250" t="s">
        <v>1399</v>
      </c>
      <c r="G250" s="7" t="s">
        <v>1731</v>
      </c>
      <c r="H250" t="s">
        <v>1737</v>
      </c>
      <c r="I250" t="s">
        <v>1743</v>
      </c>
      <c r="J250" t="s">
        <v>1786</v>
      </c>
      <c r="K250" s="2" t="str">
        <f t="shared" si="7"/>
        <v>1249,'LICENCIATURA','ianfernando.barraganlagos','111671','TOMAR DEL SND','BARRAGAN LAGOS IAN FERNANDO','INGENIERÍA AUTOMOTRIZ','5to','MASCULINO','ACTIVO','',0,0,'','ALUMNO'</v>
      </c>
      <c r="L250" s="10" t="str">
        <f t="shared" si="6"/>
        <v>INSERT INTO participantes (id,nivel,correo,matricula,clave,nombre,carrera,grado,sexo,situacion,evaluados,num_evaluados,total_evaluaciones,ultimo_acceso,nivel_acceso) VALUES (1249,'LICENCIATURA','ianfernando.barraganlagos','111671','TOMAR DEL SND','BARRAGAN LAGOS IAN FERNANDO','INGENIERÍA AUTOMOTRIZ','5to','MASCULINO','ACTIVO','',0,0,'','ALUMNO');</v>
      </c>
    </row>
    <row r="251" spans="1:12" ht="130.5" x14ac:dyDescent="0.35">
      <c r="A251" s="7">
        <v>1250</v>
      </c>
      <c r="B251" s="6" t="s">
        <v>5</v>
      </c>
      <c r="C251" t="s">
        <v>256</v>
      </c>
      <c r="D251" s="7" t="s">
        <v>828</v>
      </c>
      <c r="E251" s="7" t="s">
        <v>1149</v>
      </c>
      <c r="F251" t="s">
        <v>1400</v>
      </c>
      <c r="G251" s="7" t="s">
        <v>1725</v>
      </c>
      <c r="H251" t="s">
        <v>1737</v>
      </c>
      <c r="I251" t="s">
        <v>1743</v>
      </c>
      <c r="J251" t="s">
        <v>1786</v>
      </c>
      <c r="K251" s="2" t="str">
        <f t="shared" si="7"/>
        <v>1250,'LICENCIATURA','jorgejulian.ortizrodriguez','111672','TOMAR DEL SND','ORTIZ RODRIGUEZ JORGE JULIAN','INGENIERIA AEROESPACIAL','5to','MASCULINO','ACTIVO','',0,0,'','ALUMNO'</v>
      </c>
      <c r="L251" s="10" t="str">
        <f t="shared" si="6"/>
        <v>INSERT INTO participantes (id,nivel,correo,matricula,clave,nombre,carrera,grado,sexo,situacion,evaluados,num_evaluados,total_evaluaciones,ultimo_acceso,nivel_acceso) VALUES (1250,'LICENCIATURA','jorgejulian.ortizrodriguez','111672','TOMAR DEL SND','ORTIZ RODRIGUEZ JORGE JULIAN','INGENIERIA AEROESPACIAL','5to','MASCULINO','ACTIVO','',0,0,'','ALUMNO');</v>
      </c>
    </row>
    <row r="252" spans="1:12" ht="130.5" x14ac:dyDescent="0.35">
      <c r="A252" s="7">
        <v>1251</v>
      </c>
      <c r="B252" s="6" t="s">
        <v>5</v>
      </c>
      <c r="C252" t="s">
        <v>257</v>
      </c>
      <c r="D252" s="7" t="s">
        <v>829</v>
      </c>
      <c r="E252" s="7" t="s">
        <v>1149</v>
      </c>
      <c r="F252" t="s">
        <v>1401</v>
      </c>
      <c r="G252" s="7" t="s">
        <v>1725</v>
      </c>
      <c r="H252" t="s">
        <v>1737</v>
      </c>
      <c r="I252" t="s">
        <v>1743</v>
      </c>
      <c r="J252" t="s">
        <v>1786</v>
      </c>
      <c r="K252" s="2" t="str">
        <f t="shared" si="7"/>
        <v>1251,'LICENCIATURA','isaac.vazquezcardona','111673','TOMAR DEL SND','VAZQUEZ CARDONA ISAAC','INGENIERIA AEROESPACIAL','5to','MASCULINO','ACTIVO','',0,0,'','ALUMNO'</v>
      </c>
      <c r="L252" s="10" t="str">
        <f t="shared" si="6"/>
        <v>INSERT INTO participantes (id,nivel,correo,matricula,clave,nombre,carrera,grado,sexo,situacion,evaluados,num_evaluados,total_evaluaciones,ultimo_acceso,nivel_acceso) VALUES (1251,'LICENCIATURA','isaac.vazquezcardona','111673','TOMAR DEL SND','VAZQUEZ CARDONA ISAAC','INGENIERIA AEROESPACIAL','5to','MASCULINO','ACTIVO','',0,0,'','ALUMNO');</v>
      </c>
    </row>
    <row r="253" spans="1:12" ht="130.5" x14ac:dyDescent="0.35">
      <c r="A253" s="7">
        <v>1252</v>
      </c>
      <c r="B253" s="6" t="s">
        <v>5</v>
      </c>
      <c r="C253" t="s">
        <v>258</v>
      </c>
      <c r="D253" s="7" t="s">
        <v>830</v>
      </c>
      <c r="E253" s="7" t="s">
        <v>1149</v>
      </c>
      <c r="F253" t="s">
        <v>1402</v>
      </c>
      <c r="G253" s="7" t="s">
        <v>1725</v>
      </c>
      <c r="H253" t="s">
        <v>1737</v>
      </c>
      <c r="I253" t="s">
        <v>1743</v>
      </c>
      <c r="J253" t="s">
        <v>1786</v>
      </c>
      <c r="K253" s="2" t="str">
        <f t="shared" si="7"/>
        <v>1252,'LICENCIATURA','karimdaniel.cisnerosgarcia','111674','TOMAR DEL SND','CISNEROS GARCIA KARIM DANIEL','INGENIERIA AEROESPACIAL','5to','MASCULINO','ACTIVO','',0,0,'','ALUMNO'</v>
      </c>
      <c r="L253" s="10" t="str">
        <f t="shared" si="6"/>
        <v>INSERT INTO participantes (id,nivel,correo,matricula,clave,nombre,carrera,grado,sexo,situacion,evaluados,num_evaluados,total_evaluaciones,ultimo_acceso,nivel_acceso) VALUES (1252,'LICENCIATURA','karimdaniel.cisnerosgarcia','111674','TOMAR DEL SND','CISNEROS GARCIA KARIM DANIEL','INGENIERIA AEROESPACIAL','5to','MASCULINO','ACTIVO','',0,0,'','ALUMNO');</v>
      </c>
    </row>
    <row r="254" spans="1:12" ht="130.5" x14ac:dyDescent="0.35">
      <c r="A254" s="7">
        <v>1253</v>
      </c>
      <c r="B254" s="6" t="s">
        <v>5</v>
      </c>
      <c r="C254" t="s">
        <v>259</v>
      </c>
      <c r="D254" s="7" t="s">
        <v>831</v>
      </c>
      <c r="E254" s="7" t="s">
        <v>1149</v>
      </c>
      <c r="F254" t="s">
        <v>1403</v>
      </c>
      <c r="G254" s="7" t="s">
        <v>1731</v>
      </c>
      <c r="H254" t="s">
        <v>1737</v>
      </c>
      <c r="I254" t="s">
        <v>1743</v>
      </c>
      <c r="J254" t="s">
        <v>1786</v>
      </c>
      <c r="K254" s="2" t="str">
        <f t="shared" si="7"/>
        <v>1253,'LICENCIATURA','emilio.tadeoalvarez','111676','TOMAR DEL SND','TADEO ALVAREZ EMILIO','INGENIERÍA AUTOMOTRIZ','5to','MASCULINO','ACTIVO','',0,0,'','ALUMNO'</v>
      </c>
      <c r="L254" s="10" t="str">
        <f t="shared" si="6"/>
        <v>INSERT INTO participantes (id,nivel,correo,matricula,clave,nombre,carrera,grado,sexo,situacion,evaluados,num_evaluados,total_evaluaciones,ultimo_acceso,nivel_acceso) VALUES (1253,'LICENCIATURA','emilio.tadeoalvarez','111676','TOMAR DEL SND','TADEO ALVAREZ EMILIO','INGENIERÍA AUTOMOTRIZ','5to','MASCULINO','ACTIVO','',0,0,'','ALUMNO');</v>
      </c>
    </row>
    <row r="255" spans="1:12" ht="130.5" x14ac:dyDescent="0.35">
      <c r="A255" s="7">
        <v>1254</v>
      </c>
      <c r="B255" s="6" t="s">
        <v>5</v>
      </c>
      <c r="C255" t="s">
        <v>260</v>
      </c>
      <c r="D255" s="7" t="s">
        <v>832</v>
      </c>
      <c r="E255" s="7" t="s">
        <v>1149</v>
      </c>
      <c r="F255" t="s">
        <v>1404</v>
      </c>
      <c r="G255" s="7" t="s">
        <v>1725</v>
      </c>
      <c r="H255" t="s">
        <v>1737</v>
      </c>
      <c r="I255" t="s">
        <v>1743</v>
      </c>
      <c r="J255" t="s">
        <v>1786</v>
      </c>
      <c r="K255" s="2" t="str">
        <f t="shared" si="7"/>
        <v>1254,'LICENCIATURA','alejandro.palaciosreyes','111677','TOMAR DEL SND','PALACIOS REYES ALEJANDRO','INGENIERIA AEROESPACIAL','5to','MASCULINO','ACTIVO','',0,0,'','ALUMNO'</v>
      </c>
      <c r="L255" s="10" t="str">
        <f t="shared" si="6"/>
        <v>INSERT INTO participantes (id,nivel,correo,matricula,clave,nombre,carrera,grado,sexo,situacion,evaluados,num_evaluados,total_evaluaciones,ultimo_acceso,nivel_acceso) VALUES (1254,'LICENCIATURA','alejandro.palaciosreyes','111677','TOMAR DEL SND','PALACIOS REYES ALEJANDRO','INGENIERIA AEROESPACIAL','5to','MASCULINO','ACTIVO','',0,0,'','ALUMNO');</v>
      </c>
    </row>
    <row r="256" spans="1:12" ht="130.5" x14ac:dyDescent="0.35">
      <c r="A256" s="7">
        <v>1255</v>
      </c>
      <c r="B256" s="6" t="s">
        <v>5</v>
      </c>
      <c r="C256" t="s">
        <v>261</v>
      </c>
      <c r="D256" s="7" t="s">
        <v>833</v>
      </c>
      <c r="E256" s="7" t="s">
        <v>1149</v>
      </c>
      <c r="F256" t="s">
        <v>1405</v>
      </c>
      <c r="G256" s="7" t="s">
        <v>1725</v>
      </c>
      <c r="H256" t="s">
        <v>1737</v>
      </c>
      <c r="I256" t="s">
        <v>1744</v>
      </c>
      <c r="J256" t="s">
        <v>1786</v>
      </c>
      <c r="K256" s="2" t="str">
        <f t="shared" si="7"/>
        <v>1255,'LICENCIATURA','karina.villegasangel','111678','TOMAR DEL SND','VILLEGAS ANGEL KARINA','INGENIERIA AEROESPACIAL','5to','FEMENINO','ACTIVO','',0,0,'','ALUMNO'</v>
      </c>
      <c r="L256" s="10" t="str">
        <f t="shared" si="6"/>
        <v>INSERT INTO participantes (id,nivel,correo,matricula,clave,nombre,carrera,grado,sexo,situacion,evaluados,num_evaluados,total_evaluaciones,ultimo_acceso,nivel_acceso) VALUES (1255,'LICENCIATURA','karina.villegasangel','111678','TOMAR DEL SND','VILLEGAS ANGEL KARINA','INGENIERIA AEROESPACIAL','5to','FEMENINO','ACTIVO','',0,0,'','ALUMNO');</v>
      </c>
    </row>
    <row r="257" spans="1:12" ht="130.5" x14ac:dyDescent="0.35">
      <c r="A257" s="7">
        <v>1256</v>
      </c>
      <c r="B257" s="6" t="s">
        <v>5</v>
      </c>
      <c r="C257" t="s">
        <v>262</v>
      </c>
      <c r="D257" s="7" t="s">
        <v>834</v>
      </c>
      <c r="E257" s="7" t="s">
        <v>1149</v>
      </c>
      <c r="F257" t="s">
        <v>1406</v>
      </c>
      <c r="G257" s="7" t="s">
        <v>1725</v>
      </c>
      <c r="H257" t="s">
        <v>1737</v>
      </c>
      <c r="I257" t="s">
        <v>1744</v>
      </c>
      <c r="J257" t="s">
        <v>1786</v>
      </c>
      <c r="K257" s="2" t="str">
        <f t="shared" si="7"/>
        <v>1256,'LICENCIATURA','valeriasofia.ochoareyes','111680','TOMAR DEL SND','OCHOA REYES VALERIA SOFIA','INGENIERIA AEROESPACIAL','5to','FEMENINO','ACTIVO','',0,0,'','ALUMNO'</v>
      </c>
      <c r="L257" s="10" t="str">
        <f t="shared" si="6"/>
        <v>INSERT INTO participantes (id,nivel,correo,matricula,clave,nombre,carrera,grado,sexo,situacion,evaluados,num_evaluados,total_evaluaciones,ultimo_acceso,nivel_acceso) VALUES (1256,'LICENCIATURA','valeriasofia.ochoareyes','111680','TOMAR DEL SND','OCHOA REYES VALERIA SOFIA','INGENIERIA AEROESPACIAL','5to','FEMENINO','ACTIVO','',0,0,'','ALUMNO');</v>
      </c>
    </row>
    <row r="258" spans="1:12" ht="130.5" x14ac:dyDescent="0.35">
      <c r="A258" s="7">
        <v>1257</v>
      </c>
      <c r="B258" s="6" t="s">
        <v>5</v>
      </c>
      <c r="C258" t="s">
        <v>263</v>
      </c>
      <c r="D258" s="7" t="s">
        <v>835</v>
      </c>
      <c r="E258" s="7" t="s">
        <v>1149</v>
      </c>
      <c r="F258" t="s">
        <v>1407</v>
      </c>
      <c r="G258" s="7" t="s">
        <v>1725</v>
      </c>
      <c r="H258" t="s">
        <v>1737</v>
      </c>
      <c r="I258" t="s">
        <v>1743</v>
      </c>
      <c r="J258" t="s">
        <v>1786</v>
      </c>
      <c r="K258" s="2" t="str">
        <f t="shared" si="7"/>
        <v>1257,'LICENCIATURA','emiliano.navavelasco','111682','TOMAR DEL SND','NAVA VELASCO EMILIANO','INGENIERIA AEROESPACIAL','5to','MASCULINO','ACTIVO','',0,0,'','ALUMNO'</v>
      </c>
      <c r="L258" s="10" t="str">
        <f t="shared" ref="L258:L321" si="8">CONCATENATE($K$1,K258,");")</f>
        <v>INSERT INTO participantes (id,nivel,correo,matricula,clave,nombre,carrera,grado,sexo,situacion,evaluados,num_evaluados,total_evaluaciones,ultimo_acceso,nivel_acceso) VALUES (1257,'LICENCIATURA','emiliano.navavelasco','111682','TOMAR DEL SND','NAVA VELASCO EMILIANO','INGENIERIA AEROESPACIAL','5to','MASCULINO','ACTIVO','',0,0,'','ALUMNO');</v>
      </c>
    </row>
    <row r="259" spans="1:12" ht="130.5" x14ac:dyDescent="0.35">
      <c r="A259" s="7">
        <v>1258</v>
      </c>
      <c r="B259" s="6" t="s">
        <v>5</v>
      </c>
      <c r="C259" t="s">
        <v>264</v>
      </c>
      <c r="D259" s="7" t="s">
        <v>836</v>
      </c>
      <c r="E259" s="7" t="s">
        <v>1149</v>
      </c>
      <c r="F259" t="s">
        <v>1408</v>
      </c>
      <c r="G259" s="7" t="s">
        <v>1727</v>
      </c>
      <c r="H259" t="s">
        <v>1737</v>
      </c>
      <c r="I259" t="s">
        <v>1744</v>
      </c>
      <c r="J259" t="s">
        <v>1786</v>
      </c>
      <c r="K259" s="2" t="str">
        <f t="shared" ref="K259:K322" si="9">CONCATENATE(A259,",'",B259,"','",C259,"','",D259,"','",E259,"','",F259,"','",G259,"','",H259,"','",UPPER(I259),"','",UPPER(J259),"','',0,0,'','ALUMNO'")</f>
        <v>1258,'LICENCIATURA','daniela.rojogarcia','111684','TOMAR DEL SND','ROJO GARCIA DANIELA','ADMINISTRACION Y DIRECCION DE NEGOCIOS','5to','FEMENINO','ACTIVO','',0,0,'','ALUMNO'</v>
      </c>
      <c r="L259" s="10" t="str">
        <f t="shared" si="8"/>
        <v>INSERT INTO participantes (id,nivel,correo,matricula,clave,nombre,carrera,grado,sexo,situacion,evaluados,num_evaluados,total_evaluaciones,ultimo_acceso,nivel_acceso) VALUES (1258,'LICENCIATURA','daniela.rojogarcia','111684','TOMAR DEL SND','ROJO GARCIA DANIELA','ADMINISTRACION Y DIRECCION DE NEGOCIOS','5to','FEMENINO','ACTIVO','',0,0,'','ALUMNO');</v>
      </c>
    </row>
    <row r="260" spans="1:12" ht="130.5" x14ac:dyDescent="0.35">
      <c r="A260" s="7">
        <v>1259</v>
      </c>
      <c r="B260" s="6" t="s">
        <v>5</v>
      </c>
      <c r="C260" t="s">
        <v>265</v>
      </c>
      <c r="D260" s="7" t="s">
        <v>837</v>
      </c>
      <c r="E260" s="7" t="s">
        <v>1149</v>
      </c>
      <c r="F260" t="s">
        <v>1409</v>
      </c>
      <c r="G260" s="7" t="s">
        <v>1725</v>
      </c>
      <c r="H260" t="s">
        <v>1737</v>
      </c>
      <c r="I260" t="s">
        <v>1744</v>
      </c>
      <c r="J260" t="s">
        <v>1786</v>
      </c>
      <c r="K260" s="2" t="str">
        <f t="shared" si="9"/>
        <v>1259,'LICENCIATURA','heli.serranogonzalez','111686','TOMAR DEL SND','SERRANO GONZALEZ HELI','INGENIERIA AEROESPACIAL','5to','FEMENINO','ACTIVO','',0,0,'','ALUMNO'</v>
      </c>
      <c r="L260" s="10" t="str">
        <f t="shared" si="8"/>
        <v>INSERT INTO participantes (id,nivel,correo,matricula,clave,nombre,carrera,grado,sexo,situacion,evaluados,num_evaluados,total_evaluaciones,ultimo_acceso,nivel_acceso) VALUES (1259,'LICENCIATURA','heli.serranogonzalez','111686','TOMAR DEL SND','SERRANO GONZALEZ HELI','INGENIERIA AEROESPACIAL','5to','FEMENINO','ACTIVO','',0,0,'','ALUMNO');</v>
      </c>
    </row>
    <row r="261" spans="1:12" ht="130.5" x14ac:dyDescent="0.35">
      <c r="A261" s="7">
        <v>1260</v>
      </c>
      <c r="B261" s="6" t="s">
        <v>5</v>
      </c>
      <c r="C261" t="s">
        <v>266</v>
      </c>
      <c r="D261" s="7" t="s">
        <v>838</v>
      </c>
      <c r="E261" s="7" t="s">
        <v>1149</v>
      </c>
      <c r="F261" t="s">
        <v>1410</v>
      </c>
      <c r="G261" s="7" t="s">
        <v>1725</v>
      </c>
      <c r="H261" t="s">
        <v>1737</v>
      </c>
      <c r="I261" t="s">
        <v>1743</v>
      </c>
      <c r="J261" t="s">
        <v>1786</v>
      </c>
      <c r="K261" s="2" t="str">
        <f t="shared" si="9"/>
        <v>1260,'LICENCIATURA','alejandro.dominguezhervert','111687','TOMAR DEL SND','DOMINGUEZ HERVERT ALEJANDRO','INGENIERIA AEROESPACIAL','5to','MASCULINO','ACTIVO','',0,0,'','ALUMNO'</v>
      </c>
      <c r="L261" s="10" t="str">
        <f t="shared" si="8"/>
        <v>INSERT INTO participantes (id,nivel,correo,matricula,clave,nombre,carrera,grado,sexo,situacion,evaluados,num_evaluados,total_evaluaciones,ultimo_acceso,nivel_acceso) VALUES (1260,'LICENCIATURA','alejandro.dominguezhervert','111687','TOMAR DEL SND','DOMINGUEZ HERVERT ALEJANDRO','INGENIERIA AEROESPACIAL','5to','MASCULINO','ACTIVO','',0,0,'','ALUMNO');</v>
      </c>
    </row>
    <row r="262" spans="1:12" ht="130.5" x14ac:dyDescent="0.35">
      <c r="A262" s="7">
        <v>1261</v>
      </c>
      <c r="B262" s="6" t="s">
        <v>5</v>
      </c>
      <c r="C262" t="s">
        <v>267</v>
      </c>
      <c r="D262" s="7" t="s">
        <v>839</v>
      </c>
      <c r="E262" s="7" t="s">
        <v>1149</v>
      </c>
      <c r="F262" t="s">
        <v>1411</v>
      </c>
      <c r="G262" s="7" t="s">
        <v>1724</v>
      </c>
      <c r="H262" t="s">
        <v>1737</v>
      </c>
      <c r="I262" t="s">
        <v>1744</v>
      </c>
      <c r="J262" t="s">
        <v>1786</v>
      </c>
      <c r="K262" s="2" t="str">
        <f t="shared" si="9"/>
        <v>1261,'LICENCIATURA','sandra.martineznavarro','111688','TOMAR DEL SND','MARTINEZ NAVARRO SANDRA','NUTRICION Y GASTRONOMIA','5to','FEMENINO','ACTIVO','',0,0,'','ALUMNO'</v>
      </c>
      <c r="L262" s="10" t="str">
        <f t="shared" si="8"/>
        <v>INSERT INTO participantes (id,nivel,correo,matricula,clave,nombre,carrera,grado,sexo,situacion,evaluados,num_evaluados,total_evaluaciones,ultimo_acceso,nivel_acceso) VALUES (1261,'LICENCIATURA','sandra.martineznavarro','111688','TOMAR DEL SND','MARTINEZ NAVARRO SANDRA','NUTRICION Y GASTRONOMIA','5to','FEMENINO','ACTIVO','',0,0,'','ALUMNO');</v>
      </c>
    </row>
    <row r="263" spans="1:12" ht="130.5" x14ac:dyDescent="0.35">
      <c r="A263" s="7">
        <v>1262</v>
      </c>
      <c r="B263" s="6" t="s">
        <v>5</v>
      </c>
      <c r="C263" t="s">
        <v>268</v>
      </c>
      <c r="D263" s="7" t="s">
        <v>840</v>
      </c>
      <c r="E263" s="7" t="s">
        <v>1149</v>
      </c>
      <c r="F263" t="s">
        <v>1412</v>
      </c>
      <c r="G263" s="7" t="s">
        <v>1734</v>
      </c>
      <c r="H263" t="s">
        <v>1737</v>
      </c>
      <c r="I263" t="s">
        <v>1744</v>
      </c>
      <c r="J263" t="s">
        <v>1786</v>
      </c>
      <c r="K263" s="2" t="str">
        <f t="shared" si="9"/>
        <v>1262,'LICENCIATURA','sandrabeatriz.guerrerogrimaldo','111690','TOMAR DEL SND','GUERRERO GRIMALDO SANDRA BEATRIZ','INGENIERÍA EN INTELIGENCIA ARTIFICIAL','5to','FEMENINO','ACTIVO','',0,0,'','ALUMNO'</v>
      </c>
      <c r="L263" s="10" t="str">
        <f t="shared" si="8"/>
        <v>INSERT INTO participantes (id,nivel,correo,matricula,clave,nombre,carrera,grado,sexo,situacion,evaluados,num_evaluados,total_evaluaciones,ultimo_acceso,nivel_acceso) VALUES (1262,'LICENCIATURA','sandrabeatriz.guerrerogrimaldo','111690','TOMAR DEL SND','GUERRERO GRIMALDO SANDRA BEATRIZ','INGENIERÍA EN INTELIGENCIA ARTIFICIAL','5to','FEMENINO','ACTIVO','',0,0,'','ALUMNO');</v>
      </c>
    </row>
    <row r="264" spans="1:12" ht="130.5" x14ac:dyDescent="0.35">
      <c r="A264" s="7">
        <v>1263</v>
      </c>
      <c r="B264" s="6" t="s">
        <v>5</v>
      </c>
      <c r="C264" t="s">
        <v>269</v>
      </c>
      <c r="D264" s="7" t="s">
        <v>841</v>
      </c>
      <c r="E264" s="7" t="s">
        <v>1149</v>
      </c>
      <c r="F264" t="s">
        <v>1413</v>
      </c>
      <c r="G264" s="7" t="s">
        <v>1731</v>
      </c>
      <c r="H264" t="s">
        <v>1737</v>
      </c>
      <c r="I264" t="s">
        <v>1743</v>
      </c>
      <c r="J264" t="s">
        <v>1786</v>
      </c>
      <c r="K264" s="2" t="str">
        <f t="shared" si="9"/>
        <v>1263,'LICENCIATURA','diegofrancisco.preciadolara','111699','TOMAR DEL SND','PRECIADO LARA DIEGO FRANCISCO','INGENIERÍA AUTOMOTRIZ','5to','MASCULINO','ACTIVO','',0,0,'','ALUMNO'</v>
      </c>
      <c r="L264" s="10" t="str">
        <f t="shared" si="8"/>
        <v>INSERT INTO participantes (id,nivel,correo,matricula,clave,nombre,carrera,grado,sexo,situacion,evaluados,num_evaluados,total_evaluaciones,ultimo_acceso,nivel_acceso) VALUES (1263,'LICENCIATURA','diegofrancisco.preciadolara','111699','TOMAR DEL SND','PRECIADO LARA DIEGO FRANCISCO','INGENIERÍA AUTOMOTRIZ','5to','MASCULINO','ACTIVO','',0,0,'','ALUMNO');</v>
      </c>
    </row>
    <row r="265" spans="1:12" ht="130.5" x14ac:dyDescent="0.35">
      <c r="A265" s="7">
        <v>1264</v>
      </c>
      <c r="B265" s="6" t="s">
        <v>5</v>
      </c>
      <c r="C265" t="s">
        <v>270</v>
      </c>
      <c r="D265" s="7" t="s">
        <v>842</v>
      </c>
      <c r="E265" s="7" t="s">
        <v>1149</v>
      </c>
      <c r="F265" t="s">
        <v>1414</v>
      </c>
      <c r="G265" s="7" t="s">
        <v>1731</v>
      </c>
      <c r="H265" t="s">
        <v>1737</v>
      </c>
      <c r="I265" t="s">
        <v>1743</v>
      </c>
      <c r="J265" t="s">
        <v>1786</v>
      </c>
      <c r="K265" s="2" t="str">
        <f t="shared" si="9"/>
        <v>1264,'LICENCIATURA','edwinfernando.lunabarrientos','111703','TOMAR DEL SND','LUNA BARRIENTOS EDWIN FERNANDO','INGENIERÍA AUTOMOTRIZ','5to','MASCULINO','ACTIVO','',0,0,'','ALUMNO'</v>
      </c>
      <c r="L265" s="10" t="str">
        <f t="shared" si="8"/>
        <v>INSERT INTO participantes (id,nivel,correo,matricula,clave,nombre,carrera,grado,sexo,situacion,evaluados,num_evaluados,total_evaluaciones,ultimo_acceso,nivel_acceso) VALUES (1264,'LICENCIATURA','edwinfernando.lunabarrientos','111703','TOMAR DEL SND','LUNA BARRIENTOS EDWIN FERNANDO','INGENIERÍA AUTOMOTRIZ','5to','MASCULINO','ACTIVO','',0,0,'','ALUMNO');</v>
      </c>
    </row>
    <row r="266" spans="1:12" ht="130.5" x14ac:dyDescent="0.35">
      <c r="A266" s="7">
        <v>1265</v>
      </c>
      <c r="B266" s="6" t="s">
        <v>5</v>
      </c>
      <c r="C266" t="s">
        <v>271</v>
      </c>
      <c r="D266" s="7" t="s">
        <v>843</v>
      </c>
      <c r="E266" s="7" t="s">
        <v>1149</v>
      </c>
      <c r="F266" t="s">
        <v>1415</v>
      </c>
      <c r="G266" s="7" t="s">
        <v>1731</v>
      </c>
      <c r="H266" t="s">
        <v>1737</v>
      </c>
      <c r="I266" t="s">
        <v>1743</v>
      </c>
      <c r="J266" t="s">
        <v>1786</v>
      </c>
      <c r="K266" s="2" t="str">
        <f t="shared" si="9"/>
        <v>1265,'LICENCIATURA','juancarlos.castillerosolano','111722','TOMAR DEL SND','CASTILLERO SOLANO JUAN CARLOS','INGENIERÍA AUTOMOTRIZ','5to','MASCULINO','ACTIVO','',0,0,'','ALUMNO'</v>
      </c>
      <c r="L266" s="10" t="str">
        <f t="shared" si="8"/>
        <v>INSERT INTO participantes (id,nivel,correo,matricula,clave,nombre,carrera,grado,sexo,situacion,evaluados,num_evaluados,total_evaluaciones,ultimo_acceso,nivel_acceso) VALUES (1265,'LICENCIATURA','juancarlos.castillerosolano','111722','TOMAR DEL SND','CASTILLERO SOLANO JUAN CARLOS','INGENIERÍA AUTOMOTRIZ','5to','MASCULINO','ACTIVO','',0,0,'','ALUMNO');</v>
      </c>
    </row>
    <row r="267" spans="1:12" ht="130.5" x14ac:dyDescent="0.35">
      <c r="A267" s="7">
        <v>1266</v>
      </c>
      <c r="B267" s="6" t="s">
        <v>5</v>
      </c>
      <c r="C267" t="s">
        <v>272</v>
      </c>
      <c r="D267" s="7" t="s">
        <v>844</v>
      </c>
      <c r="E267" s="7" t="s">
        <v>1149</v>
      </c>
      <c r="F267" t="s">
        <v>1416</v>
      </c>
      <c r="G267" s="7" t="s">
        <v>1731</v>
      </c>
      <c r="H267" t="s">
        <v>1737</v>
      </c>
      <c r="I267" t="s">
        <v>1743</v>
      </c>
      <c r="J267" t="s">
        <v>1786</v>
      </c>
      <c r="K267" s="2" t="str">
        <f t="shared" si="9"/>
        <v>1266,'LICENCIATURA','angelemanuel.cuetoramos','111723','TOMAR DEL SND','CUETO RAMOS ANGEL EMANUEL','INGENIERÍA AUTOMOTRIZ','5to','MASCULINO','ACTIVO','',0,0,'','ALUMNO'</v>
      </c>
      <c r="L267" s="10" t="str">
        <f t="shared" si="8"/>
        <v>INSERT INTO participantes (id,nivel,correo,matricula,clave,nombre,carrera,grado,sexo,situacion,evaluados,num_evaluados,total_evaluaciones,ultimo_acceso,nivel_acceso) VALUES (1266,'LICENCIATURA','angelemanuel.cuetoramos','111723','TOMAR DEL SND','CUETO RAMOS ANGEL EMANUEL','INGENIERÍA AUTOMOTRIZ','5to','MASCULINO','ACTIVO','',0,0,'','ALUMNO');</v>
      </c>
    </row>
    <row r="268" spans="1:12" ht="130.5" x14ac:dyDescent="0.35">
      <c r="A268" s="7">
        <v>1267</v>
      </c>
      <c r="B268" s="6" t="s">
        <v>5</v>
      </c>
      <c r="C268" t="s">
        <v>273</v>
      </c>
      <c r="D268" s="7" t="s">
        <v>845</v>
      </c>
      <c r="E268" s="7" t="s">
        <v>1149</v>
      </c>
      <c r="F268" t="s">
        <v>1417</v>
      </c>
      <c r="G268" s="7" t="s">
        <v>1725</v>
      </c>
      <c r="H268" t="s">
        <v>1737</v>
      </c>
      <c r="I268" t="s">
        <v>1743</v>
      </c>
      <c r="J268" t="s">
        <v>1786</v>
      </c>
      <c r="K268" s="2" t="str">
        <f t="shared" si="9"/>
        <v>1267,'LICENCIATURA','jonathanoswaldo.duranruvalcaba','111726','TOMAR DEL SND','DURAN RUVALCABA JONATHAN OSWALDO','INGENIERIA AEROESPACIAL','5to','MASCULINO','ACTIVO','',0,0,'','ALUMNO'</v>
      </c>
      <c r="L268" s="10" t="str">
        <f t="shared" si="8"/>
        <v>INSERT INTO participantes (id,nivel,correo,matricula,clave,nombre,carrera,grado,sexo,situacion,evaluados,num_evaluados,total_evaluaciones,ultimo_acceso,nivel_acceso) VALUES (1267,'LICENCIATURA','jonathanoswaldo.duranruvalcaba','111726','TOMAR DEL SND','DURAN RUVALCABA JONATHAN OSWALDO','INGENIERIA AEROESPACIAL','5to','MASCULINO','ACTIVO','',0,0,'','ALUMNO');</v>
      </c>
    </row>
    <row r="269" spans="1:12" ht="130.5" x14ac:dyDescent="0.35">
      <c r="A269" s="7">
        <v>1268</v>
      </c>
      <c r="B269" s="6" t="s">
        <v>5</v>
      </c>
      <c r="C269" t="s">
        <v>274</v>
      </c>
      <c r="D269" s="7" t="s">
        <v>846</v>
      </c>
      <c r="E269" s="7" t="s">
        <v>1149</v>
      </c>
      <c r="F269" t="s">
        <v>1418</v>
      </c>
      <c r="G269" s="7" t="s">
        <v>1725</v>
      </c>
      <c r="H269" t="s">
        <v>1737</v>
      </c>
      <c r="I269" t="s">
        <v>1743</v>
      </c>
      <c r="J269" t="s">
        <v>1786</v>
      </c>
      <c r="K269" s="2" t="str">
        <f t="shared" si="9"/>
        <v>1268,'LICENCIATURA','diegomartin.zavalacuellar','111727','TOMAR DEL SND','ZAVALA CUELLAR DIEGO MARTIN','INGENIERIA AEROESPACIAL','5to','MASCULINO','ACTIVO','',0,0,'','ALUMNO'</v>
      </c>
      <c r="L269" s="10" t="str">
        <f t="shared" si="8"/>
        <v>INSERT INTO participantes (id,nivel,correo,matricula,clave,nombre,carrera,grado,sexo,situacion,evaluados,num_evaluados,total_evaluaciones,ultimo_acceso,nivel_acceso) VALUES (1268,'LICENCIATURA','diegomartin.zavalacuellar','111727','TOMAR DEL SND','ZAVALA CUELLAR DIEGO MARTIN','INGENIERIA AEROESPACIAL','5to','MASCULINO','ACTIVO','',0,0,'','ALUMNO');</v>
      </c>
    </row>
    <row r="270" spans="1:12" ht="130.5" x14ac:dyDescent="0.35">
      <c r="A270" s="7">
        <v>1269</v>
      </c>
      <c r="B270" s="6" t="s">
        <v>5</v>
      </c>
      <c r="C270" t="s">
        <v>275</v>
      </c>
      <c r="D270" s="7" t="s">
        <v>847</v>
      </c>
      <c r="E270" s="7" t="s">
        <v>1149</v>
      </c>
      <c r="F270" t="s">
        <v>1419</v>
      </c>
      <c r="G270" s="7" t="s">
        <v>1725</v>
      </c>
      <c r="H270" t="s">
        <v>1737</v>
      </c>
      <c r="I270" t="s">
        <v>1743</v>
      </c>
      <c r="J270" t="s">
        <v>1786</v>
      </c>
      <c r="K270" s="2" t="str">
        <f t="shared" si="9"/>
        <v>1269,'LICENCIATURA','andresezequiel.nuñezramos','111728','TOMAR DEL SND','NUÑEZ RAMOS ANDRES EZEQUIEL','INGENIERIA AEROESPACIAL','5to','MASCULINO','ACTIVO','',0,0,'','ALUMNO'</v>
      </c>
      <c r="L270" s="10" t="str">
        <f t="shared" si="8"/>
        <v>INSERT INTO participantes (id,nivel,correo,matricula,clave,nombre,carrera,grado,sexo,situacion,evaluados,num_evaluados,total_evaluaciones,ultimo_acceso,nivel_acceso) VALUES (1269,'LICENCIATURA','andresezequiel.nuñezramos','111728','TOMAR DEL SND','NUÑEZ RAMOS ANDRES EZEQUIEL','INGENIERIA AEROESPACIAL','5to','MASCULINO','ACTIVO','',0,0,'','ALUMNO');</v>
      </c>
    </row>
    <row r="271" spans="1:12" ht="130.5" x14ac:dyDescent="0.35">
      <c r="A271" s="7">
        <v>1270</v>
      </c>
      <c r="B271" s="6" t="s">
        <v>5</v>
      </c>
      <c r="C271" t="s">
        <v>276</v>
      </c>
      <c r="D271" s="7" t="s">
        <v>848</v>
      </c>
      <c r="E271" s="7" t="s">
        <v>1149</v>
      </c>
      <c r="F271" t="s">
        <v>1420</v>
      </c>
      <c r="G271" s="7" t="s">
        <v>1725</v>
      </c>
      <c r="H271" t="s">
        <v>1737</v>
      </c>
      <c r="I271" t="s">
        <v>1743</v>
      </c>
      <c r="J271" t="s">
        <v>1786</v>
      </c>
      <c r="K271" s="2" t="str">
        <f t="shared" si="9"/>
        <v>1270,'LICENCIATURA','samuelricardo.veradelarosa','111729','TOMAR DEL SND','VERA DE LA ROSA SAMUEL RICARDO','INGENIERIA AEROESPACIAL','5to','MASCULINO','ACTIVO','',0,0,'','ALUMNO'</v>
      </c>
      <c r="L271" s="10" t="str">
        <f t="shared" si="8"/>
        <v>INSERT INTO participantes (id,nivel,correo,matricula,clave,nombre,carrera,grado,sexo,situacion,evaluados,num_evaluados,total_evaluaciones,ultimo_acceso,nivel_acceso) VALUES (1270,'LICENCIATURA','samuelricardo.veradelarosa','111729','TOMAR DEL SND','VERA DE LA ROSA SAMUEL RICARDO','INGENIERIA AEROESPACIAL','5to','MASCULINO','ACTIVO','',0,0,'','ALUMNO');</v>
      </c>
    </row>
    <row r="272" spans="1:12" ht="130.5" x14ac:dyDescent="0.35">
      <c r="A272" s="7">
        <v>1271</v>
      </c>
      <c r="B272" s="6" t="s">
        <v>5</v>
      </c>
      <c r="C272" t="s">
        <v>277</v>
      </c>
      <c r="D272" s="7" t="s">
        <v>849</v>
      </c>
      <c r="E272" s="7" t="s">
        <v>1149</v>
      </c>
      <c r="F272" t="s">
        <v>1421</v>
      </c>
      <c r="G272" s="7" t="s">
        <v>1730</v>
      </c>
      <c r="H272" t="s">
        <v>1737</v>
      </c>
      <c r="I272" t="s">
        <v>1744</v>
      </c>
      <c r="J272" t="s">
        <v>1786</v>
      </c>
      <c r="K272" s="2" t="str">
        <f t="shared" si="9"/>
        <v>1271,'LICENCIATURA','janeth.quesneycabrera','111731','TOMAR DEL SND','QUESNEY CABRERA JANETH','ANIMACION DIGITAL Y VIDEOJUEGOS','5to','FEMENINO','ACTIVO','',0,0,'','ALUMNO'</v>
      </c>
      <c r="L272" s="10" t="str">
        <f t="shared" si="8"/>
        <v>INSERT INTO participantes (id,nivel,correo,matricula,clave,nombre,carrera,grado,sexo,situacion,evaluados,num_evaluados,total_evaluaciones,ultimo_acceso,nivel_acceso) VALUES (1271,'LICENCIATURA','janeth.quesneycabrera','111731','TOMAR DEL SND','QUESNEY CABRERA JANETH','ANIMACION DIGITAL Y VIDEOJUEGOS','5to','FEMENINO','ACTIVO','',0,0,'','ALUMNO');</v>
      </c>
    </row>
    <row r="273" spans="1:12" ht="130.5" x14ac:dyDescent="0.35">
      <c r="A273" s="7">
        <v>1272</v>
      </c>
      <c r="B273" s="6" t="s">
        <v>5</v>
      </c>
      <c r="C273" t="s">
        <v>278</v>
      </c>
      <c r="D273" s="7" t="s">
        <v>850</v>
      </c>
      <c r="E273" s="7" t="s">
        <v>1149</v>
      </c>
      <c r="F273" t="s">
        <v>1422</v>
      </c>
      <c r="G273" s="7" t="s">
        <v>1724</v>
      </c>
      <c r="H273" t="s">
        <v>1739</v>
      </c>
      <c r="I273" t="s">
        <v>1743</v>
      </c>
      <c r="J273" t="s">
        <v>1786</v>
      </c>
      <c r="K273" s="2" t="str">
        <f t="shared" si="9"/>
        <v>1272,'LICENCIATURA','ricardoalberto.garciacazares','111733','TOMAR DEL SND','GARCIA CAZARES RICARDO ALBERTO','NUTRICION Y GASTRONOMIA','3ro','MASCULINO','ACTIVO','',0,0,'','ALUMNO'</v>
      </c>
      <c r="L273" s="10" t="str">
        <f t="shared" si="8"/>
        <v>INSERT INTO participantes (id,nivel,correo,matricula,clave,nombre,carrera,grado,sexo,situacion,evaluados,num_evaluados,total_evaluaciones,ultimo_acceso,nivel_acceso) VALUES (1272,'LICENCIATURA','ricardoalberto.garciacazares','111733','TOMAR DEL SND','GARCIA CAZARES RICARDO ALBERTO','NUTRICION Y GASTRONOMIA','3ro','MASCULINO','ACTIVO','',0,0,'','ALUMNO');</v>
      </c>
    </row>
    <row r="274" spans="1:12" ht="130.5" x14ac:dyDescent="0.35">
      <c r="A274" s="7">
        <v>1273</v>
      </c>
      <c r="B274" s="6" t="s">
        <v>5</v>
      </c>
      <c r="C274" t="s">
        <v>279</v>
      </c>
      <c r="D274" s="7" t="s">
        <v>851</v>
      </c>
      <c r="E274" s="7" t="s">
        <v>1149</v>
      </c>
      <c r="F274" t="s">
        <v>1423</v>
      </c>
      <c r="G274" s="7" t="s">
        <v>1724</v>
      </c>
      <c r="H274" t="s">
        <v>1737</v>
      </c>
      <c r="I274" t="s">
        <v>1743</v>
      </c>
      <c r="J274" t="s">
        <v>1786</v>
      </c>
      <c r="K274" s="2" t="str">
        <f t="shared" si="9"/>
        <v>1273,'LICENCIATURA','josehumberto.diazdeleongarcia','111735','TOMAR DEL SND','DIAZ DE LEON GARCIA JOSE HUMBERTO','NUTRICION Y GASTRONOMIA','5to','MASCULINO','ACTIVO','',0,0,'','ALUMNO'</v>
      </c>
      <c r="L274" s="10" t="str">
        <f t="shared" si="8"/>
        <v>INSERT INTO participantes (id,nivel,correo,matricula,clave,nombre,carrera,grado,sexo,situacion,evaluados,num_evaluados,total_evaluaciones,ultimo_acceso,nivel_acceso) VALUES (1273,'LICENCIATURA','josehumberto.diazdeleongarcia','111735','TOMAR DEL SND','DIAZ DE LEON GARCIA JOSE HUMBERTO','NUTRICION Y GASTRONOMIA','5to','MASCULINO','ACTIVO','',0,0,'','ALUMNO');</v>
      </c>
    </row>
    <row r="275" spans="1:12" ht="130.5" x14ac:dyDescent="0.35">
      <c r="A275" s="7">
        <v>1274</v>
      </c>
      <c r="B275" s="6" t="s">
        <v>5</v>
      </c>
      <c r="C275" t="s">
        <v>280</v>
      </c>
      <c r="D275" s="7" t="s">
        <v>852</v>
      </c>
      <c r="E275" s="7" t="s">
        <v>1149</v>
      </c>
      <c r="F275" t="s">
        <v>1424</v>
      </c>
      <c r="G275" s="7" t="s">
        <v>1730</v>
      </c>
      <c r="H275" t="s">
        <v>1737</v>
      </c>
      <c r="I275" t="s">
        <v>1743</v>
      </c>
      <c r="J275" t="s">
        <v>1786</v>
      </c>
      <c r="K275" s="2" t="str">
        <f t="shared" si="9"/>
        <v>1274,'LICENCIATURA','emiliano.rodriguezguzman','111737','TOMAR DEL SND','RODRIGUEZ GUZMAN EMILIANO','ANIMACION DIGITAL Y VIDEOJUEGOS','5to','MASCULINO','ACTIVO','',0,0,'','ALUMNO'</v>
      </c>
      <c r="L275" s="10" t="str">
        <f t="shared" si="8"/>
        <v>INSERT INTO participantes (id,nivel,correo,matricula,clave,nombre,carrera,grado,sexo,situacion,evaluados,num_evaluados,total_evaluaciones,ultimo_acceso,nivel_acceso) VALUES (1274,'LICENCIATURA','emiliano.rodriguezguzman','111737','TOMAR DEL SND','RODRIGUEZ GUZMAN EMILIANO','ANIMACION DIGITAL Y VIDEOJUEGOS','5to','MASCULINO','ACTIVO','',0,0,'','ALUMNO');</v>
      </c>
    </row>
    <row r="276" spans="1:12" ht="130.5" x14ac:dyDescent="0.35">
      <c r="A276" s="7">
        <v>1275</v>
      </c>
      <c r="B276" s="6" t="s">
        <v>5</v>
      </c>
      <c r="C276" t="s">
        <v>281</v>
      </c>
      <c r="D276" s="7" t="s">
        <v>853</v>
      </c>
      <c r="E276" s="7" t="s">
        <v>1149</v>
      </c>
      <c r="F276" t="s">
        <v>1425</v>
      </c>
      <c r="G276" s="7" t="s">
        <v>1731</v>
      </c>
      <c r="H276" t="s">
        <v>1737</v>
      </c>
      <c r="I276" t="s">
        <v>1743</v>
      </c>
      <c r="J276" t="s">
        <v>1786</v>
      </c>
      <c r="K276" s="2" t="str">
        <f t="shared" si="9"/>
        <v>1275,'LICENCIATURA','leonardo.martinezruan','111739','TOMAR DEL SND','MARTINEZ RUAN LEONARDO','INGENIERÍA AUTOMOTRIZ','5to','MASCULINO','ACTIVO','',0,0,'','ALUMNO'</v>
      </c>
      <c r="L276" s="10" t="str">
        <f t="shared" si="8"/>
        <v>INSERT INTO participantes (id,nivel,correo,matricula,clave,nombre,carrera,grado,sexo,situacion,evaluados,num_evaluados,total_evaluaciones,ultimo_acceso,nivel_acceso) VALUES (1275,'LICENCIATURA','leonardo.martinezruan','111739','TOMAR DEL SND','MARTINEZ RUAN LEONARDO','INGENIERÍA AUTOMOTRIZ','5to','MASCULINO','ACTIVO','',0,0,'','ALUMNO');</v>
      </c>
    </row>
    <row r="277" spans="1:12" ht="130.5" x14ac:dyDescent="0.35">
      <c r="A277" s="7">
        <v>1276</v>
      </c>
      <c r="B277" s="6" t="s">
        <v>5</v>
      </c>
      <c r="C277" t="s">
        <v>282</v>
      </c>
      <c r="D277" s="7" t="s">
        <v>854</v>
      </c>
      <c r="E277" s="7" t="s">
        <v>1149</v>
      </c>
      <c r="F277" t="s">
        <v>1426</v>
      </c>
      <c r="G277" s="7" t="s">
        <v>1725</v>
      </c>
      <c r="H277" t="s">
        <v>1737</v>
      </c>
      <c r="I277" t="s">
        <v>1743</v>
      </c>
      <c r="J277" t="s">
        <v>1786</v>
      </c>
      <c r="K277" s="2" t="str">
        <f t="shared" si="9"/>
        <v>1276,'LICENCIATURA','enriquejesus.cabreralizarraga','111740','TOMAR DEL SND','CABRERA LIZARRAGA ENRIQUE JESUS','INGENIERIA AEROESPACIAL','5to','MASCULINO','ACTIVO','',0,0,'','ALUMNO'</v>
      </c>
      <c r="L277" s="10" t="str">
        <f t="shared" si="8"/>
        <v>INSERT INTO participantes (id,nivel,correo,matricula,clave,nombre,carrera,grado,sexo,situacion,evaluados,num_evaluados,total_evaluaciones,ultimo_acceso,nivel_acceso) VALUES (1276,'LICENCIATURA','enriquejesus.cabreralizarraga','111740','TOMAR DEL SND','CABRERA LIZARRAGA ENRIQUE JESUS','INGENIERIA AEROESPACIAL','5to','MASCULINO','ACTIVO','',0,0,'','ALUMNO');</v>
      </c>
    </row>
    <row r="278" spans="1:12" ht="130.5" x14ac:dyDescent="0.35">
      <c r="A278" s="7">
        <v>1277</v>
      </c>
      <c r="B278" s="6" t="s">
        <v>5</v>
      </c>
      <c r="C278" t="s">
        <v>283</v>
      </c>
      <c r="D278" s="7" t="s">
        <v>855</v>
      </c>
      <c r="E278" s="7" t="s">
        <v>1149</v>
      </c>
      <c r="F278" t="s">
        <v>1427</v>
      </c>
      <c r="G278" s="7" t="s">
        <v>1734</v>
      </c>
      <c r="H278" t="s">
        <v>1737</v>
      </c>
      <c r="I278" t="s">
        <v>1744</v>
      </c>
      <c r="J278" t="s">
        <v>1786</v>
      </c>
      <c r="K278" s="2" t="str">
        <f t="shared" si="9"/>
        <v>1277,'LICENCIATURA','karinaitzell.picenocastellanos','111741','TOMAR DEL SND','PICENO CASTELLANOS KARINA ITZELL','INGENIERÍA EN INTELIGENCIA ARTIFICIAL','5to','FEMENINO','ACTIVO','',0,0,'','ALUMNO'</v>
      </c>
      <c r="L278" s="10" t="str">
        <f t="shared" si="8"/>
        <v>INSERT INTO participantes (id,nivel,correo,matricula,clave,nombre,carrera,grado,sexo,situacion,evaluados,num_evaluados,total_evaluaciones,ultimo_acceso,nivel_acceso) VALUES (1277,'LICENCIATURA','karinaitzell.picenocastellanos','111741','TOMAR DEL SND','PICENO CASTELLANOS KARINA ITZELL','INGENIERÍA EN INTELIGENCIA ARTIFICIAL','5to','FEMENINO','ACTIVO','',0,0,'','ALUMNO');</v>
      </c>
    </row>
    <row r="279" spans="1:12" ht="130.5" x14ac:dyDescent="0.35">
      <c r="A279" s="7">
        <v>1278</v>
      </c>
      <c r="B279" s="6" t="s">
        <v>5</v>
      </c>
      <c r="C279" t="s">
        <v>284</v>
      </c>
      <c r="D279" s="7" t="s">
        <v>856</v>
      </c>
      <c r="E279" s="7" t="s">
        <v>1149</v>
      </c>
      <c r="F279" t="s">
        <v>1428</v>
      </c>
      <c r="G279" s="7" t="s">
        <v>1724</v>
      </c>
      <c r="H279" t="s">
        <v>1737</v>
      </c>
      <c r="I279" t="s">
        <v>1744</v>
      </c>
      <c r="J279" t="s">
        <v>1786</v>
      </c>
      <c r="K279" s="2" t="str">
        <f t="shared" si="9"/>
        <v>1278,'LICENCIATURA','andreanaomi.rebollararriero','111742','TOMAR DEL SND','REBOLLAR ARRIERO ANDREA NAOMI','NUTRICION Y GASTRONOMIA','5to','FEMENINO','ACTIVO','',0,0,'','ALUMNO'</v>
      </c>
      <c r="L279" s="10" t="str">
        <f t="shared" si="8"/>
        <v>INSERT INTO participantes (id,nivel,correo,matricula,clave,nombre,carrera,grado,sexo,situacion,evaluados,num_evaluados,total_evaluaciones,ultimo_acceso,nivel_acceso) VALUES (1278,'LICENCIATURA','andreanaomi.rebollararriero','111742','TOMAR DEL SND','REBOLLAR ARRIERO ANDREA NAOMI','NUTRICION Y GASTRONOMIA','5to','FEMENINO','ACTIVO','',0,0,'','ALUMNO');</v>
      </c>
    </row>
    <row r="280" spans="1:12" ht="130.5" x14ac:dyDescent="0.35">
      <c r="A280" s="7">
        <v>1279</v>
      </c>
      <c r="B280" s="6" t="s">
        <v>5</v>
      </c>
      <c r="C280" t="s">
        <v>285</v>
      </c>
      <c r="D280" s="7" t="s">
        <v>857</v>
      </c>
      <c r="E280" s="7" t="s">
        <v>1149</v>
      </c>
      <c r="F280" t="s">
        <v>1429</v>
      </c>
      <c r="G280" s="7" t="s">
        <v>1725</v>
      </c>
      <c r="H280" t="s">
        <v>1737</v>
      </c>
      <c r="I280" t="s">
        <v>1743</v>
      </c>
      <c r="J280" t="s">
        <v>1786</v>
      </c>
      <c r="K280" s="2" t="str">
        <f t="shared" si="9"/>
        <v>1279,'LICENCIATURA','pedroemiliano.rubioortiz','111743','TOMAR DEL SND','RUBIO ORTIZ PEDRO EMILIANO','INGENIERIA AEROESPACIAL','5to','MASCULINO','ACTIVO','',0,0,'','ALUMNO'</v>
      </c>
      <c r="L280" s="10" t="str">
        <f t="shared" si="8"/>
        <v>INSERT INTO participantes (id,nivel,correo,matricula,clave,nombre,carrera,grado,sexo,situacion,evaluados,num_evaluados,total_evaluaciones,ultimo_acceso,nivel_acceso) VALUES (1279,'LICENCIATURA','pedroemiliano.rubioortiz','111743','TOMAR DEL SND','RUBIO ORTIZ PEDRO EMILIANO','INGENIERIA AEROESPACIAL','5to','MASCULINO','ACTIVO','',0,0,'','ALUMNO');</v>
      </c>
    </row>
    <row r="281" spans="1:12" ht="130.5" x14ac:dyDescent="0.35">
      <c r="A281" s="7">
        <v>1280</v>
      </c>
      <c r="B281" s="6" t="s">
        <v>5</v>
      </c>
      <c r="C281" t="s">
        <v>286</v>
      </c>
      <c r="D281" s="7" t="s">
        <v>858</v>
      </c>
      <c r="E281" s="7" t="s">
        <v>1149</v>
      </c>
      <c r="F281" t="s">
        <v>1430</v>
      </c>
      <c r="G281" s="7" t="s">
        <v>1731</v>
      </c>
      <c r="H281" t="s">
        <v>1737</v>
      </c>
      <c r="I281" t="s">
        <v>1744</v>
      </c>
      <c r="J281" t="s">
        <v>1786</v>
      </c>
      <c r="K281" s="2" t="str">
        <f t="shared" si="9"/>
        <v>1280,'LICENCIATURA','katia.palmalopez','111744','TOMAR DEL SND','PALMA LOPEZ KATIA','INGENIERÍA AUTOMOTRIZ','5to','FEMENINO','ACTIVO','',0,0,'','ALUMNO'</v>
      </c>
      <c r="L281" s="10" t="str">
        <f t="shared" si="8"/>
        <v>INSERT INTO participantes (id,nivel,correo,matricula,clave,nombre,carrera,grado,sexo,situacion,evaluados,num_evaluados,total_evaluaciones,ultimo_acceso,nivel_acceso) VALUES (1280,'LICENCIATURA','katia.palmalopez','111744','TOMAR DEL SND','PALMA LOPEZ KATIA','INGENIERÍA AUTOMOTRIZ','5to','FEMENINO','ACTIVO','',0,0,'','ALUMNO');</v>
      </c>
    </row>
    <row r="282" spans="1:12" ht="130.5" x14ac:dyDescent="0.35">
      <c r="A282" s="7">
        <v>1281</v>
      </c>
      <c r="B282" s="6" t="s">
        <v>5</v>
      </c>
      <c r="C282" t="s">
        <v>287</v>
      </c>
      <c r="D282" s="7" t="s">
        <v>859</v>
      </c>
      <c r="E282" s="7" t="s">
        <v>1149</v>
      </c>
      <c r="F282" t="s">
        <v>1431</v>
      </c>
      <c r="G282" s="7" t="s">
        <v>1731</v>
      </c>
      <c r="H282" t="s">
        <v>1740</v>
      </c>
      <c r="I282" t="s">
        <v>1744</v>
      </c>
      <c r="J282" t="s">
        <v>1786</v>
      </c>
      <c r="K282" s="2" t="str">
        <f t="shared" si="9"/>
        <v>1281,'LICENCIATURA','anapaola.marquezgonzalez','111745','TOMAR DEL SND','MARQUEZ GONZALEZ ANA PAOLA','INGENIERÍA AUTOMOTRIZ','1ro','FEMENINO','ACTIVO','',0,0,'','ALUMNO'</v>
      </c>
      <c r="L282" s="10" t="str">
        <f t="shared" si="8"/>
        <v>INSERT INTO participantes (id,nivel,correo,matricula,clave,nombre,carrera,grado,sexo,situacion,evaluados,num_evaluados,total_evaluaciones,ultimo_acceso,nivel_acceso) VALUES (1281,'LICENCIATURA','anapaola.marquezgonzalez','111745','TOMAR DEL SND','MARQUEZ GONZALEZ ANA PAOLA','INGENIERÍA AUTOMOTRIZ','1ro','FEMENINO','ACTIVO','',0,0,'','ALUMNO');</v>
      </c>
    </row>
    <row r="283" spans="1:12" ht="130.5" x14ac:dyDescent="0.35">
      <c r="A283" s="7">
        <v>1282</v>
      </c>
      <c r="B283" s="6" t="s">
        <v>5</v>
      </c>
      <c r="C283" t="s">
        <v>288</v>
      </c>
      <c r="D283" s="7" t="s">
        <v>860</v>
      </c>
      <c r="E283" s="7" t="s">
        <v>1149</v>
      </c>
      <c r="F283" t="s">
        <v>1432</v>
      </c>
      <c r="G283" s="7" t="s">
        <v>1725</v>
      </c>
      <c r="H283" t="s">
        <v>1737</v>
      </c>
      <c r="I283" t="s">
        <v>1744</v>
      </c>
      <c r="J283" t="s">
        <v>1786</v>
      </c>
      <c r="K283" s="2" t="str">
        <f t="shared" si="9"/>
        <v>1282,'LICENCIATURA','mirandacarolina.lopezvargas','111746','TOMAR DEL SND','LOPEZ VARGAS MIRANDA CAROLINA','INGENIERIA AEROESPACIAL','5to','FEMENINO','ACTIVO','',0,0,'','ALUMNO'</v>
      </c>
      <c r="L283" s="10" t="str">
        <f t="shared" si="8"/>
        <v>INSERT INTO participantes (id,nivel,correo,matricula,clave,nombre,carrera,grado,sexo,situacion,evaluados,num_evaluados,total_evaluaciones,ultimo_acceso,nivel_acceso) VALUES (1282,'LICENCIATURA','mirandacarolina.lopezvargas','111746','TOMAR DEL SND','LOPEZ VARGAS MIRANDA CAROLINA','INGENIERIA AEROESPACIAL','5to','FEMENINO','ACTIVO','',0,0,'','ALUMNO');</v>
      </c>
    </row>
    <row r="284" spans="1:12" ht="130.5" x14ac:dyDescent="0.35">
      <c r="A284" s="7">
        <v>1283</v>
      </c>
      <c r="B284" s="6" t="s">
        <v>5</v>
      </c>
      <c r="C284" t="s">
        <v>289</v>
      </c>
      <c r="D284" s="7" t="s">
        <v>861</v>
      </c>
      <c r="E284" s="7" t="s">
        <v>1149</v>
      </c>
      <c r="F284" t="s">
        <v>1433</v>
      </c>
      <c r="G284" s="7" t="s">
        <v>1731</v>
      </c>
      <c r="H284" t="s">
        <v>1737</v>
      </c>
      <c r="I284" t="s">
        <v>1743</v>
      </c>
      <c r="J284" t="s">
        <v>1786</v>
      </c>
      <c r="K284" s="2" t="str">
        <f t="shared" si="9"/>
        <v>1283,'LICENCIATURA','joshuaalejandro.gascatellez','111747','TOMAR DEL SND','GASCA TELLEZ JOSHUA ALEJANDRO','INGENIERÍA AUTOMOTRIZ','5to','MASCULINO','ACTIVO','',0,0,'','ALUMNO'</v>
      </c>
      <c r="L284" s="10" t="str">
        <f t="shared" si="8"/>
        <v>INSERT INTO participantes (id,nivel,correo,matricula,clave,nombre,carrera,grado,sexo,situacion,evaluados,num_evaluados,total_evaluaciones,ultimo_acceso,nivel_acceso) VALUES (1283,'LICENCIATURA','joshuaalejandro.gascatellez','111747','TOMAR DEL SND','GASCA TELLEZ JOSHUA ALEJANDRO','INGENIERÍA AUTOMOTRIZ','5to','MASCULINO','ACTIVO','',0,0,'','ALUMNO');</v>
      </c>
    </row>
    <row r="285" spans="1:12" ht="130.5" x14ac:dyDescent="0.35">
      <c r="A285" s="7">
        <v>1284</v>
      </c>
      <c r="B285" s="6" t="s">
        <v>5</v>
      </c>
      <c r="C285" t="s">
        <v>290</v>
      </c>
      <c r="D285" s="7" t="s">
        <v>862</v>
      </c>
      <c r="E285" s="7" t="s">
        <v>1149</v>
      </c>
      <c r="F285" t="s">
        <v>1434</v>
      </c>
      <c r="G285" s="7" t="s">
        <v>1731</v>
      </c>
      <c r="H285" t="s">
        <v>1737</v>
      </c>
      <c r="I285" t="s">
        <v>1743</v>
      </c>
      <c r="J285" t="s">
        <v>1786</v>
      </c>
      <c r="K285" s="2" t="str">
        <f t="shared" si="9"/>
        <v>1284,'LICENCIATURA','jonathanulises.figueroabañuelos','111748','TOMAR DEL SND','FIGUEROA BAÑUELOS JONATHAN ULISES','INGENIERÍA AUTOMOTRIZ','5to','MASCULINO','ACTIVO','',0,0,'','ALUMNO'</v>
      </c>
      <c r="L285" s="10" t="str">
        <f t="shared" si="8"/>
        <v>INSERT INTO participantes (id,nivel,correo,matricula,clave,nombre,carrera,grado,sexo,situacion,evaluados,num_evaluados,total_evaluaciones,ultimo_acceso,nivel_acceso) VALUES (1284,'LICENCIATURA','jonathanulises.figueroabañuelos','111748','TOMAR DEL SND','FIGUEROA BAÑUELOS JONATHAN ULISES','INGENIERÍA AUTOMOTRIZ','5to','MASCULINO','ACTIVO','',0,0,'','ALUMNO');</v>
      </c>
    </row>
    <row r="286" spans="1:12" ht="130.5" x14ac:dyDescent="0.35">
      <c r="A286" s="7">
        <v>1285</v>
      </c>
      <c r="B286" s="6" t="s">
        <v>5</v>
      </c>
      <c r="C286" t="s">
        <v>291</v>
      </c>
      <c r="D286" s="7" t="s">
        <v>863</v>
      </c>
      <c r="E286" s="7" t="s">
        <v>1149</v>
      </c>
      <c r="F286" t="s">
        <v>1435</v>
      </c>
      <c r="G286" s="7" t="s">
        <v>1725</v>
      </c>
      <c r="H286" t="s">
        <v>1737</v>
      </c>
      <c r="I286" t="s">
        <v>1743</v>
      </c>
      <c r="J286" t="s">
        <v>1786</v>
      </c>
      <c r="K286" s="2" t="str">
        <f t="shared" si="9"/>
        <v>1285,'LICENCIATURA','jesusabraham.navarreteterrones','111749','TOMAR DEL SND','NAVARRETE TERRONES JESUS ABRAHAM','INGENIERIA AEROESPACIAL','5to','MASCULINO','ACTIVO','',0,0,'','ALUMNO'</v>
      </c>
      <c r="L286" s="10" t="str">
        <f t="shared" si="8"/>
        <v>INSERT INTO participantes (id,nivel,correo,matricula,clave,nombre,carrera,grado,sexo,situacion,evaluados,num_evaluados,total_evaluaciones,ultimo_acceso,nivel_acceso) VALUES (1285,'LICENCIATURA','jesusabraham.navarreteterrones','111749','TOMAR DEL SND','NAVARRETE TERRONES JESUS ABRAHAM','INGENIERIA AEROESPACIAL','5to','MASCULINO','ACTIVO','',0,0,'','ALUMNO');</v>
      </c>
    </row>
    <row r="287" spans="1:12" ht="130.5" x14ac:dyDescent="0.35">
      <c r="A287" s="7">
        <v>1286</v>
      </c>
      <c r="B287" s="6" t="s">
        <v>5</v>
      </c>
      <c r="C287" t="s">
        <v>292</v>
      </c>
      <c r="D287" s="7" t="s">
        <v>864</v>
      </c>
      <c r="E287" s="7" t="s">
        <v>1149</v>
      </c>
      <c r="F287" t="s">
        <v>1436</v>
      </c>
      <c r="G287" s="7" t="s">
        <v>1725</v>
      </c>
      <c r="H287" t="s">
        <v>1737</v>
      </c>
      <c r="I287" t="s">
        <v>1743</v>
      </c>
      <c r="J287" t="s">
        <v>1786</v>
      </c>
      <c r="K287" s="2" t="str">
        <f t="shared" si="9"/>
        <v>1286,'LICENCIATURA','angelandres.garciacherrington','111750','TOMAR DEL SND','GARCIA CHERRINGTON ANGEL ANDRES','INGENIERIA AEROESPACIAL','5to','MASCULINO','ACTIVO','',0,0,'','ALUMNO'</v>
      </c>
      <c r="L287" s="10" t="str">
        <f t="shared" si="8"/>
        <v>INSERT INTO participantes (id,nivel,correo,matricula,clave,nombre,carrera,grado,sexo,situacion,evaluados,num_evaluados,total_evaluaciones,ultimo_acceso,nivel_acceso) VALUES (1286,'LICENCIATURA','angelandres.garciacherrington','111750','TOMAR DEL SND','GARCIA CHERRINGTON ANGEL ANDRES','INGENIERIA AEROESPACIAL','5to','MASCULINO','ACTIVO','',0,0,'','ALUMNO');</v>
      </c>
    </row>
    <row r="288" spans="1:12" ht="130.5" x14ac:dyDescent="0.35">
      <c r="A288" s="7">
        <v>1287</v>
      </c>
      <c r="B288" s="6" t="s">
        <v>5</v>
      </c>
      <c r="C288" t="s">
        <v>293</v>
      </c>
      <c r="D288" s="7" t="s">
        <v>865</v>
      </c>
      <c r="E288" s="7" t="s">
        <v>1149</v>
      </c>
      <c r="F288" t="s">
        <v>1437</v>
      </c>
      <c r="G288" s="7" t="s">
        <v>1731</v>
      </c>
      <c r="H288" t="s">
        <v>1737</v>
      </c>
      <c r="I288" t="s">
        <v>1743</v>
      </c>
      <c r="J288" t="s">
        <v>1786</v>
      </c>
      <c r="K288" s="2" t="str">
        <f t="shared" si="9"/>
        <v>1287,'LICENCIATURA','joseantonio.muñozsevilla','111751','TOMAR DEL SND','MUÑOZ SEVILLA JOSE ANTONIO','INGENIERÍA AUTOMOTRIZ','5to','MASCULINO','ACTIVO','',0,0,'','ALUMNO'</v>
      </c>
      <c r="L288" s="10" t="str">
        <f t="shared" si="8"/>
        <v>INSERT INTO participantes (id,nivel,correo,matricula,clave,nombre,carrera,grado,sexo,situacion,evaluados,num_evaluados,total_evaluaciones,ultimo_acceso,nivel_acceso) VALUES (1287,'LICENCIATURA','joseantonio.muñozsevilla','111751','TOMAR DEL SND','MUÑOZ SEVILLA JOSE ANTONIO','INGENIERÍA AUTOMOTRIZ','5to','MASCULINO','ACTIVO','',0,0,'','ALUMNO');</v>
      </c>
    </row>
    <row r="289" spans="1:12" ht="130.5" x14ac:dyDescent="0.35">
      <c r="A289" s="7">
        <v>1288</v>
      </c>
      <c r="B289" s="6" t="s">
        <v>5</v>
      </c>
      <c r="C289" t="s">
        <v>294</v>
      </c>
      <c r="D289" s="7" t="s">
        <v>866</v>
      </c>
      <c r="E289" s="7" t="s">
        <v>1149</v>
      </c>
      <c r="F289" t="s">
        <v>1438</v>
      </c>
      <c r="G289" s="7" t="s">
        <v>1725</v>
      </c>
      <c r="H289" t="s">
        <v>1737</v>
      </c>
      <c r="I289" t="s">
        <v>1743</v>
      </c>
      <c r="J289" t="s">
        <v>1786</v>
      </c>
      <c r="K289" s="2" t="str">
        <f t="shared" si="9"/>
        <v>1288,'LICENCIATURA','juanjesus.zacariasaguilar','111752','TOMAR DEL SND','ZACARIAS AGUILAR JUAN JESUS','INGENIERIA AEROESPACIAL','5to','MASCULINO','ACTIVO','',0,0,'','ALUMNO'</v>
      </c>
      <c r="L289" s="10" t="str">
        <f t="shared" si="8"/>
        <v>INSERT INTO participantes (id,nivel,correo,matricula,clave,nombre,carrera,grado,sexo,situacion,evaluados,num_evaluados,total_evaluaciones,ultimo_acceso,nivel_acceso) VALUES (1288,'LICENCIATURA','juanjesus.zacariasaguilar','111752','TOMAR DEL SND','ZACARIAS AGUILAR JUAN JESUS','INGENIERIA AEROESPACIAL','5to','MASCULINO','ACTIVO','',0,0,'','ALUMNO');</v>
      </c>
    </row>
    <row r="290" spans="1:12" ht="130.5" x14ac:dyDescent="0.35">
      <c r="A290" s="7">
        <v>1289</v>
      </c>
      <c r="B290" s="6" t="s">
        <v>5</v>
      </c>
      <c r="C290" t="s">
        <v>295</v>
      </c>
      <c r="D290" s="7" t="s">
        <v>867</v>
      </c>
      <c r="E290" s="7" t="s">
        <v>1149</v>
      </c>
      <c r="F290" t="s">
        <v>1439</v>
      </c>
      <c r="G290" s="7" t="s">
        <v>1725</v>
      </c>
      <c r="H290" t="s">
        <v>1737</v>
      </c>
      <c r="I290" t="s">
        <v>1743</v>
      </c>
      <c r="J290" t="s">
        <v>1786</v>
      </c>
      <c r="K290" s="2" t="str">
        <f t="shared" si="9"/>
        <v>1289,'LICENCIATURA','diegomisael.patiñomejia','111753','TOMAR DEL SND','PATIÑO MEJIA DIEGO MISAEL','INGENIERIA AEROESPACIAL','5to','MASCULINO','ACTIVO','',0,0,'','ALUMNO'</v>
      </c>
      <c r="L290" s="10" t="str">
        <f t="shared" si="8"/>
        <v>INSERT INTO participantes (id,nivel,correo,matricula,clave,nombre,carrera,grado,sexo,situacion,evaluados,num_evaluados,total_evaluaciones,ultimo_acceso,nivel_acceso) VALUES (1289,'LICENCIATURA','diegomisael.patiñomejia','111753','TOMAR DEL SND','PATIÑO MEJIA DIEGO MISAEL','INGENIERIA AEROESPACIAL','5to','MASCULINO','ACTIVO','',0,0,'','ALUMNO');</v>
      </c>
    </row>
    <row r="291" spans="1:12" ht="130.5" x14ac:dyDescent="0.35">
      <c r="A291" s="7">
        <v>1290</v>
      </c>
      <c r="B291" s="6" t="s">
        <v>5</v>
      </c>
      <c r="C291" t="s">
        <v>296</v>
      </c>
      <c r="D291" s="7" t="s">
        <v>868</v>
      </c>
      <c r="E291" s="7" t="s">
        <v>1149</v>
      </c>
      <c r="F291" t="s">
        <v>1440</v>
      </c>
      <c r="G291" s="7" t="s">
        <v>1725</v>
      </c>
      <c r="H291" t="s">
        <v>1737</v>
      </c>
      <c r="I291" t="s">
        <v>1743</v>
      </c>
      <c r="J291" t="s">
        <v>1786</v>
      </c>
      <c r="K291" s="2" t="str">
        <f t="shared" si="9"/>
        <v>1290,'LICENCIATURA','marcogabriel.prezaruvalcaba','111755','TOMAR DEL SND','PREZA RUVALCABA MARCO GABRIEL','INGENIERIA AEROESPACIAL','5to','MASCULINO','ACTIVO','',0,0,'','ALUMNO'</v>
      </c>
      <c r="L291" s="10" t="str">
        <f t="shared" si="8"/>
        <v>INSERT INTO participantes (id,nivel,correo,matricula,clave,nombre,carrera,grado,sexo,situacion,evaluados,num_evaluados,total_evaluaciones,ultimo_acceso,nivel_acceso) VALUES (1290,'LICENCIATURA','marcogabriel.prezaruvalcaba','111755','TOMAR DEL SND','PREZA RUVALCABA MARCO GABRIEL','INGENIERIA AEROESPACIAL','5to','MASCULINO','ACTIVO','',0,0,'','ALUMNO');</v>
      </c>
    </row>
    <row r="292" spans="1:12" ht="130.5" x14ac:dyDescent="0.35">
      <c r="A292" s="7">
        <v>1291</v>
      </c>
      <c r="B292" s="6" t="s">
        <v>5</v>
      </c>
      <c r="C292" t="s">
        <v>297</v>
      </c>
      <c r="D292" s="7" t="s">
        <v>869</v>
      </c>
      <c r="E292" s="7" t="s">
        <v>1149</v>
      </c>
      <c r="F292" t="s">
        <v>1441</v>
      </c>
      <c r="G292" s="7" t="s">
        <v>1731</v>
      </c>
      <c r="H292" t="s">
        <v>1737</v>
      </c>
      <c r="I292" t="s">
        <v>1743</v>
      </c>
      <c r="J292" t="s">
        <v>1786</v>
      </c>
      <c r="K292" s="2" t="str">
        <f t="shared" si="9"/>
        <v>1291,'LICENCIATURA','ilichlenin.dejesusprado','111756','TOMAR DEL SND','DE JESUS PRADO ILICH LENIN','INGENIERÍA AUTOMOTRIZ','5to','MASCULINO','ACTIVO','',0,0,'','ALUMNO'</v>
      </c>
      <c r="L292" s="10" t="str">
        <f t="shared" si="8"/>
        <v>INSERT INTO participantes (id,nivel,correo,matricula,clave,nombre,carrera,grado,sexo,situacion,evaluados,num_evaluados,total_evaluaciones,ultimo_acceso,nivel_acceso) VALUES (1291,'LICENCIATURA','ilichlenin.dejesusprado','111756','TOMAR DEL SND','DE JESUS PRADO ILICH LENIN','INGENIERÍA AUTOMOTRIZ','5to','MASCULINO','ACTIVO','',0,0,'','ALUMNO');</v>
      </c>
    </row>
    <row r="293" spans="1:12" ht="130.5" x14ac:dyDescent="0.35">
      <c r="A293" s="7">
        <v>1292</v>
      </c>
      <c r="B293" s="6" t="s">
        <v>5</v>
      </c>
      <c r="C293" t="s">
        <v>298</v>
      </c>
      <c r="D293" s="7" t="s">
        <v>870</v>
      </c>
      <c r="E293" s="7" t="s">
        <v>1149</v>
      </c>
      <c r="F293" t="s">
        <v>1442</v>
      </c>
      <c r="G293" s="7" t="s">
        <v>1725</v>
      </c>
      <c r="H293" t="s">
        <v>1737</v>
      </c>
      <c r="I293" t="s">
        <v>1743</v>
      </c>
      <c r="J293" t="s">
        <v>1786</v>
      </c>
      <c r="K293" s="2" t="str">
        <f t="shared" si="9"/>
        <v>1292,'LICENCIATURA','cristopheradrian.saucedolupercio','111757','TOMAR DEL SND','SAUCEDO LUPERCIO CRISTOPHER ADRIAN','INGENIERIA AEROESPACIAL','5to','MASCULINO','ACTIVO','',0,0,'','ALUMNO'</v>
      </c>
      <c r="L293" s="10" t="str">
        <f t="shared" si="8"/>
        <v>INSERT INTO participantes (id,nivel,correo,matricula,clave,nombre,carrera,grado,sexo,situacion,evaluados,num_evaluados,total_evaluaciones,ultimo_acceso,nivel_acceso) VALUES (1292,'LICENCIATURA','cristopheradrian.saucedolupercio','111757','TOMAR DEL SND','SAUCEDO LUPERCIO CRISTOPHER ADRIAN','INGENIERIA AEROESPACIAL','5to','MASCULINO','ACTIVO','',0,0,'','ALUMNO');</v>
      </c>
    </row>
    <row r="294" spans="1:12" ht="130.5" x14ac:dyDescent="0.35">
      <c r="A294" s="7">
        <v>1293</v>
      </c>
      <c r="B294" s="6" t="s">
        <v>5</v>
      </c>
      <c r="C294" t="s">
        <v>299</v>
      </c>
      <c r="D294" s="7" t="s">
        <v>871</v>
      </c>
      <c r="E294" s="7" t="s">
        <v>1149</v>
      </c>
      <c r="F294" t="s">
        <v>1443</v>
      </c>
      <c r="G294" s="7" t="s">
        <v>1725</v>
      </c>
      <c r="H294" t="s">
        <v>1737</v>
      </c>
      <c r="I294" t="s">
        <v>1743</v>
      </c>
      <c r="J294" t="s">
        <v>1786</v>
      </c>
      <c r="K294" s="2" t="str">
        <f t="shared" si="9"/>
        <v>1293,'LICENCIATURA','mauriciojavier.quinterourzua','111759','TOMAR DEL SND','QUINTERO URZUA MAURICIO JAVIER','INGENIERIA AEROESPACIAL','5to','MASCULINO','ACTIVO','',0,0,'','ALUMNO'</v>
      </c>
      <c r="L294" s="10" t="str">
        <f t="shared" si="8"/>
        <v>INSERT INTO participantes (id,nivel,correo,matricula,clave,nombre,carrera,grado,sexo,situacion,evaluados,num_evaluados,total_evaluaciones,ultimo_acceso,nivel_acceso) VALUES (1293,'LICENCIATURA','mauriciojavier.quinterourzua','111759','TOMAR DEL SND','QUINTERO URZUA MAURICIO JAVIER','INGENIERIA AEROESPACIAL','5to','MASCULINO','ACTIVO','',0,0,'','ALUMNO');</v>
      </c>
    </row>
    <row r="295" spans="1:12" ht="130.5" x14ac:dyDescent="0.35">
      <c r="A295" s="7">
        <v>1294</v>
      </c>
      <c r="B295" s="6" t="s">
        <v>5</v>
      </c>
      <c r="C295" t="s">
        <v>300</v>
      </c>
      <c r="D295" s="7" t="s">
        <v>872</v>
      </c>
      <c r="E295" s="7" t="s">
        <v>1149</v>
      </c>
      <c r="F295" t="s">
        <v>1444</v>
      </c>
      <c r="G295" s="7" t="s">
        <v>1726</v>
      </c>
      <c r="H295" t="s">
        <v>1737</v>
      </c>
      <c r="I295" t="s">
        <v>1744</v>
      </c>
      <c r="J295" t="s">
        <v>1786</v>
      </c>
      <c r="K295" s="2" t="str">
        <f t="shared" si="9"/>
        <v>1294,'LICENCIATURA','perlabeatriz.avilesbretado','111760','TOMAR DEL SND','AVILES BRETADO PERLA BEATRIZ','PSICOLOGIA','5to','FEMENINO','ACTIVO','',0,0,'','ALUMNO'</v>
      </c>
      <c r="L295" s="10" t="str">
        <f t="shared" si="8"/>
        <v>INSERT INTO participantes (id,nivel,correo,matricula,clave,nombre,carrera,grado,sexo,situacion,evaluados,num_evaluados,total_evaluaciones,ultimo_acceso,nivel_acceso) VALUES (1294,'LICENCIATURA','perlabeatriz.avilesbretado','111760','TOMAR DEL SND','AVILES BRETADO PERLA BEATRIZ','PSICOLOGIA','5to','FEMENINO','ACTIVO','',0,0,'','ALUMNO');</v>
      </c>
    </row>
    <row r="296" spans="1:12" ht="130.5" x14ac:dyDescent="0.35">
      <c r="A296" s="7">
        <v>1295</v>
      </c>
      <c r="B296" s="6" t="s">
        <v>5</v>
      </c>
      <c r="C296" t="s">
        <v>301</v>
      </c>
      <c r="D296" s="7" t="s">
        <v>873</v>
      </c>
      <c r="E296" s="7" t="s">
        <v>1149</v>
      </c>
      <c r="F296" t="s">
        <v>1445</v>
      </c>
      <c r="G296" s="7" t="s">
        <v>1726</v>
      </c>
      <c r="H296" t="s">
        <v>1737</v>
      </c>
      <c r="I296" t="s">
        <v>1744</v>
      </c>
      <c r="J296" t="s">
        <v>1786</v>
      </c>
      <c r="K296" s="2" t="str">
        <f t="shared" si="9"/>
        <v>1295,'LICENCIATURA','farahisabella.florestapia','111761','TOMAR DEL SND','FLORES TAPIA FARAH ISABELLA','PSICOLOGIA','5to','FEMENINO','ACTIVO','',0,0,'','ALUMNO'</v>
      </c>
      <c r="L296" s="10" t="str">
        <f t="shared" si="8"/>
        <v>INSERT INTO participantes (id,nivel,correo,matricula,clave,nombre,carrera,grado,sexo,situacion,evaluados,num_evaluados,total_evaluaciones,ultimo_acceso,nivel_acceso) VALUES (1295,'LICENCIATURA','farahisabella.florestapia','111761','TOMAR DEL SND','FLORES TAPIA FARAH ISABELLA','PSICOLOGIA','5to','FEMENINO','ACTIVO','',0,0,'','ALUMNO');</v>
      </c>
    </row>
    <row r="297" spans="1:12" ht="130.5" x14ac:dyDescent="0.35">
      <c r="A297" s="7">
        <v>1296</v>
      </c>
      <c r="B297" s="6" t="s">
        <v>5</v>
      </c>
      <c r="C297" t="s">
        <v>302</v>
      </c>
      <c r="D297" s="7" t="s">
        <v>874</v>
      </c>
      <c r="E297" s="7" t="s">
        <v>1149</v>
      </c>
      <c r="F297" t="s">
        <v>1446</v>
      </c>
      <c r="G297" s="7" t="s">
        <v>1725</v>
      </c>
      <c r="H297" t="s">
        <v>1737</v>
      </c>
      <c r="I297" t="s">
        <v>1743</v>
      </c>
      <c r="J297" t="s">
        <v>1786</v>
      </c>
      <c r="K297" s="2" t="str">
        <f t="shared" si="9"/>
        <v>1296,'LICENCIATURA','jaimegabriel.muñozsandoval','111762','TOMAR DEL SND','MUÑOZ SANDOVAL JAIME GABRIEL','INGENIERIA AEROESPACIAL','5to','MASCULINO','ACTIVO','',0,0,'','ALUMNO'</v>
      </c>
      <c r="L297" s="10" t="str">
        <f t="shared" si="8"/>
        <v>INSERT INTO participantes (id,nivel,correo,matricula,clave,nombre,carrera,grado,sexo,situacion,evaluados,num_evaluados,total_evaluaciones,ultimo_acceso,nivel_acceso) VALUES (1296,'LICENCIATURA','jaimegabriel.muñozsandoval','111762','TOMAR DEL SND','MUÑOZ SANDOVAL JAIME GABRIEL','INGENIERIA AEROESPACIAL','5to','MASCULINO','ACTIVO','',0,0,'','ALUMNO');</v>
      </c>
    </row>
    <row r="298" spans="1:12" ht="130.5" x14ac:dyDescent="0.35">
      <c r="A298" s="7">
        <v>1297</v>
      </c>
      <c r="B298" s="6" t="s">
        <v>5</v>
      </c>
      <c r="C298" t="s">
        <v>303</v>
      </c>
      <c r="D298" s="7" t="s">
        <v>875</v>
      </c>
      <c r="E298" s="7" t="s">
        <v>1149</v>
      </c>
      <c r="F298" t="s">
        <v>1447</v>
      </c>
      <c r="G298" s="7" t="s">
        <v>1725</v>
      </c>
      <c r="H298" t="s">
        <v>1737</v>
      </c>
      <c r="I298" t="s">
        <v>1744</v>
      </c>
      <c r="J298" t="s">
        <v>1786</v>
      </c>
      <c r="K298" s="2" t="str">
        <f t="shared" si="9"/>
        <v>1297,'LICENCIATURA','airamvictoria.mirandaguerra','111763','TOMAR DEL SND','MIRANDA GUERRA AIRAM VICTORIA','INGENIERIA AEROESPACIAL','5to','FEMENINO','ACTIVO','',0,0,'','ALUMNO'</v>
      </c>
      <c r="L298" s="10" t="str">
        <f t="shared" si="8"/>
        <v>INSERT INTO participantes (id,nivel,correo,matricula,clave,nombre,carrera,grado,sexo,situacion,evaluados,num_evaluados,total_evaluaciones,ultimo_acceso,nivel_acceso) VALUES (1297,'LICENCIATURA','airamvictoria.mirandaguerra','111763','TOMAR DEL SND','MIRANDA GUERRA AIRAM VICTORIA','INGENIERIA AEROESPACIAL','5to','FEMENINO','ACTIVO','',0,0,'','ALUMNO');</v>
      </c>
    </row>
    <row r="299" spans="1:12" ht="130.5" x14ac:dyDescent="0.35">
      <c r="A299" s="7">
        <v>1298</v>
      </c>
      <c r="B299" s="6" t="s">
        <v>5</v>
      </c>
      <c r="C299" t="s">
        <v>304</v>
      </c>
      <c r="D299" s="7" t="s">
        <v>876</v>
      </c>
      <c r="E299" s="7" t="s">
        <v>1149</v>
      </c>
      <c r="F299" t="s">
        <v>1448</v>
      </c>
      <c r="G299" s="7" t="s">
        <v>1727</v>
      </c>
      <c r="H299" t="s">
        <v>1737</v>
      </c>
      <c r="I299" t="s">
        <v>1744</v>
      </c>
      <c r="J299" t="s">
        <v>1786</v>
      </c>
      <c r="K299" s="2" t="str">
        <f t="shared" si="9"/>
        <v>1298,'LICENCIATURA','dayramichelle.zuñigahernandez','111764','TOMAR DEL SND','ZUÑIGA HERNANDEZ DAYRA MICHELLE','ADMINISTRACION Y DIRECCION DE NEGOCIOS','5to','FEMENINO','ACTIVO','',0,0,'','ALUMNO'</v>
      </c>
      <c r="L299" s="10" t="str">
        <f t="shared" si="8"/>
        <v>INSERT INTO participantes (id,nivel,correo,matricula,clave,nombre,carrera,grado,sexo,situacion,evaluados,num_evaluados,total_evaluaciones,ultimo_acceso,nivel_acceso) VALUES (1298,'LICENCIATURA','dayramichelle.zuñigahernandez','111764','TOMAR DEL SND','ZUÑIGA HERNANDEZ DAYRA MICHELLE','ADMINISTRACION Y DIRECCION DE NEGOCIOS','5to','FEMENINO','ACTIVO','',0,0,'','ALUMNO');</v>
      </c>
    </row>
    <row r="300" spans="1:12" ht="130.5" x14ac:dyDescent="0.35">
      <c r="A300" s="7">
        <v>1299</v>
      </c>
      <c r="B300" s="6" t="s">
        <v>5</v>
      </c>
      <c r="C300" t="s">
        <v>305</v>
      </c>
      <c r="D300" s="7" t="s">
        <v>877</v>
      </c>
      <c r="E300" s="7" t="s">
        <v>1149</v>
      </c>
      <c r="F300" t="s">
        <v>1449</v>
      </c>
      <c r="G300" s="7" t="s">
        <v>1724</v>
      </c>
      <c r="H300" t="s">
        <v>1737</v>
      </c>
      <c r="I300" t="s">
        <v>1744</v>
      </c>
      <c r="J300" t="s">
        <v>1786</v>
      </c>
      <c r="K300" s="2" t="str">
        <f t="shared" si="9"/>
        <v>1299,'LICENCIATURA','anakarol.jimenezmartinez','111765','TOMAR DEL SND','JIMENEZ MARTINEZ ANA KAROL','NUTRICION Y GASTRONOMIA','5to','FEMENINO','ACTIVO','',0,0,'','ALUMNO'</v>
      </c>
      <c r="L300" s="10" t="str">
        <f t="shared" si="8"/>
        <v>INSERT INTO participantes (id,nivel,correo,matricula,clave,nombre,carrera,grado,sexo,situacion,evaluados,num_evaluados,total_evaluaciones,ultimo_acceso,nivel_acceso) VALUES (1299,'LICENCIATURA','anakarol.jimenezmartinez','111765','TOMAR DEL SND','JIMENEZ MARTINEZ ANA KAROL','NUTRICION Y GASTRONOMIA','5to','FEMENINO','ACTIVO','',0,0,'','ALUMNO');</v>
      </c>
    </row>
    <row r="301" spans="1:12" ht="130.5" x14ac:dyDescent="0.35">
      <c r="A301" s="7">
        <v>1300</v>
      </c>
      <c r="B301" s="6" t="s">
        <v>5</v>
      </c>
      <c r="C301" t="s">
        <v>306</v>
      </c>
      <c r="D301" s="7" t="s">
        <v>878</v>
      </c>
      <c r="E301" s="7" t="s">
        <v>1149</v>
      </c>
      <c r="F301" t="s">
        <v>1450</v>
      </c>
      <c r="G301" s="7" t="s">
        <v>1730</v>
      </c>
      <c r="H301" t="s">
        <v>1737</v>
      </c>
      <c r="I301" t="s">
        <v>1744</v>
      </c>
      <c r="J301" t="s">
        <v>1786</v>
      </c>
      <c r="K301" s="2" t="str">
        <f t="shared" si="9"/>
        <v>1300,'LICENCIATURA','isabelhiromi.inukaimorales','111766','TOMAR DEL SND','INUKAI MORALES ISABEL HIROMI','ANIMACION DIGITAL Y VIDEOJUEGOS','5to','FEMENINO','ACTIVO','',0,0,'','ALUMNO'</v>
      </c>
      <c r="L301" s="10" t="str">
        <f t="shared" si="8"/>
        <v>INSERT INTO participantes (id,nivel,correo,matricula,clave,nombre,carrera,grado,sexo,situacion,evaluados,num_evaluados,total_evaluaciones,ultimo_acceso,nivel_acceso) VALUES (1300,'LICENCIATURA','isabelhiromi.inukaimorales','111766','TOMAR DEL SND','INUKAI MORALES ISABEL HIROMI','ANIMACION DIGITAL Y VIDEOJUEGOS','5to','FEMENINO','ACTIVO','',0,0,'','ALUMNO');</v>
      </c>
    </row>
    <row r="302" spans="1:12" ht="130.5" x14ac:dyDescent="0.35">
      <c r="A302" s="7">
        <v>1301</v>
      </c>
      <c r="B302" s="6" t="s">
        <v>5</v>
      </c>
      <c r="C302" t="s">
        <v>307</v>
      </c>
      <c r="D302" s="7" t="s">
        <v>879</v>
      </c>
      <c r="E302" s="7" t="s">
        <v>1149</v>
      </c>
      <c r="F302" t="s">
        <v>1451</v>
      </c>
      <c r="G302" s="7" t="s">
        <v>1729</v>
      </c>
      <c r="H302" t="s">
        <v>1737</v>
      </c>
      <c r="I302" t="s">
        <v>1744</v>
      </c>
      <c r="J302" t="s">
        <v>1786</v>
      </c>
      <c r="K302" s="2" t="str">
        <f t="shared" si="9"/>
        <v>1301,'LICENCIATURA','regina.lopezalvarez','111767','TOMAR DEL SND','LOPEZ ALVAREZ REGINA','ARQUITECTURA','5to','FEMENINO','ACTIVO','',0,0,'','ALUMNO'</v>
      </c>
      <c r="L302" s="10" t="str">
        <f t="shared" si="8"/>
        <v>INSERT INTO participantes (id,nivel,correo,matricula,clave,nombre,carrera,grado,sexo,situacion,evaluados,num_evaluados,total_evaluaciones,ultimo_acceso,nivel_acceso) VALUES (1301,'LICENCIATURA','regina.lopezalvarez','111767','TOMAR DEL SND','LOPEZ ALVAREZ REGINA','ARQUITECTURA','5to','FEMENINO','ACTIVO','',0,0,'','ALUMNO');</v>
      </c>
    </row>
    <row r="303" spans="1:12" ht="130.5" x14ac:dyDescent="0.35">
      <c r="A303" s="7">
        <v>1302</v>
      </c>
      <c r="B303" s="6" t="s">
        <v>5</v>
      </c>
      <c r="C303" t="s">
        <v>308</v>
      </c>
      <c r="D303" s="7" t="s">
        <v>880</v>
      </c>
      <c r="E303" s="7" t="s">
        <v>1149</v>
      </c>
      <c r="F303" t="s">
        <v>1452</v>
      </c>
      <c r="G303" s="7" t="s">
        <v>1725</v>
      </c>
      <c r="H303" t="s">
        <v>1737</v>
      </c>
      <c r="I303" t="s">
        <v>1744</v>
      </c>
      <c r="J303" t="s">
        <v>1786</v>
      </c>
      <c r="K303" s="2" t="str">
        <f t="shared" si="9"/>
        <v>1302,'LICENCIATURA','claudiaberenice.alfaroruiz','111768','TOMAR DEL SND','ALFARO RUIZ CLAUDIA BERENICE','INGENIERIA AEROESPACIAL','5to','FEMENINO','ACTIVO','',0,0,'','ALUMNO'</v>
      </c>
      <c r="L303" s="10" t="str">
        <f t="shared" si="8"/>
        <v>INSERT INTO participantes (id,nivel,correo,matricula,clave,nombre,carrera,grado,sexo,situacion,evaluados,num_evaluados,total_evaluaciones,ultimo_acceso,nivel_acceso) VALUES (1302,'LICENCIATURA','claudiaberenice.alfaroruiz','111768','TOMAR DEL SND','ALFARO RUIZ CLAUDIA BERENICE','INGENIERIA AEROESPACIAL','5to','FEMENINO','ACTIVO','',0,0,'','ALUMNO');</v>
      </c>
    </row>
    <row r="304" spans="1:12" ht="130.5" x14ac:dyDescent="0.35">
      <c r="A304" s="7">
        <v>1303</v>
      </c>
      <c r="B304" s="6" t="s">
        <v>5</v>
      </c>
      <c r="C304" t="s">
        <v>309</v>
      </c>
      <c r="D304" s="7" t="s">
        <v>881</v>
      </c>
      <c r="E304" s="7" t="s">
        <v>1149</v>
      </c>
      <c r="F304" t="s">
        <v>1453</v>
      </c>
      <c r="G304" s="7" t="s">
        <v>1725</v>
      </c>
      <c r="H304" t="s">
        <v>1737</v>
      </c>
      <c r="I304" t="s">
        <v>1743</v>
      </c>
      <c r="J304" t="s">
        <v>1786</v>
      </c>
      <c r="K304" s="2" t="str">
        <f t="shared" si="9"/>
        <v>1303,'LICENCIATURA','josuejavier.perezlopez','111770','TOMAR DEL SND','PEREZ LOPEZ JOSUE JAVIER','INGENIERIA AEROESPACIAL','5to','MASCULINO','ACTIVO','',0,0,'','ALUMNO'</v>
      </c>
      <c r="L304" s="10" t="str">
        <f t="shared" si="8"/>
        <v>INSERT INTO participantes (id,nivel,correo,matricula,clave,nombre,carrera,grado,sexo,situacion,evaluados,num_evaluados,total_evaluaciones,ultimo_acceso,nivel_acceso) VALUES (1303,'LICENCIATURA','josuejavier.perezlopez','111770','TOMAR DEL SND','PEREZ LOPEZ JOSUE JAVIER','INGENIERIA AEROESPACIAL','5to','MASCULINO','ACTIVO','',0,0,'','ALUMNO');</v>
      </c>
    </row>
    <row r="305" spans="1:12" ht="130.5" x14ac:dyDescent="0.35">
      <c r="A305" s="7">
        <v>1304</v>
      </c>
      <c r="B305" s="6" t="s">
        <v>5</v>
      </c>
      <c r="C305" t="s">
        <v>310</v>
      </c>
      <c r="D305" s="7" t="s">
        <v>882</v>
      </c>
      <c r="E305" s="7" t="s">
        <v>1149</v>
      </c>
      <c r="F305" t="s">
        <v>1454</v>
      </c>
      <c r="G305" s="7" t="s">
        <v>1731</v>
      </c>
      <c r="H305" t="s">
        <v>1737</v>
      </c>
      <c r="I305" t="s">
        <v>1743</v>
      </c>
      <c r="J305" t="s">
        <v>1786</v>
      </c>
      <c r="K305" s="2" t="str">
        <f t="shared" si="9"/>
        <v>1304,'LICENCIATURA','joseangel.perezcontreras','111771','TOMAR DEL SND','PEREZ CONTRERAS JOSE ANGEL','INGENIERÍA AUTOMOTRIZ','5to','MASCULINO','ACTIVO','',0,0,'','ALUMNO'</v>
      </c>
      <c r="L305" s="10" t="str">
        <f t="shared" si="8"/>
        <v>INSERT INTO participantes (id,nivel,correo,matricula,clave,nombre,carrera,grado,sexo,situacion,evaluados,num_evaluados,total_evaluaciones,ultimo_acceso,nivel_acceso) VALUES (1304,'LICENCIATURA','joseangel.perezcontreras','111771','TOMAR DEL SND','PEREZ CONTRERAS JOSE ANGEL','INGENIERÍA AUTOMOTRIZ','5to','MASCULINO','ACTIVO','',0,0,'','ALUMNO');</v>
      </c>
    </row>
    <row r="306" spans="1:12" ht="130.5" x14ac:dyDescent="0.35">
      <c r="A306" s="7">
        <v>1305</v>
      </c>
      <c r="B306" s="6" t="s">
        <v>5</v>
      </c>
      <c r="C306" t="s">
        <v>311</v>
      </c>
      <c r="D306" s="7" t="s">
        <v>883</v>
      </c>
      <c r="E306" s="7" t="s">
        <v>1149</v>
      </c>
      <c r="F306" t="s">
        <v>1455</v>
      </c>
      <c r="G306" s="7" t="s">
        <v>1724</v>
      </c>
      <c r="H306" t="s">
        <v>1737</v>
      </c>
      <c r="I306" t="s">
        <v>1744</v>
      </c>
      <c r="J306" t="s">
        <v>1786</v>
      </c>
      <c r="K306" s="2" t="str">
        <f t="shared" si="9"/>
        <v>1305,'LICENCIATURA','abbydessire.pelayodiaz','111772','TOMAR DEL SND','PELAYO DIAZ ABBY DESSIRE','NUTRICION Y GASTRONOMIA','5to','FEMENINO','ACTIVO','',0,0,'','ALUMNO'</v>
      </c>
      <c r="L306" s="10" t="str">
        <f t="shared" si="8"/>
        <v>INSERT INTO participantes (id,nivel,correo,matricula,clave,nombre,carrera,grado,sexo,situacion,evaluados,num_evaluados,total_evaluaciones,ultimo_acceso,nivel_acceso) VALUES (1305,'LICENCIATURA','abbydessire.pelayodiaz','111772','TOMAR DEL SND','PELAYO DIAZ ABBY DESSIRE','NUTRICION Y GASTRONOMIA','5to','FEMENINO','ACTIVO','',0,0,'','ALUMNO');</v>
      </c>
    </row>
    <row r="307" spans="1:12" ht="130.5" x14ac:dyDescent="0.35">
      <c r="A307" s="7">
        <v>1306</v>
      </c>
      <c r="B307" s="6" t="s">
        <v>5</v>
      </c>
      <c r="C307" t="s">
        <v>312</v>
      </c>
      <c r="D307" s="7" t="s">
        <v>884</v>
      </c>
      <c r="E307" s="7" t="s">
        <v>1149</v>
      </c>
      <c r="F307" t="s">
        <v>1456</v>
      </c>
      <c r="G307" s="7" t="s">
        <v>1727</v>
      </c>
      <c r="H307" t="s">
        <v>1737</v>
      </c>
      <c r="I307" t="s">
        <v>1743</v>
      </c>
      <c r="J307" t="s">
        <v>1786</v>
      </c>
      <c r="K307" s="2" t="str">
        <f t="shared" si="9"/>
        <v>1306,'LICENCIATURA','cristian.villarruelsandoval','111773','TOMAR DEL SND','VILLARRUEL SANDOVAL CRISTIAN','ADMINISTRACION Y DIRECCION DE NEGOCIOS','5to','MASCULINO','ACTIVO','',0,0,'','ALUMNO'</v>
      </c>
      <c r="L307" s="10" t="str">
        <f t="shared" si="8"/>
        <v>INSERT INTO participantes (id,nivel,correo,matricula,clave,nombre,carrera,grado,sexo,situacion,evaluados,num_evaluados,total_evaluaciones,ultimo_acceso,nivel_acceso) VALUES (1306,'LICENCIATURA','cristian.villarruelsandoval','111773','TOMAR DEL SND','VILLARRUEL SANDOVAL CRISTIAN','ADMINISTRACION Y DIRECCION DE NEGOCIOS','5to','MASCULINO','ACTIVO','',0,0,'','ALUMNO');</v>
      </c>
    </row>
    <row r="308" spans="1:12" ht="130.5" x14ac:dyDescent="0.35">
      <c r="A308" s="7">
        <v>1307</v>
      </c>
      <c r="B308" s="6" t="s">
        <v>5</v>
      </c>
      <c r="C308" t="s">
        <v>313</v>
      </c>
      <c r="D308" s="7" t="s">
        <v>885</v>
      </c>
      <c r="E308" s="7" t="s">
        <v>1149</v>
      </c>
      <c r="F308" t="s">
        <v>1457</v>
      </c>
      <c r="G308" s="7" t="s">
        <v>1725</v>
      </c>
      <c r="H308" t="s">
        <v>1737</v>
      </c>
      <c r="I308" t="s">
        <v>1743</v>
      </c>
      <c r="J308" t="s">
        <v>1786</v>
      </c>
      <c r="K308" s="2" t="str">
        <f t="shared" si="9"/>
        <v>1307,'LICENCIATURA','guillermojose.sosayavilagonzalez','111774','TOMAR DEL SND','SOSA Y AVILA GONZALEZ GUILLERMO JOSE','INGENIERIA AEROESPACIAL','5to','MASCULINO','ACTIVO','',0,0,'','ALUMNO'</v>
      </c>
      <c r="L308" s="10" t="str">
        <f t="shared" si="8"/>
        <v>INSERT INTO participantes (id,nivel,correo,matricula,clave,nombre,carrera,grado,sexo,situacion,evaluados,num_evaluados,total_evaluaciones,ultimo_acceso,nivel_acceso) VALUES (1307,'LICENCIATURA','guillermojose.sosayavilagonzalez','111774','TOMAR DEL SND','SOSA Y AVILA GONZALEZ GUILLERMO JOSE','INGENIERIA AEROESPACIAL','5to','MASCULINO','ACTIVO','',0,0,'','ALUMNO');</v>
      </c>
    </row>
    <row r="309" spans="1:12" ht="130.5" x14ac:dyDescent="0.35">
      <c r="A309" s="7">
        <v>1308</v>
      </c>
      <c r="B309" s="6" t="s">
        <v>5</v>
      </c>
      <c r="C309" t="s">
        <v>314</v>
      </c>
      <c r="D309" s="7" t="s">
        <v>886</v>
      </c>
      <c r="E309" s="7" t="s">
        <v>1149</v>
      </c>
      <c r="F309" t="s">
        <v>1458</v>
      </c>
      <c r="G309" s="7" t="s">
        <v>1731</v>
      </c>
      <c r="H309" t="s">
        <v>1739</v>
      </c>
      <c r="I309" t="s">
        <v>1743</v>
      </c>
      <c r="J309" t="s">
        <v>1786</v>
      </c>
      <c r="K309" s="2" t="str">
        <f t="shared" si="9"/>
        <v>1308,'LICENCIATURA','rodrigo.salcedoromero','111775','TOMAR DEL SND','SALCEDO ROMERO RODRIGO','INGENIERÍA AUTOMOTRIZ','3ro','MASCULINO','ACTIVO','',0,0,'','ALUMNO'</v>
      </c>
      <c r="L309" s="10" t="str">
        <f t="shared" si="8"/>
        <v>INSERT INTO participantes (id,nivel,correo,matricula,clave,nombre,carrera,grado,sexo,situacion,evaluados,num_evaluados,total_evaluaciones,ultimo_acceso,nivel_acceso) VALUES (1308,'LICENCIATURA','rodrigo.salcedoromero','111775','TOMAR DEL SND','SALCEDO ROMERO RODRIGO','INGENIERÍA AUTOMOTRIZ','3ro','MASCULINO','ACTIVO','',0,0,'','ALUMNO');</v>
      </c>
    </row>
    <row r="310" spans="1:12" ht="130.5" x14ac:dyDescent="0.35">
      <c r="A310" s="7">
        <v>1309</v>
      </c>
      <c r="B310" s="6" t="s">
        <v>5</v>
      </c>
      <c r="C310" t="s">
        <v>315</v>
      </c>
      <c r="D310" s="7" t="s">
        <v>887</v>
      </c>
      <c r="E310" s="7" t="s">
        <v>1149</v>
      </c>
      <c r="F310" t="s">
        <v>1459</v>
      </c>
      <c r="G310" s="7" t="s">
        <v>1726</v>
      </c>
      <c r="H310" t="s">
        <v>1737</v>
      </c>
      <c r="I310" t="s">
        <v>1744</v>
      </c>
      <c r="J310" t="s">
        <v>1786</v>
      </c>
      <c r="K310" s="2" t="str">
        <f t="shared" si="9"/>
        <v>1309,'LICENCIATURA','natalia.ortizlopez','111777','TOMAR DEL SND','ORTIZ LOPEZ NATALIA','PSICOLOGIA','5to','FEMENINO','ACTIVO','',0,0,'','ALUMNO'</v>
      </c>
      <c r="L310" s="10" t="str">
        <f t="shared" si="8"/>
        <v>INSERT INTO participantes (id,nivel,correo,matricula,clave,nombre,carrera,grado,sexo,situacion,evaluados,num_evaluados,total_evaluaciones,ultimo_acceso,nivel_acceso) VALUES (1309,'LICENCIATURA','natalia.ortizlopez','111777','TOMAR DEL SND','ORTIZ LOPEZ NATALIA','PSICOLOGIA','5to','FEMENINO','ACTIVO','',0,0,'','ALUMNO');</v>
      </c>
    </row>
    <row r="311" spans="1:12" ht="130.5" x14ac:dyDescent="0.35">
      <c r="A311" s="7">
        <v>1310</v>
      </c>
      <c r="B311" s="6" t="s">
        <v>5</v>
      </c>
      <c r="C311" t="s">
        <v>316</v>
      </c>
      <c r="D311" s="7" t="s">
        <v>888</v>
      </c>
      <c r="E311" s="7" t="s">
        <v>1149</v>
      </c>
      <c r="F311" t="s">
        <v>1460</v>
      </c>
      <c r="G311" s="7" t="s">
        <v>1727</v>
      </c>
      <c r="H311" t="s">
        <v>1737</v>
      </c>
      <c r="I311" t="s">
        <v>1744</v>
      </c>
      <c r="J311" t="s">
        <v>1786</v>
      </c>
      <c r="K311" s="2" t="str">
        <f t="shared" si="9"/>
        <v>1310,'LICENCIATURA','valeriaalejandra.estradagil','111778','TOMAR DEL SND','ESTRADA GIL VALERIA ALEJANDRA','ADMINISTRACION Y DIRECCION DE NEGOCIOS','5to','FEMENINO','ACTIVO','',0,0,'','ALUMNO'</v>
      </c>
      <c r="L311" s="10" t="str">
        <f t="shared" si="8"/>
        <v>INSERT INTO participantes (id,nivel,correo,matricula,clave,nombre,carrera,grado,sexo,situacion,evaluados,num_evaluados,total_evaluaciones,ultimo_acceso,nivel_acceso) VALUES (1310,'LICENCIATURA','valeriaalejandra.estradagil','111778','TOMAR DEL SND','ESTRADA GIL VALERIA ALEJANDRA','ADMINISTRACION Y DIRECCION DE NEGOCIOS','5to','FEMENINO','ACTIVO','',0,0,'','ALUMNO');</v>
      </c>
    </row>
    <row r="312" spans="1:12" ht="130.5" x14ac:dyDescent="0.35">
      <c r="A312" s="7">
        <v>1311</v>
      </c>
      <c r="B312" s="6" t="s">
        <v>5</v>
      </c>
      <c r="C312" t="s">
        <v>317</v>
      </c>
      <c r="D312" s="7" t="s">
        <v>889</v>
      </c>
      <c r="E312" s="7" t="s">
        <v>1149</v>
      </c>
      <c r="F312" t="s">
        <v>1461</v>
      </c>
      <c r="G312" s="7" t="s">
        <v>1730</v>
      </c>
      <c r="H312" t="s">
        <v>1737</v>
      </c>
      <c r="I312" t="s">
        <v>1744</v>
      </c>
      <c r="J312" t="s">
        <v>1786</v>
      </c>
      <c r="K312" s="2" t="str">
        <f t="shared" si="9"/>
        <v>1311,'LICENCIATURA','michelleanahi.navarrozapata','111779','TOMAR DEL SND','NAVARRO ZAPATA MICHELLE ANAHI','ANIMACION DIGITAL Y VIDEOJUEGOS','5to','FEMENINO','ACTIVO','',0,0,'','ALUMNO'</v>
      </c>
      <c r="L312" s="10" t="str">
        <f t="shared" si="8"/>
        <v>INSERT INTO participantes (id,nivel,correo,matricula,clave,nombre,carrera,grado,sexo,situacion,evaluados,num_evaluados,total_evaluaciones,ultimo_acceso,nivel_acceso) VALUES (1311,'LICENCIATURA','michelleanahi.navarrozapata','111779','TOMAR DEL SND','NAVARRO ZAPATA MICHELLE ANAHI','ANIMACION DIGITAL Y VIDEOJUEGOS','5to','FEMENINO','ACTIVO','',0,0,'','ALUMNO');</v>
      </c>
    </row>
    <row r="313" spans="1:12" ht="130.5" x14ac:dyDescent="0.35">
      <c r="A313" s="7">
        <v>1312</v>
      </c>
      <c r="B313" s="6" t="s">
        <v>5</v>
      </c>
      <c r="C313" t="s">
        <v>318</v>
      </c>
      <c r="D313" s="7" t="s">
        <v>890</v>
      </c>
      <c r="E313" s="7" t="s">
        <v>1149</v>
      </c>
      <c r="F313" t="s">
        <v>1462</v>
      </c>
      <c r="G313" s="7" t="s">
        <v>1731</v>
      </c>
      <c r="H313" t="s">
        <v>1737</v>
      </c>
      <c r="I313" t="s">
        <v>1743</v>
      </c>
      <c r="J313" t="s">
        <v>1786</v>
      </c>
      <c r="K313" s="2" t="str">
        <f t="shared" si="9"/>
        <v>1312,'LICENCIATURA','joseluis.hortasoltero','111783','TOMAR DEL SND','HORTA SOLTERO JOSE LUIS','INGENIERÍA AUTOMOTRIZ','5to','MASCULINO','ACTIVO','',0,0,'','ALUMNO'</v>
      </c>
      <c r="L313" s="10" t="str">
        <f t="shared" si="8"/>
        <v>INSERT INTO participantes (id,nivel,correo,matricula,clave,nombre,carrera,grado,sexo,situacion,evaluados,num_evaluados,total_evaluaciones,ultimo_acceso,nivel_acceso) VALUES (1312,'LICENCIATURA','joseluis.hortasoltero','111783','TOMAR DEL SND','HORTA SOLTERO JOSE LUIS','INGENIERÍA AUTOMOTRIZ','5to','MASCULINO','ACTIVO','',0,0,'','ALUMNO');</v>
      </c>
    </row>
    <row r="314" spans="1:12" ht="130.5" x14ac:dyDescent="0.35">
      <c r="A314" s="7">
        <v>1313</v>
      </c>
      <c r="B314" s="6" t="s">
        <v>5</v>
      </c>
      <c r="C314" t="s">
        <v>319</v>
      </c>
      <c r="D314" s="7" t="s">
        <v>891</v>
      </c>
      <c r="E314" s="7" t="s">
        <v>1149</v>
      </c>
      <c r="F314" t="s">
        <v>1463</v>
      </c>
      <c r="G314" s="7" t="s">
        <v>1731</v>
      </c>
      <c r="H314" t="s">
        <v>1737</v>
      </c>
      <c r="I314" t="s">
        <v>1743</v>
      </c>
      <c r="J314" t="s">
        <v>1786</v>
      </c>
      <c r="K314" s="2" t="str">
        <f t="shared" si="9"/>
        <v>1313,'LICENCIATURA','adrian.jaimeojeda','111784','TOMAR DEL SND','JAIME OJEDA ADRIAN','INGENIERÍA AUTOMOTRIZ','5to','MASCULINO','ACTIVO','',0,0,'','ALUMNO'</v>
      </c>
      <c r="L314" s="10" t="str">
        <f t="shared" si="8"/>
        <v>INSERT INTO participantes (id,nivel,correo,matricula,clave,nombre,carrera,grado,sexo,situacion,evaluados,num_evaluados,total_evaluaciones,ultimo_acceso,nivel_acceso) VALUES (1313,'LICENCIATURA','adrian.jaimeojeda','111784','TOMAR DEL SND','JAIME OJEDA ADRIAN','INGENIERÍA AUTOMOTRIZ','5to','MASCULINO','ACTIVO','',0,0,'','ALUMNO');</v>
      </c>
    </row>
    <row r="315" spans="1:12" ht="130.5" x14ac:dyDescent="0.35">
      <c r="A315" s="7">
        <v>1314</v>
      </c>
      <c r="B315" s="6" t="s">
        <v>5</v>
      </c>
      <c r="C315" t="s">
        <v>320</v>
      </c>
      <c r="D315" s="7" t="s">
        <v>892</v>
      </c>
      <c r="E315" s="7" t="s">
        <v>1149</v>
      </c>
      <c r="F315" t="s">
        <v>1464</v>
      </c>
      <c r="G315" s="7" t="s">
        <v>1730</v>
      </c>
      <c r="H315" t="s">
        <v>1737</v>
      </c>
      <c r="I315" t="s">
        <v>1744</v>
      </c>
      <c r="J315" t="s">
        <v>1786</v>
      </c>
      <c r="K315" s="2" t="str">
        <f t="shared" si="9"/>
        <v>1314,'LICENCIATURA','valeria.torresfarias','111785','TOMAR DEL SND','TORRES FARIAS VALERIA','ANIMACION DIGITAL Y VIDEOJUEGOS','5to','FEMENINO','ACTIVO','',0,0,'','ALUMNO'</v>
      </c>
      <c r="L315" s="10" t="str">
        <f t="shared" si="8"/>
        <v>INSERT INTO participantes (id,nivel,correo,matricula,clave,nombre,carrera,grado,sexo,situacion,evaluados,num_evaluados,total_evaluaciones,ultimo_acceso,nivel_acceso) VALUES (1314,'LICENCIATURA','valeria.torresfarias','111785','TOMAR DEL SND','TORRES FARIAS VALERIA','ANIMACION DIGITAL Y VIDEOJUEGOS','5to','FEMENINO','ACTIVO','',0,0,'','ALUMNO');</v>
      </c>
    </row>
    <row r="316" spans="1:12" ht="130.5" x14ac:dyDescent="0.35">
      <c r="A316" s="7">
        <v>1315</v>
      </c>
      <c r="B316" s="6" t="s">
        <v>5</v>
      </c>
      <c r="C316" t="s">
        <v>321</v>
      </c>
      <c r="D316" s="7" t="s">
        <v>893</v>
      </c>
      <c r="E316" s="7" t="s">
        <v>1149</v>
      </c>
      <c r="F316" t="s">
        <v>1465</v>
      </c>
      <c r="G316" s="7" t="s">
        <v>1731</v>
      </c>
      <c r="H316" t="s">
        <v>1737</v>
      </c>
      <c r="I316" t="s">
        <v>1743</v>
      </c>
      <c r="J316" t="s">
        <v>1786</v>
      </c>
      <c r="K316" s="2" t="str">
        <f t="shared" si="9"/>
        <v>1315,'LICENCIATURA','hector.camposcardenas','111787','TOMAR DEL SND','CAMPOS CARDENAS HECTOR','INGENIERÍA AUTOMOTRIZ','5to','MASCULINO','ACTIVO','',0,0,'','ALUMNO'</v>
      </c>
      <c r="L316" s="10" t="str">
        <f t="shared" si="8"/>
        <v>INSERT INTO participantes (id,nivel,correo,matricula,clave,nombre,carrera,grado,sexo,situacion,evaluados,num_evaluados,total_evaluaciones,ultimo_acceso,nivel_acceso) VALUES (1315,'LICENCIATURA','hector.camposcardenas','111787','TOMAR DEL SND','CAMPOS CARDENAS HECTOR','INGENIERÍA AUTOMOTRIZ','5to','MASCULINO','ACTIVO','',0,0,'','ALUMNO');</v>
      </c>
    </row>
    <row r="317" spans="1:12" ht="130.5" x14ac:dyDescent="0.35">
      <c r="A317" s="7">
        <v>1316</v>
      </c>
      <c r="B317" s="6" t="s">
        <v>5</v>
      </c>
      <c r="C317" t="s">
        <v>322</v>
      </c>
      <c r="D317" s="7" t="s">
        <v>894</v>
      </c>
      <c r="E317" s="7" t="s">
        <v>1149</v>
      </c>
      <c r="F317" t="s">
        <v>1466</v>
      </c>
      <c r="G317" s="7" t="s">
        <v>1726</v>
      </c>
      <c r="H317" t="s">
        <v>1737</v>
      </c>
      <c r="I317" t="s">
        <v>1743</v>
      </c>
      <c r="J317" t="s">
        <v>1786</v>
      </c>
      <c r="K317" s="2" t="str">
        <f t="shared" si="9"/>
        <v>1316,'LICENCIATURA','oliver.rochagarcia','111788','TOMAR DEL SND','ROCHA GARCIA OLIVER','PSICOLOGIA','5to','MASCULINO','ACTIVO','',0,0,'','ALUMNO'</v>
      </c>
      <c r="L317" s="10" t="str">
        <f t="shared" si="8"/>
        <v>INSERT INTO participantes (id,nivel,correo,matricula,clave,nombre,carrera,grado,sexo,situacion,evaluados,num_evaluados,total_evaluaciones,ultimo_acceso,nivel_acceso) VALUES (1316,'LICENCIATURA','oliver.rochagarcia','111788','TOMAR DEL SND','ROCHA GARCIA OLIVER','PSICOLOGIA','5to','MASCULINO','ACTIVO','',0,0,'','ALUMNO');</v>
      </c>
    </row>
    <row r="318" spans="1:12" ht="130.5" x14ac:dyDescent="0.35">
      <c r="A318" s="7">
        <v>1317</v>
      </c>
      <c r="B318" s="6" t="s">
        <v>5</v>
      </c>
      <c r="C318" t="s">
        <v>323</v>
      </c>
      <c r="D318" s="7" t="s">
        <v>895</v>
      </c>
      <c r="E318" s="7" t="s">
        <v>1149</v>
      </c>
      <c r="F318" t="s">
        <v>1467</v>
      </c>
      <c r="G318" s="7" t="s">
        <v>1730</v>
      </c>
      <c r="H318" t="s">
        <v>1737</v>
      </c>
      <c r="I318" t="s">
        <v>1744</v>
      </c>
      <c r="J318" t="s">
        <v>1786</v>
      </c>
      <c r="K318" s="2" t="str">
        <f t="shared" si="9"/>
        <v>1317,'LICENCIATURA','berthaerica.guzmanaparicio','111791','TOMAR DEL SND','GUZMAN APARICIO BERTHA ERICA','ANIMACION DIGITAL Y VIDEOJUEGOS','5to','FEMENINO','ACTIVO','',0,0,'','ALUMNO'</v>
      </c>
      <c r="L318" s="10" t="str">
        <f t="shared" si="8"/>
        <v>INSERT INTO participantes (id,nivel,correo,matricula,clave,nombre,carrera,grado,sexo,situacion,evaluados,num_evaluados,total_evaluaciones,ultimo_acceso,nivel_acceso) VALUES (1317,'LICENCIATURA','berthaerica.guzmanaparicio','111791','TOMAR DEL SND','GUZMAN APARICIO BERTHA ERICA','ANIMACION DIGITAL Y VIDEOJUEGOS','5to','FEMENINO','ACTIVO','',0,0,'','ALUMNO');</v>
      </c>
    </row>
    <row r="319" spans="1:12" ht="130.5" x14ac:dyDescent="0.35">
      <c r="A319" s="7">
        <v>1318</v>
      </c>
      <c r="B319" s="6" t="s">
        <v>5</v>
      </c>
      <c r="C319" t="s">
        <v>324</v>
      </c>
      <c r="D319" s="7" t="s">
        <v>896</v>
      </c>
      <c r="E319" s="7" t="s">
        <v>1149</v>
      </c>
      <c r="F319" t="s">
        <v>1468</v>
      </c>
      <c r="G319" s="7" t="s">
        <v>1729</v>
      </c>
      <c r="H319" t="s">
        <v>1737</v>
      </c>
      <c r="I319" t="s">
        <v>1743</v>
      </c>
      <c r="J319" t="s">
        <v>1786</v>
      </c>
      <c r="K319" s="2" t="str">
        <f t="shared" si="9"/>
        <v>1318,'LICENCIATURA','leonardoaugusto.vazquezcastellanos','111792','TOMAR DEL SND','VAZQUEZ CASTELLANOS LEONARDO AUGUSTO','ARQUITECTURA','5to','MASCULINO','ACTIVO','',0,0,'','ALUMNO'</v>
      </c>
      <c r="L319" s="10" t="str">
        <f t="shared" si="8"/>
        <v>INSERT INTO participantes (id,nivel,correo,matricula,clave,nombre,carrera,grado,sexo,situacion,evaluados,num_evaluados,total_evaluaciones,ultimo_acceso,nivel_acceso) VALUES (1318,'LICENCIATURA','leonardoaugusto.vazquezcastellanos','111792','TOMAR DEL SND','VAZQUEZ CASTELLANOS LEONARDO AUGUSTO','ARQUITECTURA','5to','MASCULINO','ACTIVO','',0,0,'','ALUMNO');</v>
      </c>
    </row>
    <row r="320" spans="1:12" ht="130.5" x14ac:dyDescent="0.35">
      <c r="A320" s="7">
        <v>1319</v>
      </c>
      <c r="B320" s="6" t="s">
        <v>5</v>
      </c>
      <c r="C320" t="s">
        <v>325</v>
      </c>
      <c r="D320" s="7" t="s">
        <v>897</v>
      </c>
      <c r="E320" s="7" t="s">
        <v>1149</v>
      </c>
      <c r="F320" t="s">
        <v>1469</v>
      </c>
      <c r="G320" s="7" t="s">
        <v>1726</v>
      </c>
      <c r="H320" t="s">
        <v>1737</v>
      </c>
      <c r="I320" t="s">
        <v>1743</v>
      </c>
      <c r="J320" t="s">
        <v>1786</v>
      </c>
      <c r="K320" s="2" t="str">
        <f t="shared" si="9"/>
        <v>1319,'LICENCIATURA','adrianbryant.vegacastaneda','111793','TOMAR DEL SND','VEGA CASTAÑEDA ADRIAN BRYANT','PSICOLOGIA','5to','MASCULINO','ACTIVO','',0,0,'','ALUMNO'</v>
      </c>
      <c r="L320" s="10" t="str">
        <f t="shared" si="8"/>
        <v>INSERT INTO participantes (id,nivel,correo,matricula,clave,nombre,carrera,grado,sexo,situacion,evaluados,num_evaluados,total_evaluaciones,ultimo_acceso,nivel_acceso) VALUES (1319,'LICENCIATURA','adrianbryant.vegacastaneda','111793','TOMAR DEL SND','VEGA CASTAÑEDA ADRIAN BRYANT','PSICOLOGIA','5to','MASCULINO','ACTIVO','',0,0,'','ALUMNO');</v>
      </c>
    </row>
    <row r="321" spans="1:12" ht="130.5" x14ac:dyDescent="0.35">
      <c r="A321" s="7">
        <v>1320</v>
      </c>
      <c r="B321" s="6" t="s">
        <v>5</v>
      </c>
      <c r="C321" t="s">
        <v>326</v>
      </c>
      <c r="D321" s="7" t="s">
        <v>898</v>
      </c>
      <c r="E321" s="7" t="s">
        <v>1149</v>
      </c>
      <c r="F321" t="s">
        <v>1470</v>
      </c>
      <c r="G321" s="7" t="s">
        <v>1725</v>
      </c>
      <c r="H321" t="s">
        <v>1739</v>
      </c>
      <c r="I321" t="s">
        <v>1744</v>
      </c>
      <c r="J321" t="s">
        <v>1786</v>
      </c>
      <c r="K321" s="2" t="str">
        <f t="shared" si="9"/>
        <v>1320,'LICENCIATURA','dahyanapaulina.sanchezurzua','111794','TOMAR DEL SND','SANCHEZ URZUA DAHYANA PAULINA','INGENIERIA AEROESPACIAL','3ro','FEMENINO','ACTIVO','',0,0,'','ALUMNO'</v>
      </c>
      <c r="L321" s="10" t="str">
        <f t="shared" si="8"/>
        <v>INSERT INTO participantes (id,nivel,correo,matricula,clave,nombre,carrera,grado,sexo,situacion,evaluados,num_evaluados,total_evaluaciones,ultimo_acceso,nivel_acceso) VALUES (1320,'LICENCIATURA','dahyanapaulina.sanchezurzua','111794','TOMAR DEL SND','SANCHEZ URZUA DAHYANA PAULINA','INGENIERIA AEROESPACIAL','3ro','FEMENINO','ACTIVO','',0,0,'','ALUMNO');</v>
      </c>
    </row>
    <row r="322" spans="1:12" ht="130.5" x14ac:dyDescent="0.35">
      <c r="A322" s="7">
        <v>1321</v>
      </c>
      <c r="B322" s="6" t="s">
        <v>5</v>
      </c>
      <c r="C322" t="s">
        <v>327</v>
      </c>
      <c r="D322" s="7" t="s">
        <v>899</v>
      </c>
      <c r="E322" s="7" t="s">
        <v>1149</v>
      </c>
      <c r="F322" t="s">
        <v>1471</v>
      </c>
      <c r="G322" s="7" t="s">
        <v>1726</v>
      </c>
      <c r="H322" t="s">
        <v>1737</v>
      </c>
      <c r="I322" t="s">
        <v>1744</v>
      </c>
      <c r="J322" t="s">
        <v>1786</v>
      </c>
      <c r="K322" s="2" t="str">
        <f t="shared" si="9"/>
        <v>1321,'LICENCIATURA','luzangelicanaomi.gomezosorio','111795','TOMAR DEL SND','GOMEZ OSORIO LUZ ANGELICA NAOMI','PSICOLOGIA','5to','FEMENINO','ACTIVO','',0,0,'','ALUMNO'</v>
      </c>
      <c r="L322" s="10" t="str">
        <f t="shared" ref="L322:L385" si="10">CONCATENATE($K$1,K322,");")</f>
        <v>INSERT INTO participantes (id,nivel,correo,matricula,clave,nombre,carrera,grado,sexo,situacion,evaluados,num_evaluados,total_evaluaciones,ultimo_acceso,nivel_acceso) VALUES (1321,'LICENCIATURA','luzangelicanaomi.gomezosorio','111795','TOMAR DEL SND','GOMEZ OSORIO LUZ ANGELICA NAOMI','PSICOLOGIA','5to','FEMENINO','ACTIVO','',0,0,'','ALUMNO');</v>
      </c>
    </row>
    <row r="323" spans="1:12" ht="130.5" x14ac:dyDescent="0.35">
      <c r="A323" s="7">
        <v>1322</v>
      </c>
      <c r="B323" s="6" t="s">
        <v>5</v>
      </c>
      <c r="C323" t="s">
        <v>328</v>
      </c>
      <c r="D323" s="7" t="s">
        <v>900</v>
      </c>
      <c r="E323" s="7" t="s">
        <v>1149</v>
      </c>
      <c r="F323" t="s">
        <v>1472</v>
      </c>
      <c r="G323" s="7" t="s">
        <v>1729</v>
      </c>
      <c r="H323" t="s">
        <v>1737</v>
      </c>
      <c r="I323" t="s">
        <v>1743</v>
      </c>
      <c r="J323" t="s">
        <v>1786</v>
      </c>
      <c r="K323" s="2" t="str">
        <f t="shared" ref="K323:K386" si="11">CONCATENATE(A323,",'",B323,"','",C323,"','",D323,"','",E323,"','",F323,"','",G323,"','",H323,"','",UPPER(I323),"','",UPPER(J323),"','',0,0,'','ALUMNO'")</f>
        <v>1322,'LICENCIATURA','juancarlos.bañuelosperez','111796','TOMAR DEL SND','BAÑUELOS PEREZ JUAN CARLOS','ARQUITECTURA','5to','MASCULINO','ACTIVO','',0,0,'','ALUMNO'</v>
      </c>
      <c r="L323" s="10" t="str">
        <f t="shared" si="10"/>
        <v>INSERT INTO participantes (id,nivel,correo,matricula,clave,nombre,carrera,grado,sexo,situacion,evaluados,num_evaluados,total_evaluaciones,ultimo_acceso,nivel_acceso) VALUES (1322,'LICENCIATURA','juancarlos.bañuelosperez','111796','TOMAR DEL SND','BAÑUELOS PEREZ JUAN CARLOS','ARQUITECTURA','5to','MASCULINO','ACTIVO','',0,0,'','ALUMNO');</v>
      </c>
    </row>
    <row r="324" spans="1:12" ht="130.5" x14ac:dyDescent="0.35">
      <c r="A324" s="7">
        <v>1323</v>
      </c>
      <c r="B324" s="6" t="s">
        <v>5</v>
      </c>
      <c r="C324" t="s">
        <v>329</v>
      </c>
      <c r="D324" s="7" t="s">
        <v>901</v>
      </c>
      <c r="E324" s="7" t="s">
        <v>1149</v>
      </c>
      <c r="F324" t="s">
        <v>1473</v>
      </c>
      <c r="G324" s="7" t="s">
        <v>1731</v>
      </c>
      <c r="H324" t="s">
        <v>1737</v>
      </c>
      <c r="I324" t="s">
        <v>1743</v>
      </c>
      <c r="J324" t="s">
        <v>1786</v>
      </c>
      <c r="K324" s="2" t="str">
        <f t="shared" si="11"/>
        <v>1323,'LICENCIATURA','kevin.villalobosmendoza','111797','TOMAR DEL SND','VILLALOBOS MENDOZA KEVIN','INGENIERÍA AUTOMOTRIZ','5to','MASCULINO','ACTIVO','',0,0,'','ALUMNO'</v>
      </c>
      <c r="L324" s="10" t="str">
        <f t="shared" si="10"/>
        <v>INSERT INTO participantes (id,nivel,correo,matricula,clave,nombre,carrera,grado,sexo,situacion,evaluados,num_evaluados,total_evaluaciones,ultimo_acceso,nivel_acceso) VALUES (1323,'LICENCIATURA','kevin.villalobosmendoza','111797','TOMAR DEL SND','VILLALOBOS MENDOZA KEVIN','INGENIERÍA AUTOMOTRIZ','5to','MASCULINO','ACTIVO','',0,0,'','ALUMNO');</v>
      </c>
    </row>
    <row r="325" spans="1:12" ht="130.5" x14ac:dyDescent="0.35">
      <c r="A325" s="7">
        <v>1324</v>
      </c>
      <c r="B325" s="6" t="s">
        <v>5</v>
      </c>
      <c r="C325" t="s">
        <v>330</v>
      </c>
      <c r="D325" s="7" t="s">
        <v>902</v>
      </c>
      <c r="E325" s="7" t="s">
        <v>1149</v>
      </c>
      <c r="F325" t="s">
        <v>1474</v>
      </c>
      <c r="G325" s="7" t="s">
        <v>1729</v>
      </c>
      <c r="H325" t="s">
        <v>1737</v>
      </c>
      <c r="I325" t="s">
        <v>1744</v>
      </c>
      <c r="J325" t="s">
        <v>1786</v>
      </c>
      <c r="K325" s="2" t="str">
        <f t="shared" si="11"/>
        <v>1324,'LICENCIATURA','brendaguadalupe.bojadodelreal','111798','TOMAR DEL SND','BOJADO DEL REAL BRENDA GUADALUPE','ARQUITECTURA','5to','FEMENINO','ACTIVO','',0,0,'','ALUMNO'</v>
      </c>
      <c r="L325" s="10" t="str">
        <f t="shared" si="10"/>
        <v>INSERT INTO participantes (id,nivel,correo,matricula,clave,nombre,carrera,grado,sexo,situacion,evaluados,num_evaluados,total_evaluaciones,ultimo_acceso,nivel_acceso) VALUES (1324,'LICENCIATURA','brendaguadalupe.bojadodelreal','111798','TOMAR DEL SND','BOJADO DEL REAL BRENDA GUADALUPE','ARQUITECTURA','5to','FEMENINO','ACTIVO','',0,0,'','ALUMNO');</v>
      </c>
    </row>
    <row r="326" spans="1:12" ht="130.5" x14ac:dyDescent="0.35">
      <c r="A326" s="7">
        <v>1325</v>
      </c>
      <c r="B326" s="6" t="s">
        <v>5</v>
      </c>
      <c r="C326" t="s">
        <v>331</v>
      </c>
      <c r="D326" s="7" t="s">
        <v>903</v>
      </c>
      <c r="E326" s="7" t="s">
        <v>1149</v>
      </c>
      <c r="F326" t="s">
        <v>1475</v>
      </c>
      <c r="G326" s="7" t="s">
        <v>1731</v>
      </c>
      <c r="H326" t="s">
        <v>1737</v>
      </c>
      <c r="I326" t="s">
        <v>1743</v>
      </c>
      <c r="J326" t="s">
        <v>1786</v>
      </c>
      <c r="K326" s="2" t="str">
        <f t="shared" si="11"/>
        <v>1325,'LICENCIATURA','isaacemiliano.chavezsaavedra','111800','TOMAR DEL SND','CHAVEZ SAAVEDRA ISAAC EMILIANO','INGENIERÍA AUTOMOTRIZ','5to','MASCULINO','ACTIVO','',0,0,'','ALUMNO'</v>
      </c>
      <c r="L326" s="10" t="str">
        <f t="shared" si="10"/>
        <v>INSERT INTO participantes (id,nivel,correo,matricula,clave,nombre,carrera,grado,sexo,situacion,evaluados,num_evaluados,total_evaluaciones,ultimo_acceso,nivel_acceso) VALUES (1325,'LICENCIATURA','isaacemiliano.chavezsaavedra','111800','TOMAR DEL SND','CHAVEZ SAAVEDRA ISAAC EMILIANO','INGENIERÍA AUTOMOTRIZ','5to','MASCULINO','ACTIVO','',0,0,'','ALUMNO');</v>
      </c>
    </row>
    <row r="327" spans="1:12" ht="130.5" x14ac:dyDescent="0.35">
      <c r="A327" s="7">
        <v>1326</v>
      </c>
      <c r="B327" s="6" t="s">
        <v>5</v>
      </c>
      <c r="C327" t="s">
        <v>332</v>
      </c>
      <c r="D327" s="7" t="s">
        <v>904</v>
      </c>
      <c r="E327" s="7" t="s">
        <v>1149</v>
      </c>
      <c r="F327" t="s">
        <v>1476</v>
      </c>
      <c r="G327" s="7" t="s">
        <v>1731</v>
      </c>
      <c r="H327" t="s">
        <v>1737</v>
      </c>
      <c r="I327" t="s">
        <v>1743</v>
      </c>
      <c r="J327" t="s">
        <v>1786</v>
      </c>
      <c r="K327" s="2" t="str">
        <f t="shared" si="11"/>
        <v>1326,'LICENCIATURA','angeldavid.sanchezlopez','111802','TOMAR DEL SND','SANCHEZ LOPEZ ANGEL DAVID','INGENIERÍA AUTOMOTRIZ','5to','MASCULINO','ACTIVO','',0,0,'','ALUMNO'</v>
      </c>
      <c r="L327" s="10" t="str">
        <f t="shared" si="10"/>
        <v>INSERT INTO participantes (id,nivel,correo,matricula,clave,nombre,carrera,grado,sexo,situacion,evaluados,num_evaluados,total_evaluaciones,ultimo_acceso,nivel_acceso) VALUES (1326,'LICENCIATURA','angeldavid.sanchezlopez','111802','TOMAR DEL SND','SANCHEZ LOPEZ ANGEL DAVID','INGENIERÍA AUTOMOTRIZ','5to','MASCULINO','ACTIVO','',0,0,'','ALUMNO');</v>
      </c>
    </row>
    <row r="328" spans="1:12" ht="130.5" x14ac:dyDescent="0.35">
      <c r="A328" s="7">
        <v>1327</v>
      </c>
      <c r="B328" s="6" t="s">
        <v>5</v>
      </c>
      <c r="C328" t="s">
        <v>333</v>
      </c>
      <c r="D328" s="7" t="s">
        <v>905</v>
      </c>
      <c r="E328" s="7" t="s">
        <v>1149</v>
      </c>
      <c r="F328" t="s">
        <v>1477</v>
      </c>
      <c r="G328" s="7" t="s">
        <v>1724</v>
      </c>
      <c r="H328" t="s">
        <v>1737</v>
      </c>
      <c r="I328" t="s">
        <v>1744</v>
      </c>
      <c r="J328" t="s">
        <v>1786</v>
      </c>
      <c r="K328" s="2" t="str">
        <f t="shared" si="11"/>
        <v>1327,'LICENCIATURA','esmeralda.cadenabobadilla','111804','TOMAR DEL SND','CADENA BOBADILLA ESMERALDA','NUTRICION Y GASTRONOMIA','5to','FEMENINO','ACTIVO','',0,0,'','ALUMNO'</v>
      </c>
      <c r="L328" s="10" t="str">
        <f t="shared" si="10"/>
        <v>INSERT INTO participantes (id,nivel,correo,matricula,clave,nombre,carrera,grado,sexo,situacion,evaluados,num_evaluados,total_evaluaciones,ultimo_acceso,nivel_acceso) VALUES (1327,'LICENCIATURA','esmeralda.cadenabobadilla','111804','TOMAR DEL SND','CADENA BOBADILLA ESMERALDA','NUTRICION Y GASTRONOMIA','5to','FEMENINO','ACTIVO','',0,0,'','ALUMNO');</v>
      </c>
    </row>
    <row r="329" spans="1:12" ht="130.5" x14ac:dyDescent="0.35">
      <c r="A329" s="7">
        <v>1328</v>
      </c>
      <c r="B329" s="6" t="s">
        <v>5</v>
      </c>
      <c r="C329" t="s">
        <v>334</v>
      </c>
      <c r="D329" s="7" t="s">
        <v>906</v>
      </c>
      <c r="E329" s="7" t="s">
        <v>1149</v>
      </c>
      <c r="F329" t="s">
        <v>1478</v>
      </c>
      <c r="G329" s="7" t="s">
        <v>1726</v>
      </c>
      <c r="H329" t="s">
        <v>1737</v>
      </c>
      <c r="I329" t="s">
        <v>1744</v>
      </c>
      <c r="J329" t="s">
        <v>1786</v>
      </c>
      <c r="K329" s="2" t="str">
        <f t="shared" si="11"/>
        <v>1328,'LICENCIATURA','claudiapatricia.martinezreynoso','111805','TOMAR DEL SND','MARTINEZ REYNOSO CLAUDIA PATRICIA','PSICOLOGIA','5to','FEMENINO','ACTIVO','',0,0,'','ALUMNO'</v>
      </c>
      <c r="L329" s="10" t="str">
        <f t="shared" si="10"/>
        <v>INSERT INTO participantes (id,nivel,correo,matricula,clave,nombre,carrera,grado,sexo,situacion,evaluados,num_evaluados,total_evaluaciones,ultimo_acceso,nivel_acceso) VALUES (1328,'LICENCIATURA','claudiapatricia.martinezreynoso','111805','TOMAR DEL SND','MARTINEZ REYNOSO CLAUDIA PATRICIA','PSICOLOGIA','5to','FEMENINO','ACTIVO','',0,0,'','ALUMNO');</v>
      </c>
    </row>
    <row r="330" spans="1:12" ht="130.5" x14ac:dyDescent="0.35">
      <c r="A330" s="7">
        <v>1329</v>
      </c>
      <c r="B330" s="6" t="s">
        <v>5</v>
      </c>
      <c r="C330" t="s">
        <v>335</v>
      </c>
      <c r="D330" s="7" t="s">
        <v>907</v>
      </c>
      <c r="E330" s="7" t="s">
        <v>1149</v>
      </c>
      <c r="F330" t="s">
        <v>1479</v>
      </c>
      <c r="G330" s="7" t="s">
        <v>1729</v>
      </c>
      <c r="H330" t="s">
        <v>1737</v>
      </c>
      <c r="I330" t="s">
        <v>1744</v>
      </c>
      <c r="J330" t="s">
        <v>1786</v>
      </c>
      <c r="K330" s="2" t="str">
        <f t="shared" si="11"/>
        <v>1329,'LICENCIATURA','fernandaaraceli.romerogarcia','111806','TOMAR DEL SND','ROMERO GARCIA FERNANDA ARACELI','ARQUITECTURA','5to','FEMENINO','ACTIVO','',0,0,'','ALUMNO'</v>
      </c>
      <c r="L330" s="10" t="str">
        <f t="shared" si="10"/>
        <v>INSERT INTO participantes (id,nivel,correo,matricula,clave,nombre,carrera,grado,sexo,situacion,evaluados,num_evaluados,total_evaluaciones,ultimo_acceso,nivel_acceso) VALUES (1329,'LICENCIATURA','fernandaaraceli.romerogarcia','111806','TOMAR DEL SND','ROMERO GARCIA FERNANDA ARACELI','ARQUITECTURA','5to','FEMENINO','ACTIVO','',0,0,'','ALUMNO');</v>
      </c>
    </row>
    <row r="331" spans="1:12" ht="130.5" x14ac:dyDescent="0.35">
      <c r="A331" s="7">
        <v>1330</v>
      </c>
      <c r="B331" s="6" t="s">
        <v>5</v>
      </c>
      <c r="C331" t="s">
        <v>336</v>
      </c>
      <c r="D331" s="7" t="s">
        <v>908</v>
      </c>
      <c r="E331" s="7" t="s">
        <v>1149</v>
      </c>
      <c r="F331" t="s">
        <v>1480</v>
      </c>
      <c r="G331" s="7" t="s">
        <v>1724</v>
      </c>
      <c r="H331" t="s">
        <v>1737</v>
      </c>
      <c r="I331" t="s">
        <v>1744</v>
      </c>
      <c r="J331" t="s">
        <v>1786</v>
      </c>
      <c r="K331" s="2" t="str">
        <f t="shared" si="11"/>
        <v>1330,'LICENCIATURA','victoria.romerogomez','111807','TOMAR DEL SND','ROMERO GOMEZ VICTORIA','NUTRICION Y GASTRONOMIA','5to','FEMENINO','ACTIVO','',0,0,'','ALUMNO'</v>
      </c>
      <c r="L331" s="10" t="str">
        <f t="shared" si="10"/>
        <v>INSERT INTO participantes (id,nivel,correo,matricula,clave,nombre,carrera,grado,sexo,situacion,evaluados,num_evaluados,total_evaluaciones,ultimo_acceso,nivel_acceso) VALUES (1330,'LICENCIATURA','victoria.romerogomez','111807','TOMAR DEL SND','ROMERO GOMEZ VICTORIA','NUTRICION Y GASTRONOMIA','5to','FEMENINO','ACTIVO','',0,0,'','ALUMNO');</v>
      </c>
    </row>
    <row r="332" spans="1:12" ht="130.5" x14ac:dyDescent="0.35">
      <c r="A332" s="7">
        <v>1331</v>
      </c>
      <c r="B332" s="6" t="s">
        <v>5</v>
      </c>
      <c r="C332" t="s">
        <v>337</v>
      </c>
      <c r="D332" s="7" t="s">
        <v>909</v>
      </c>
      <c r="E332" s="7" t="s">
        <v>1149</v>
      </c>
      <c r="F332" t="s">
        <v>1481</v>
      </c>
      <c r="G332" s="7" t="s">
        <v>1725</v>
      </c>
      <c r="H332" t="s">
        <v>1737</v>
      </c>
      <c r="I332" t="s">
        <v>1743</v>
      </c>
      <c r="J332" t="s">
        <v>1786</v>
      </c>
      <c r="K332" s="2" t="str">
        <f t="shared" si="11"/>
        <v>1331,'LICENCIATURA','valentino.elizaldequintero','111808','TOMAR DEL SND','ELIZALDE QUINTERO VALENTINO','INGENIERIA AEROESPACIAL','5to','MASCULINO','ACTIVO','',0,0,'','ALUMNO'</v>
      </c>
      <c r="L332" s="10" t="str">
        <f t="shared" si="10"/>
        <v>INSERT INTO participantes (id,nivel,correo,matricula,clave,nombre,carrera,grado,sexo,situacion,evaluados,num_evaluados,total_evaluaciones,ultimo_acceso,nivel_acceso) VALUES (1331,'LICENCIATURA','valentino.elizaldequintero','111808','TOMAR DEL SND','ELIZALDE QUINTERO VALENTINO','INGENIERIA AEROESPACIAL','5to','MASCULINO','ACTIVO','',0,0,'','ALUMNO');</v>
      </c>
    </row>
    <row r="333" spans="1:12" ht="130.5" x14ac:dyDescent="0.35">
      <c r="A333" s="7">
        <v>1332</v>
      </c>
      <c r="B333" s="6" t="s">
        <v>5</v>
      </c>
      <c r="C333" t="s">
        <v>338</v>
      </c>
      <c r="D333" s="7" t="s">
        <v>910</v>
      </c>
      <c r="E333" s="7" t="s">
        <v>1149</v>
      </c>
      <c r="F333" t="s">
        <v>1482</v>
      </c>
      <c r="G333" s="7" t="s">
        <v>1731</v>
      </c>
      <c r="H333" t="s">
        <v>1737</v>
      </c>
      <c r="I333" t="s">
        <v>1743</v>
      </c>
      <c r="J333" t="s">
        <v>1786</v>
      </c>
      <c r="K333" s="2" t="str">
        <f t="shared" si="11"/>
        <v>1332,'LICENCIATURA','hectorfabian.gonzalezdeloza','111809','TOMAR DEL SND','GONZALEZ DE LOZA HECTOR FABIAN','INGENIERÍA AUTOMOTRIZ','5to','MASCULINO','ACTIVO','',0,0,'','ALUMNO'</v>
      </c>
      <c r="L333" s="10" t="str">
        <f t="shared" si="10"/>
        <v>INSERT INTO participantes (id,nivel,correo,matricula,clave,nombre,carrera,grado,sexo,situacion,evaluados,num_evaluados,total_evaluaciones,ultimo_acceso,nivel_acceso) VALUES (1332,'LICENCIATURA','hectorfabian.gonzalezdeloza','111809','TOMAR DEL SND','GONZALEZ DE LOZA HECTOR FABIAN','INGENIERÍA AUTOMOTRIZ','5to','MASCULINO','ACTIVO','',0,0,'','ALUMNO');</v>
      </c>
    </row>
    <row r="334" spans="1:12" ht="130.5" x14ac:dyDescent="0.35">
      <c r="A334" s="7">
        <v>1333</v>
      </c>
      <c r="B334" s="6" t="s">
        <v>5</v>
      </c>
      <c r="C334" t="s">
        <v>339</v>
      </c>
      <c r="D334" s="7" t="s">
        <v>911</v>
      </c>
      <c r="E334" s="7" t="s">
        <v>1149</v>
      </c>
      <c r="F334" t="s">
        <v>1483</v>
      </c>
      <c r="G334" s="7" t="s">
        <v>1727</v>
      </c>
      <c r="H334" t="s">
        <v>1737</v>
      </c>
      <c r="I334" t="s">
        <v>1744</v>
      </c>
      <c r="J334" t="s">
        <v>1786</v>
      </c>
      <c r="K334" s="2" t="str">
        <f t="shared" si="11"/>
        <v>1333,'LICENCIATURA','zahirapaulette.enriquezsanchez','111811','TOMAR DEL SND','ENRIQUEZ SANCHEZ ZAHIRA PAULETTE','ADMINISTRACION Y DIRECCION DE NEGOCIOS','5to','FEMENINO','ACTIVO','',0,0,'','ALUMNO'</v>
      </c>
      <c r="L334" s="10" t="str">
        <f t="shared" si="10"/>
        <v>INSERT INTO participantes (id,nivel,correo,matricula,clave,nombre,carrera,grado,sexo,situacion,evaluados,num_evaluados,total_evaluaciones,ultimo_acceso,nivel_acceso) VALUES (1333,'LICENCIATURA','zahirapaulette.enriquezsanchez','111811','TOMAR DEL SND','ENRIQUEZ SANCHEZ ZAHIRA PAULETTE','ADMINISTRACION Y DIRECCION DE NEGOCIOS','5to','FEMENINO','ACTIVO','',0,0,'','ALUMNO');</v>
      </c>
    </row>
    <row r="335" spans="1:12" ht="130.5" x14ac:dyDescent="0.35">
      <c r="A335" s="7">
        <v>1334</v>
      </c>
      <c r="B335" s="6" t="s">
        <v>5</v>
      </c>
      <c r="C335" t="s">
        <v>340</v>
      </c>
      <c r="D335" s="7" t="s">
        <v>912</v>
      </c>
      <c r="E335" s="7" t="s">
        <v>1149</v>
      </c>
      <c r="F335" t="s">
        <v>1484</v>
      </c>
      <c r="G335" s="7" t="s">
        <v>1731</v>
      </c>
      <c r="H335" t="s">
        <v>1737</v>
      </c>
      <c r="I335" t="s">
        <v>1743</v>
      </c>
      <c r="J335" t="s">
        <v>1786</v>
      </c>
      <c r="K335" s="2" t="str">
        <f t="shared" si="11"/>
        <v>1334,'LICENCIATURA','giovanni.dealbatovar','111812','TOMAR DEL SND','DE ALBA TOVAR GIOVANNI','INGENIERÍA AUTOMOTRIZ','5to','MASCULINO','ACTIVO','',0,0,'','ALUMNO'</v>
      </c>
      <c r="L335" s="10" t="str">
        <f t="shared" si="10"/>
        <v>INSERT INTO participantes (id,nivel,correo,matricula,clave,nombre,carrera,grado,sexo,situacion,evaluados,num_evaluados,total_evaluaciones,ultimo_acceso,nivel_acceso) VALUES (1334,'LICENCIATURA','giovanni.dealbatovar','111812','TOMAR DEL SND','DE ALBA TOVAR GIOVANNI','INGENIERÍA AUTOMOTRIZ','5to','MASCULINO','ACTIVO','',0,0,'','ALUMNO');</v>
      </c>
    </row>
    <row r="336" spans="1:12" ht="130.5" x14ac:dyDescent="0.35">
      <c r="A336" s="7">
        <v>1335</v>
      </c>
      <c r="B336" s="6" t="s">
        <v>5</v>
      </c>
      <c r="C336" t="s">
        <v>341</v>
      </c>
      <c r="D336" s="7" t="s">
        <v>913</v>
      </c>
      <c r="E336" s="7" t="s">
        <v>1149</v>
      </c>
      <c r="F336" t="s">
        <v>1485</v>
      </c>
      <c r="G336" s="7" t="s">
        <v>1726</v>
      </c>
      <c r="H336" t="s">
        <v>1737</v>
      </c>
      <c r="I336" t="s">
        <v>1744</v>
      </c>
      <c r="J336" t="s">
        <v>1786</v>
      </c>
      <c r="K336" s="2" t="str">
        <f t="shared" si="11"/>
        <v>1335,'LICENCIATURA','brendamelissa.soliscerpa','111815','TOMAR DEL SND','SOLIS CERPA BRENDA MELISSA','PSICOLOGIA','5to','FEMENINO','ACTIVO','',0,0,'','ALUMNO'</v>
      </c>
      <c r="L336" s="10" t="str">
        <f t="shared" si="10"/>
        <v>INSERT INTO participantes (id,nivel,correo,matricula,clave,nombre,carrera,grado,sexo,situacion,evaluados,num_evaluados,total_evaluaciones,ultimo_acceso,nivel_acceso) VALUES (1335,'LICENCIATURA','brendamelissa.soliscerpa','111815','TOMAR DEL SND','SOLIS CERPA BRENDA MELISSA','PSICOLOGIA','5to','FEMENINO','ACTIVO','',0,0,'','ALUMNO');</v>
      </c>
    </row>
    <row r="337" spans="1:12" ht="130.5" x14ac:dyDescent="0.35">
      <c r="A337" s="7">
        <v>1336</v>
      </c>
      <c r="B337" s="6" t="s">
        <v>5</v>
      </c>
      <c r="C337" t="s">
        <v>342</v>
      </c>
      <c r="D337" s="7" t="s">
        <v>914</v>
      </c>
      <c r="E337" s="7" t="s">
        <v>1149</v>
      </c>
      <c r="F337" t="s">
        <v>1486</v>
      </c>
      <c r="G337" s="7" t="s">
        <v>1727</v>
      </c>
      <c r="H337" t="s">
        <v>1737</v>
      </c>
      <c r="I337" t="s">
        <v>1744</v>
      </c>
      <c r="J337" t="s">
        <v>1786</v>
      </c>
      <c r="K337" s="2" t="str">
        <f t="shared" si="11"/>
        <v>1336,'LICENCIATURA','valeria.castillolopez','111816','TOMAR DEL SND','CASTILLO LOPEZ VALERIA','ADMINISTRACION Y DIRECCION DE NEGOCIOS','5to','FEMENINO','ACTIVO','',0,0,'','ALUMNO'</v>
      </c>
      <c r="L337" s="10" t="str">
        <f t="shared" si="10"/>
        <v>INSERT INTO participantes (id,nivel,correo,matricula,clave,nombre,carrera,grado,sexo,situacion,evaluados,num_evaluados,total_evaluaciones,ultimo_acceso,nivel_acceso) VALUES (1336,'LICENCIATURA','valeria.castillolopez','111816','TOMAR DEL SND','CASTILLO LOPEZ VALERIA','ADMINISTRACION Y DIRECCION DE NEGOCIOS','5to','FEMENINO','ACTIVO','',0,0,'','ALUMNO');</v>
      </c>
    </row>
    <row r="338" spans="1:12" ht="130.5" x14ac:dyDescent="0.35">
      <c r="A338" s="7">
        <v>1337</v>
      </c>
      <c r="B338" s="6" t="s">
        <v>5</v>
      </c>
      <c r="C338" t="s">
        <v>343</v>
      </c>
      <c r="D338" s="7" t="s">
        <v>915</v>
      </c>
      <c r="E338" s="7" t="s">
        <v>1149</v>
      </c>
      <c r="F338" t="s">
        <v>1487</v>
      </c>
      <c r="G338" s="7" t="s">
        <v>1730</v>
      </c>
      <c r="H338" t="s">
        <v>1737</v>
      </c>
      <c r="I338" t="s">
        <v>1743</v>
      </c>
      <c r="J338" t="s">
        <v>1786</v>
      </c>
      <c r="K338" s="2" t="str">
        <f t="shared" si="11"/>
        <v>1337,'LICENCIATURA','luisalonso.garciagarcia','111817','TOMAR DEL SND','GARCIA GARCIA LUIS ALONSO','ANIMACION DIGITAL Y VIDEOJUEGOS','5to','MASCULINO','ACTIVO','',0,0,'','ALUMNO'</v>
      </c>
      <c r="L338" s="10" t="str">
        <f t="shared" si="10"/>
        <v>INSERT INTO participantes (id,nivel,correo,matricula,clave,nombre,carrera,grado,sexo,situacion,evaluados,num_evaluados,total_evaluaciones,ultimo_acceso,nivel_acceso) VALUES (1337,'LICENCIATURA','luisalonso.garciagarcia','111817','TOMAR DEL SND','GARCIA GARCIA LUIS ALONSO','ANIMACION DIGITAL Y VIDEOJUEGOS','5to','MASCULINO','ACTIVO','',0,0,'','ALUMNO');</v>
      </c>
    </row>
    <row r="339" spans="1:12" ht="130.5" x14ac:dyDescent="0.35">
      <c r="A339" s="7">
        <v>1338</v>
      </c>
      <c r="B339" s="6" t="s">
        <v>5</v>
      </c>
      <c r="C339" t="s">
        <v>344</v>
      </c>
      <c r="D339" s="7" t="s">
        <v>916</v>
      </c>
      <c r="E339" s="7" t="s">
        <v>1149</v>
      </c>
      <c r="F339" t="s">
        <v>1488</v>
      </c>
      <c r="G339" s="7" t="s">
        <v>1726</v>
      </c>
      <c r="H339" t="s">
        <v>1737</v>
      </c>
      <c r="I339" t="s">
        <v>1744</v>
      </c>
      <c r="J339" t="s">
        <v>1786</v>
      </c>
      <c r="K339" s="2" t="str">
        <f t="shared" si="11"/>
        <v>1338,'LICENCIATURA','alejandra.perezlimon','111819','TOMAR DEL SND','PEREZ LIMON ALEJANDRA','PSICOLOGIA','5to','FEMENINO','ACTIVO','',0,0,'','ALUMNO'</v>
      </c>
      <c r="L339" s="10" t="str">
        <f t="shared" si="10"/>
        <v>INSERT INTO participantes (id,nivel,correo,matricula,clave,nombre,carrera,grado,sexo,situacion,evaluados,num_evaluados,total_evaluaciones,ultimo_acceso,nivel_acceso) VALUES (1338,'LICENCIATURA','alejandra.perezlimon','111819','TOMAR DEL SND','PEREZ LIMON ALEJANDRA','PSICOLOGIA','5to','FEMENINO','ACTIVO','',0,0,'','ALUMNO');</v>
      </c>
    </row>
    <row r="340" spans="1:12" ht="130.5" x14ac:dyDescent="0.35">
      <c r="A340" s="7">
        <v>1339</v>
      </c>
      <c r="B340" s="6" t="s">
        <v>5</v>
      </c>
      <c r="C340" t="s">
        <v>345</v>
      </c>
      <c r="D340" s="7" t="s">
        <v>917</v>
      </c>
      <c r="E340" s="7" t="s">
        <v>1149</v>
      </c>
      <c r="F340" t="s">
        <v>1489</v>
      </c>
      <c r="G340" s="7" t="s">
        <v>1726</v>
      </c>
      <c r="H340" t="s">
        <v>1737</v>
      </c>
      <c r="I340" t="s">
        <v>1743</v>
      </c>
      <c r="J340" t="s">
        <v>1786</v>
      </c>
      <c r="K340" s="2" t="str">
        <f t="shared" si="11"/>
        <v>1339,'LICENCIATURA','jesusandres.moralesreyes','111820','TOMAR DEL SND','MORALES REYES JESUS ANDRES','PSICOLOGIA','5to','MASCULINO','ACTIVO','',0,0,'','ALUMNO'</v>
      </c>
      <c r="L340" s="10" t="str">
        <f t="shared" si="10"/>
        <v>INSERT INTO participantes (id,nivel,correo,matricula,clave,nombre,carrera,grado,sexo,situacion,evaluados,num_evaluados,total_evaluaciones,ultimo_acceso,nivel_acceso) VALUES (1339,'LICENCIATURA','jesusandres.moralesreyes','111820','TOMAR DEL SND','MORALES REYES JESUS ANDRES','PSICOLOGIA','5to','MASCULINO','ACTIVO','',0,0,'','ALUMNO');</v>
      </c>
    </row>
    <row r="341" spans="1:12" ht="130.5" x14ac:dyDescent="0.35">
      <c r="A341" s="7">
        <v>1340</v>
      </c>
      <c r="B341" s="6" t="s">
        <v>5</v>
      </c>
      <c r="C341" t="s">
        <v>346</v>
      </c>
      <c r="D341" s="7" t="s">
        <v>918</v>
      </c>
      <c r="E341" s="7" t="s">
        <v>1149</v>
      </c>
      <c r="F341" t="s">
        <v>1490</v>
      </c>
      <c r="G341" s="7" t="s">
        <v>1731</v>
      </c>
      <c r="H341" t="s">
        <v>1737</v>
      </c>
      <c r="I341" t="s">
        <v>1743</v>
      </c>
      <c r="J341" t="s">
        <v>1786</v>
      </c>
      <c r="K341" s="2" t="str">
        <f t="shared" si="11"/>
        <v>1340,'LICENCIATURA','oscarroberto.gonzalezcampos','111822','TOMAR DEL SND','GONZALEZ CAMPOS OSCAR ROBERTO','INGENIERÍA AUTOMOTRIZ','5to','MASCULINO','ACTIVO','',0,0,'','ALUMNO'</v>
      </c>
      <c r="L341" s="10" t="str">
        <f t="shared" si="10"/>
        <v>INSERT INTO participantes (id,nivel,correo,matricula,clave,nombre,carrera,grado,sexo,situacion,evaluados,num_evaluados,total_evaluaciones,ultimo_acceso,nivel_acceso) VALUES (1340,'LICENCIATURA','oscarroberto.gonzalezcampos','111822','TOMAR DEL SND','GONZALEZ CAMPOS OSCAR ROBERTO','INGENIERÍA AUTOMOTRIZ','5to','MASCULINO','ACTIVO','',0,0,'','ALUMNO');</v>
      </c>
    </row>
    <row r="342" spans="1:12" ht="130.5" x14ac:dyDescent="0.35">
      <c r="A342" s="7">
        <v>1341</v>
      </c>
      <c r="B342" s="6" t="s">
        <v>5</v>
      </c>
      <c r="C342" t="s">
        <v>347</v>
      </c>
      <c r="D342" s="7" t="s">
        <v>919</v>
      </c>
      <c r="E342" s="7" t="s">
        <v>1149</v>
      </c>
      <c r="F342" t="s">
        <v>1491</v>
      </c>
      <c r="G342" s="7" t="s">
        <v>1724</v>
      </c>
      <c r="H342" t="s">
        <v>1737</v>
      </c>
      <c r="I342" t="s">
        <v>1744</v>
      </c>
      <c r="J342" t="s">
        <v>1786</v>
      </c>
      <c r="K342" s="2" t="str">
        <f t="shared" si="11"/>
        <v>1341,'LICENCIATURA','miriamalejandra.rodriguezmartinez','111824','TOMAR DEL SND','RODRIGUEZ MARTINEZ MIRIAM ALEJANDRA','NUTRICION Y GASTRONOMIA','5to','FEMENINO','ACTIVO','',0,0,'','ALUMNO'</v>
      </c>
      <c r="L342" s="10" t="str">
        <f t="shared" si="10"/>
        <v>INSERT INTO participantes (id,nivel,correo,matricula,clave,nombre,carrera,grado,sexo,situacion,evaluados,num_evaluados,total_evaluaciones,ultimo_acceso,nivel_acceso) VALUES (1341,'LICENCIATURA','miriamalejandra.rodriguezmartinez','111824','TOMAR DEL SND','RODRIGUEZ MARTINEZ MIRIAM ALEJANDRA','NUTRICION Y GASTRONOMIA','5to','FEMENINO','ACTIVO','',0,0,'','ALUMNO');</v>
      </c>
    </row>
    <row r="343" spans="1:12" ht="130.5" x14ac:dyDescent="0.35">
      <c r="A343" s="7">
        <v>1342</v>
      </c>
      <c r="B343" s="6" t="s">
        <v>5</v>
      </c>
      <c r="C343" t="s">
        <v>348</v>
      </c>
      <c r="D343" s="7" t="s">
        <v>920</v>
      </c>
      <c r="E343" s="7" t="s">
        <v>1149</v>
      </c>
      <c r="F343" t="s">
        <v>1492</v>
      </c>
      <c r="G343" s="7" t="s">
        <v>1727</v>
      </c>
      <c r="H343" t="s">
        <v>1737</v>
      </c>
      <c r="I343" t="s">
        <v>1743</v>
      </c>
      <c r="J343" t="s">
        <v>1786</v>
      </c>
      <c r="K343" s="2" t="str">
        <f t="shared" si="11"/>
        <v>1342,'LICENCIATURA','alejandro.solisarriola','111827','TOMAR DEL SND','SOLIS ARRIOLA ALEJANDRO','ADMINISTRACION Y DIRECCION DE NEGOCIOS','5to','MASCULINO','ACTIVO','',0,0,'','ALUMNO'</v>
      </c>
      <c r="L343" s="10" t="str">
        <f t="shared" si="10"/>
        <v>INSERT INTO participantes (id,nivel,correo,matricula,clave,nombre,carrera,grado,sexo,situacion,evaluados,num_evaluados,total_evaluaciones,ultimo_acceso,nivel_acceso) VALUES (1342,'LICENCIATURA','alejandro.solisarriola','111827','TOMAR DEL SND','SOLIS ARRIOLA ALEJANDRO','ADMINISTRACION Y DIRECCION DE NEGOCIOS','5to','MASCULINO','ACTIVO','',0,0,'','ALUMNO');</v>
      </c>
    </row>
    <row r="344" spans="1:12" ht="130.5" x14ac:dyDescent="0.35">
      <c r="A344" s="7">
        <v>1343</v>
      </c>
      <c r="B344" s="6" t="s">
        <v>5</v>
      </c>
      <c r="C344" t="s">
        <v>349</v>
      </c>
      <c r="D344" s="7" t="s">
        <v>921</v>
      </c>
      <c r="E344" s="7" t="s">
        <v>1149</v>
      </c>
      <c r="F344" t="s">
        <v>1493</v>
      </c>
      <c r="G344" s="7" t="s">
        <v>1731</v>
      </c>
      <c r="H344" t="s">
        <v>1737</v>
      </c>
      <c r="I344" t="s">
        <v>1743</v>
      </c>
      <c r="J344" t="s">
        <v>1786</v>
      </c>
      <c r="K344" s="2" t="str">
        <f t="shared" si="11"/>
        <v>1343,'LICENCIATURA','juanluis.preciadovalle','111830','TOMAR DEL SND','PRECIADO VALLE JUAN LUIS','INGENIERÍA AUTOMOTRIZ','5to','MASCULINO','ACTIVO','',0,0,'','ALUMNO'</v>
      </c>
      <c r="L344" s="10" t="str">
        <f t="shared" si="10"/>
        <v>INSERT INTO participantes (id,nivel,correo,matricula,clave,nombre,carrera,grado,sexo,situacion,evaluados,num_evaluados,total_evaluaciones,ultimo_acceso,nivel_acceso) VALUES (1343,'LICENCIATURA','juanluis.preciadovalle','111830','TOMAR DEL SND','PRECIADO VALLE JUAN LUIS','INGENIERÍA AUTOMOTRIZ','5to','MASCULINO','ACTIVO','',0,0,'','ALUMNO');</v>
      </c>
    </row>
    <row r="345" spans="1:12" ht="130.5" x14ac:dyDescent="0.35">
      <c r="A345" s="7">
        <v>1344</v>
      </c>
      <c r="B345" s="6" t="s">
        <v>5</v>
      </c>
      <c r="C345" t="s">
        <v>350</v>
      </c>
      <c r="D345" s="7" t="s">
        <v>922</v>
      </c>
      <c r="E345" s="7" t="s">
        <v>1149</v>
      </c>
      <c r="F345" t="s">
        <v>1494</v>
      </c>
      <c r="G345" s="7" t="s">
        <v>1729</v>
      </c>
      <c r="H345" t="s">
        <v>1737</v>
      </c>
      <c r="I345" t="s">
        <v>1743</v>
      </c>
      <c r="J345" t="s">
        <v>1786</v>
      </c>
      <c r="K345" s="2" t="str">
        <f t="shared" si="11"/>
        <v>1344,'LICENCIATURA','luisfernando.perezenciso','111838','TOMAR DEL SND','PEREZ ENCISO LUIS FERNANDO','ARQUITECTURA','5to','MASCULINO','ACTIVO','',0,0,'','ALUMNO'</v>
      </c>
      <c r="L345" s="10" t="str">
        <f t="shared" si="10"/>
        <v>INSERT INTO participantes (id,nivel,correo,matricula,clave,nombre,carrera,grado,sexo,situacion,evaluados,num_evaluados,total_evaluaciones,ultimo_acceso,nivel_acceso) VALUES (1344,'LICENCIATURA','luisfernando.perezenciso','111838','TOMAR DEL SND','PEREZ ENCISO LUIS FERNANDO','ARQUITECTURA','5to','MASCULINO','ACTIVO','',0,0,'','ALUMNO');</v>
      </c>
    </row>
    <row r="346" spans="1:12" ht="130.5" x14ac:dyDescent="0.35">
      <c r="A346" s="7">
        <v>1345</v>
      </c>
      <c r="B346" s="6" t="s">
        <v>5</v>
      </c>
      <c r="C346" t="s">
        <v>351</v>
      </c>
      <c r="D346" s="7" t="s">
        <v>923</v>
      </c>
      <c r="E346" s="7" t="s">
        <v>1149</v>
      </c>
      <c r="F346" t="s">
        <v>1495</v>
      </c>
      <c r="G346" s="7" t="s">
        <v>1725</v>
      </c>
      <c r="H346" t="s">
        <v>1737</v>
      </c>
      <c r="I346" t="s">
        <v>1743</v>
      </c>
      <c r="J346" t="s">
        <v>1786</v>
      </c>
      <c r="K346" s="2" t="str">
        <f t="shared" si="11"/>
        <v>1345,'LICENCIATURA','angelalexander.virgenserrano','111839','TOMAR DEL SND','VIRGEN SERRANO ANGEL ALEXANDER','INGENIERIA AEROESPACIAL','5to','MASCULINO','ACTIVO','',0,0,'','ALUMNO'</v>
      </c>
      <c r="L346" s="10" t="str">
        <f t="shared" si="10"/>
        <v>INSERT INTO participantes (id,nivel,correo,matricula,clave,nombre,carrera,grado,sexo,situacion,evaluados,num_evaluados,total_evaluaciones,ultimo_acceso,nivel_acceso) VALUES (1345,'LICENCIATURA','angelalexander.virgenserrano','111839','TOMAR DEL SND','VIRGEN SERRANO ANGEL ALEXANDER','INGENIERIA AEROESPACIAL','5to','MASCULINO','ACTIVO','',0,0,'','ALUMNO');</v>
      </c>
    </row>
    <row r="347" spans="1:12" ht="130.5" x14ac:dyDescent="0.35">
      <c r="A347" s="7">
        <v>1346</v>
      </c>
      <c r="B347" s="6" t="s">
        <v>5</v>
      </c>
      <c r="C347" t="s">
        <v>352</v>
      </c>
      <c r="D347" s="7" t="s">
        <v>924</v>
      </c>
      <c r="E347" s="7" t="s">
        <v>1149</v>
      </c>
      <c r="F347" t="s">
        <v>1496</v>
      </c>
      <c r="G347" s="7" t="s">
        <v>1727</v>
      </c>
      <c r="H347" t="s">
        <v>1737</v>
      </c>
      <c r="I347" t="s">
        <v>1743</v>
      </c>
      <c r="J347" t="s">
        <v>1786</v>
      </c>
      <c r="K347" s="2" t="str">
        <f t="shared" si="11"/>
        <v>1346,'LICENCIATURA','kevinjosue.morazepeda','111842','TOMAR DEL SND','MORA ZEPEDA KEVIN JOSUE','ADMINISTRACION Y DIRECCION DE NEGOCIOS','5to','MASCULINO','ACTIVO','',0,0,'','ALUMNO'</v>
      </c>
      <c r="L347" s="10" t="str">
        <f t="shared" si="10"/>
        <v>INSERT INTO participantes (id,nivel,correo,matricula,clave,nombre,carrera,grado,sexo,situacion,evaluados,num_evaluados,total_evaluaciones,ultimo_acceso,nivel_acceso) VALUES (1346,'LICENCIATURA','kevinjosue.morazepeda','111842','TOMAR DEL SND','MORA ZEPEDA KEVIN JOSUE','ADMINISTRACION Y DIRECCION DE NEGOCIOS','5to','MASCULINO','ACTIVO','',0,0,'','ALUMNO');</v>
      </c>
    </row>
    <row r="348" spans="1:12" ht="130.5" x14ac:dyDescent="0.35">
      <c r="A348" s="7">
        <v>1347</v>
      </c>
      <c r="B348" s="6" t="s">
        <v>5</v>
      </c>
      <c r="C348" t="s">
        <v>353</v>
      </c>
      <c r="D348" s="7" t="s">
        <v>925</v>
      </c>
      <c r="E348" s="7" t="s">
        <v>1149</v>
      </c>
      <c r="F348" t="s">
        <v>1497</v>
      </c>
      <c r="G348" s="7" t="s">
        <v>1727</v>
      </c>
      <c r="H348" t="s">
        <v>1737</v>
      </c>
      <c r="I348" t="s">
        <v>1744</v>
      </c>
      <c r="J348" t="s">
        <v>1786</v>
      </c>
      <c r="K348" s="2" t="str">
        <f t="shared" si="11"/>
        <v>1347,'LICENCIATURA','fridasophia.alencastrorojo','111845','TOMAR DEL SND','ALENCASTRO ROJO FRIDA SOPHIA','ADMINISTRACION Y DIRECCION DE NEGOCIOS','5to','FEMENINO','ACTIVO','',0,0,'','ALUMNO'</v>
      </c>
      <c r="L348" s="10" t="str">
        <f t="shared" si="10"/>
        <v>INSERT INTO participantes (id,nivel,correo,matricula,clave,nombre,carrera,grado,sexo,situacion,evaluados,num_evaluados,total_evaluaciones,ultimo_acceso,nivel_acceso) VALUES (1347,'LICENCIATURA','fridasophia.alencastrorojo','111845','TOMAR DEL SND','ALENCASTRO ROJO FRIDA SOPHIA','ADMINISTRACION Y DIRECCION DE NEGOCIOS','5to','FEMENINO','ACTIVO','',0,0,'','ALUMNO');</v>
      </c>
    </row>
    <row r="349" spans="1:12" ht="130.5" x14ac:dyDescent="0.35">
      <c r="A349" s="7">
        <v>1348</v>
      </c>
      <c r="B349" s="6" t="s">
        <v>5</v>
      </c>
      <c r="C349" t="s">
        <v>354</v>
      </c>
      <c r="D349" s="7" t="s">
        <v>926</v>
      </c>
      <c r="E349" s="7" t="s">
        <v>1149</v>
      </c>
      <c r="F349" t="s">
        <v>1498</v>
      </c>
      <c r="G349" s="7" t="s">
        <v>1726</v>
      </c>
      <c r="H349" t="s">
        <v>1737</v>
      </c>
      <c r="I349" t="s">
        <v>1743</v>
      </c>
      <c r="J349" t="s">
        <v>1786</v>
      </c>
      <c r="K349" s="2" t="str">
        <f t="shared" si="11"/>
        <v>1348,'LICENCIATURA','pablooscar.salcidoramos','111853','TOMAR DEL SND','SALCIDO RAMOS PABLO OSCAR','PSICOLOGIA','5to','MASCULINO','ACTIVO','',0,0,'','ALUMNO'</v>
      </c>
      <c r="L349" s="10" t="str">
        <f t="shared" si="10"/>
        <v>INSERT INTO participantes (id,nivel,correo,matricula,clave,nombre,carrera,grado,sexo,situacion,evaluados,num_evaluados,total_evaluaciones,ultimo_acceso,nivel_acceso) VALUES (1348,'LICENCIATURA','pablooscar.salcidoramos','111853','TOMAR DEL SND','SALCIDO RAMOS PABLO OSCAR','PSICOLOGIA','5to','MASCULINO','ACTIVO','',0,0,'','ALUMNO');</v>
      </c>
    </row>
    <row r="350" spans="1:12" ht="130.5" x14ac:dyDescent="0.35">
      <c r="A350" s="7">
        <v>1349</v>
      </c>
      <c r="B350" s="6" t="s">
        <v>5</v>
      </c>
      <c r="C350" t="s">
        <v>355</v>
      </c>
      <c r="D350" s="7" t="s">
        <v>927</v>
      </c>
      <c r="E350" s="7" t="s">
        <v>1149</v>
      </c>
      <c r="F350" t="s">
        <v>1499</v>
      </c>
      <c r="G350" s="7" t="s">
        <v>1730</v>
      </c>
      <c r="H350" t="s">
        <v>1737</v>
      </c>
      <c r="I350" t="s">
        <v>1743</v>
      </c>
      <c r="J350" t="s">
        <v>1786</v>
      </c>
      <c r="K350" s="2" t="str">
        <f t="shared" si="11"/>
        <v>1349,'LICENCIATURA','damian.martinezalvarado','111854','TOMAR DEL SND','MARTINEZ ALVARADO DAMIAN','ANIMACION DIGITAL Y VIDEOJUEGOS','5to','MASCULINO','ACTIVO','',0,0,'','ALUMNO'</v>
      </c>
      <c r="L350" s="10" t="str">
        <f t="shared" si="10"/>
        <v>INSERT INTO participantes (id,nivel,correo,matricula,clave,nombre,carrera,grado,sexo,situacion,evaluados,num_evaluados,total_evaluaciones,ultimo_acceso,nivel_acceso) VALUES (1349,'LICENCIATURA','damian.martinezalvarado','111854','TOMAR DEL SND','MARTINEZ ALVARADO DAMIAN','ANIMACION DIGITAL Y VIDEOJUEGOS','5to','MASCULINO','ACTIVO','',0,0,'','ALUMNO');</v>
      </c>
    </row>
    <row r="351" spans="1:12" ht="130.5" x14ac:dyDescent="0.35">
      <c r="A351" s="7">
        <v>1350</v>
      </c>
      <c r="B351" s="6" t="s">
        <v>5</v>
      </c>
      <c r="C351" t="s">
        <v>356</v>
      </c>
      <c r="D351" s="7" t="s">
        <v>928</v>
      </c>
      <c r="E351" s="7" t="s">
        <v>1149</v>
      </c>
      <c r="F351" t="s">
        <v>1500</v>
      </c>
      <c r="G351" s="7" t="s">
        <v>1725</v>
      </c>
      <c r="H351" t="s">
        <v>1739</v>
      </c>
      <c r="I351" t="s">
        <v>1743</v>
      </c>
      <c r="J351" t="s">
        <v>1786</v>
      </c>
      <c r="K351" s="2" t="str">
        <f t="shared" si="11"/>
        <v>1350,'LICENCIATURA','leonardoalejandro.delamorasanchez','112141','TOMAR DEL SND','DE LA MORA SANCHEZ LEONARDO ALEJANDRO','INGENIERIA AEROESPACIAL','3ro','MASCULINO','ACTIVO','',0,0,'','ALUMNO'</v>
      </c>
      <c r="L351" s="10" t="str">
        <f t="shared" si="10"/>
        <v>INSERT INTO participantes (id,nivel,correo,matricula,clave,nombre,carrera,grado,sexo,situacion,evaluados,num_evaluados,total_evaluaciones,ultimo_acceso,nivel_acceso) VALUES (1350,'LICENCIATURA','leonardoalejandro.delamorasanchez','112141','TOMAR DEL SND','DE LA MORA SANCHEZ LEONARDO ALEJANDRO','INGENIERIA AEROESPACIAL','3ro','MASCULINO','ACTIVO','',0,0,'','ALUMNO');</v>
      </c>
    </row>
    <row r="352" spans="1:12" ht="130.5" x14ac:dyDescent="0.35">
      <c r="A352" s="7">
        <v>1351</v>
      </c>
      <c r="B352" s="6" t="s">
        <v>5</v>
      </c>
      <c r="C352" t="s">
        <v>357</v>
      </c>
      <c r="D352" s="7" t="s">
        <v>929</v>
      </c>
      <c r="E352" s="7" t="s">
        <v>1149</v>
      </c>
      <c r="F352" t="s">
        <v>1501</v>
      </c>
      <c r="G352" s="7" t="s">
        <v>1724</v>
      </c>
      <c r="H352" t="s">
        <v>1739</v>
      </c>
      <c r="I352" t="s">
        <v>1744</v>
      </c>
      <c r="J352" t="s">
        <v>1786</v>
      </c>
      <c r="K352" s="2" t="str">
        <f t="shared" si="11"/>
        <v>1351,'LICENCIATURA','chelseavianney.martinezramirez','112143','TOMAR DEL SND','MARTINEZ RAMIREZ CHELSEA VIANNEY','NUTRICION Y GASTRONOMIA','3ro','FEMENINO','ACTIVO','',0,0,'','ALUMNO'</v>
      </c>
      <c r="L352" s="10" t="str">
        <f t="shared" si="10"/>
        <v>INSERT INTO participantes (id,nivel,correo,matricula,clave,nombre,carrera,grado,sexo,situacion,evaluados,num_evaluados,total_evaluaciones,ultimo_acceso,nivel_acceso) VALUES (1351,'LICENCIATURA','chelseavianney.martinezramirez','112143','TOMAR DEL SND','MARTINEZ RAMIREZ CHELSEA VIANNEY','NUTRICION Y GASTRONOMIA','3ro','FEMENINO','ACTIVO','',0,0,'','ALUMNO');</v>
      </c>
    </row>
    <row r="353" spans="1:12" ht="130.5" x14ac:dyDescent="0.35">
      <c r="A353" s="7">
        <v>1352</v>
      </c>
      <c r="B353" s="6" t="s">
        <v>5</v>
      </c>
      <c r="C353" t="s">
        <v>358</v>
      </c>
      <c r="D353" s="7" t="s">
        <v>930</v>
      </c>
      <c r="E353" s="7" t="s">
        <v>1149</v>
      </c>
      <c r="F353" t="s">
        <v>1502</v>
      </c>
      <c r="G353" s="7" t="s">
        <v>1730</v>
      </c>
      <c r="H353" t="s">
        <v>1739</v>
      </c>
      <c r="I353" t="s">
        <v>1743</v>
      </c>
      <c r="J353" t="s">
        <v>1786</v>
      </c>
      <c r="K353" s="2" t="str">
        <f t="shared" si="11"/>
        <v>1352,'LICENCIATURA','eduardoantonio.aguirrerios','112144','TOMAR DEL SND','AGUIRRE RIOS EDUARDO ANTONIO','ANIMACION DIGITAL Y VIDEOJUEGOS','3ro','MASCULINO','ACTIVO','',0,0,'','ALUMNO'</v>
      </c>
      <c r="L353" s="10" t="str">
        <f t="shared" si="10"/>
        <v>INSERT INTO participantes (id,nivel,correo,matricula,clave,nombre,carrera,grado,sexo,situacion,evaluados,num_evaluados,total_evaluaciones,ultimo_acceso,nivel_acceso) VALUES (1352,'LICENCIATURA','eduardoantonio.aguirrerios','112144','TOMAR DEL SND','AGUIRRE RIOS EDUARDO ANTONIO','ANIMACION DIGITAL Y VIDEOJUEGOS','3ro','MASCULINO','ACTIVO','',0,0,'','ALUMNO');</v>
      </c>
    </row>
    <row r="354" spans="1:12" ht="130.5" x14ac:dyDescent="0.35">
      <c r="A354" s="7">
        <v>1353</v>
      </c>
      <c r="B354" s="6" t="s">
        <v>5</v>
      </c>
      <c r="C354" t="s">
        <v>359</v>
      </c>
      <c r="D354" s="7" t="s">
        <v>931</v>
      </c>
      <c r="E354" s="7" t="s">
        <v>1149</v>
      </c>
      <c r="F354" t="s">
        <v>1503</v>
      </c>
      <c r="G354" s="7" t="s">
        <v>1724</v>
      </c>
      <c r="H354" t="s">
        <v>1739</v>
      </c>
      <c r="I354" t="s">
        <v>1743</v>
      </c>
      <c r="J354" t="s">
        <v>1786</v>
      </c>
      <c r="K354" s="2" t="str">
        <f t="shared" si="11"/>
        <v>1353,'LICENCIATURA','oswaldojosafat.molinazamora','112145','TOMAR DEL SND','MOLINA ZAMORA OSWALDO JOSAFAT','NUTRICION Y GASTRONOMIA','3ro','MASCULINO','ACTIVO','',0,0,'','ALUMNO'</v>
      </c>
      <c r="L354" s="10" t="str">
        <f t="shared" si="10"/>
        <v>INSERT INTO participantes (id,nivel,correo,matricula,clave,nombre,carrera,grado,sexo,situacion,evaluados,num_evaluados,total_evaluaciones,ultimo_acceso,nivel_acceso) VALUES (1353,'LICENCIATURA','oswaldojosafat.molinazamora','112145','TOMAR DEL SND','MOLINA ZAMORA OSWALDO JOSAFAT','NUTRICION Y GASTRONOMIA','3ro','MASCULINO','ACTIVO','',0,0,'','ALUMNO');</v>
      </c>
    </row>
    <row r="355" spans="1:12" ht="130.5" x14ac:dyDescent="0.35">
      <c r="A355" s="7">
        <v>1354</v>
      </c>
      <c r="B355" s="6" t="s">
        <v>5</v>
      </c>
      <c r="C355" t="s">
        <v>360</v>
      </c>
      <c r="D355" s="7" t="s">
        <v>932</v>
      </c>
      <c r="E355" s="7" t="s">
        <v>1149</v>
      </c>
      <c r="F355" t="s">
        <v>1504</v>
      </c>
      <c r="G355" s="7" t="s">
        <v>1731</v>
      </c>
      <c r="H355" t="s">
        <v>1739</v>
      </c>
      <c r="I355" t="s">
        <v>1744</v>
      </c>
      <c r="J355" t="s">
        <v>1786</v>
      </c>
      <c r="K355" s="2" t="str">
        <f t="shared" si="11"/>
        <v>1354,'LICENCIATURA','brendaximena.orozcovizcarra','112147','TOMAR DEL SND','OROZCO VIZCARRA BRENDA XIMENA','INGENIERÍA AUTOMOTRIZ','3ro','FEMENINO','ACTIVO','',0,0,'','ALUMNO'</v>
      </c>
      <c r="L355" s="10" t="str">
        <f t="shared" si="10"/>
        <v>INSERT INTO participantes (id,nivel,correo,matricula,clave,nombre,carrera,grado,sexo,situacion,evaluados,num_evaluados,total_evaluaciones,ultimo_acceso,nivel_acceso) VALUES (1354,'LICENCIATURA','brendaximena.orozcovizcarra','112147','TOMAR DEL SND','OROZCO VIZCARRA BRENDA XIMENA','INGENIERÍA AUTOMOTRIZ','3ro','FEMENINO','ACTIVO','',0,0,'','ALUMNO');</v>
      </c>
    </row>
    <row r="356" spans="1:12" ht="130.5" x14ac:dyDescent="0.35">
      <c r="A356" s="7">
        <v>1355</v>
      </c>
      <c r="B356" s="6" t="s">
        <v>5</v>
      </c>
      <c r="C356" t="s">
        <v>361</v>
      </c>
      <c r="D356" s="7" t="s">
        <v>933</v>
      </c>
      <c r="E356" s="7" t="s">
        <v>1149</v>
      </c>
      <c r="F356" t="s">
        <v>1505</v>
      </c>
      <c r="G356" s="7" t="s">
        <v>1725</v>
      </c>
      <c r="H356" t="s">
        <v>1739</v>
      </c>
      <c r="I356" t="s">
        <v>1743</v>
      </c>
      <c r="J356" t="s">
        <v>1786</v>
      </c>
      <c r="K356" s="2" t="str">
        <f t="shared" si="11"/>
        <v>1355,'LICENCIATURA','ubaldo.avendañopani','112148','TOMAR DEL SND','AVENDAÑO PANI UBALDO','INGENIERIA AEROESPACIAL','3ro','MASCULINO','ACTIVO','',0,0,'','ALUMNO'</v>
      </c>
      <c r="L356" s="10" t="str">
        <f t="shared" si="10"/>
        <v>INSERT INTO participantes (id,nivel,correo,matricula,clave,nombre,carrera,grado,sexo,situacion,evaluados,num_evaluados,total_evaluaciones,ultimo_acceso,nivel_acceso) VALUES (1355,'LICENCIATURA','ubaldo.avendañopani','112148','TOMAR DEL SND','AVENDAÑO PANI UBALDO','INGENIERIA AEROESPACIAL','3ro','MASCULINO','ACTIVO','',0,0,'','ALUMNO');</v>
      </c>
    </row>
    <row r="357" spans="1:12" ht="130.5" x14ac:dyDescent="0.35">
      <c r="A357" s="7">
        <v>1356</v>
      </c>
      <c r="B357" s="6" t="s">
        <v>5</v>
      </c>
      <c r="C357" t="s">
        <v>362</v>
      </c>
      <c r="D357" s="7" t="s">
        <v>934</v>
      </c>
      <c r="E357" s="7" t="s">
        <v>1149</v>
      </c>
      <c r="F357" t="s">
        <v>1506</v>
      </c>
      <c r="G357" s="7" t="s">
        <v>1725</v>
      </c>
      <c r="H357" t="s">
        <v>1739</v>
      </c>
      <c r="I357" t="s">
        <v>1744</v>
      </c>
      <c r="J357" t="s">
        <v>1786</v>
      </c>
      <c r="K357" s="2" t="str">
        <f t="shared" si="11"/>
        <v>1356,'LICENCIATURA','karenguadalupe.ruizmartinez','112149','TOMAR DEL SND','RUIZ MARTINEZ KAREN GUADALUPE','INGENIERIA AEROESPACIAL','3ro','FEMENINO','ACTIVO','',0,0,'','ALUMNO'</v>
      </c>
      <c r="L357" s="10" t="str">
        <f t="shared" si="10"/>
        <v>INSERT INTO participantes (id,nivel,correo,matricula,clave,nombre,carrera,grado,sexo,situacion,evaluados,num_evaluados,total_evaluaciones,ultimo_acceso,nivel_acceso) VALUES (1356,'LICENCIATURA','karenguadalupe.ruizmartinez','112149','TOMAR DEL SND','RUIZ MARTINEZ KAREN GUADALUPE','INGENIERIA AEROESPACIAL','3ro','FEMENINO','ACTIVO','',0,0,'','ALUMNO');</v>
      </c>
    </row>
    <row r="358" spans="1:12" ht="130.5" x14ac:dyDescent="0.35">
      <c r="A358" s="7">
        <v>1357</v>
      </c>
      <c r="B358" s="6" t="s">
        <v>5</v>
      </c>
      <c r="C358" t="s">
        <v>363</v>
      </c>
      <c r="D358" s="7" t="s">
        <v>935</v>
      </c>
      <c r="E358" s="7" t="s">
        <v>1149</v>
      </c>
      <c r="F358" t="s">
        <v>1507</v>
      </c>
      <c r="G358" s="7" t="s">
        <v>1730</v>
      </c>
      <c r="H358" t="s">
        <v>1739</v>
      </c>
      <c r="I358" t="s">
        <v>1744</v>
      </c>
      <c r="J358" t="s">
        <v>1786</v>
      </c>
      <c r="K358" s="2" t="str">
        <f t="shared" si="11"/>
        <v>1357,'LICENCIATURA','renatagabriela.careyramirez','112150','TOMAR DEL SND','CAREY RAMIREZ RENATA GABRIELA','ANIMACION DIGITAL Y VIDEOJUEGOS','3ro','FEMENINO','ACTIVO','',0,0,'','ALUMNO'</v>
      </c>
      <c r="L358" s="10" t="str">
        <f t="shared" si="10"/>
        <v>INSERT INTO participantes (id,nivel,correo,matricula,clave,nombre,carrera,grado,sexo,situacion,evaluados,num_evaluados,total_evaluaciones,ultimo_acceso,nivel_acceso) VALUES (1357,'LICENCIATURA','renatagabriela.careyramirez','112150','TOMAR DEL SND','CAREY RAMIREZ RENATA GABRIELA','ANIMACION DIGITAL Y VIDEOJUEGOS','3ro','FEMENINO','ACTIVO','',0,0,'','ALUMNO');</v>
      </c>
    </row>
    <row r="359" spans="1:12" ht="130.5" x14ac:dyDescent="0.35">
      <c r="A359" s="7">
        <v>1358</v>
      </c>
      <c r="B359" s="6" t="s">
        <v>5</v>
      </c>
      <c r="C359" t="s">
        <v>364</v>
      </c>
      <c r="D359" s="7" t="s">
        <v>936</v>
      </c>
      <c r="E359" s="7" t="s">
        <v>1149</v>
      </c>
      <c r="F359" t="s">
        <v>1508</v>
      </c>
      <c r="G359" s="7" t="s">
        <v>1731</v>
      </c>
      <c r="H359" t="s">
        <v>1739</v>
      </c>
      <c r="I359" t="s">
        <v>1743</v>
      </c>
      <c r="J359" t="s">
        <v>1786</v>
      </c>
      <c r="K359" s="2" t="str">
        <f t="shared" si="11"/>
        <v>1358,'LICENCIATURA','maximiliano.resendizpiña','112151','TOMAR DEL SND','RESENDIZ PIÑA MAXIMILIANO','INGENIERÍA AUTOMOTRIZ','3ro','MASCULINO','ACTIVO','',0,0,'','ALUMNO'</v>
      </c>
      <c r="L359" s="10" t="str">
        <f t="shared" si="10"/>
        <v>INSERT INTO participantes (id,nivel,correo,matricula,clave,nombre,carrera,grado,sexo,situacion,evaluados,num_evaluados,total_evaluaciones,ultimo_acceso,nivel_acceso) VALUES (1358,'LICENCIATURA','maximiliano.resendizpiña','112151','TOMAR DEL SND','RESENDIZ PIÑA MAXIMILIANO','INGENIERÍA AUTOMOTRIZ','3ro','MASCULINO','ACTIVO','',0,0,'','ALUMNO');</v>
      </c>
    </row>
    <row r="360" spans="1:12" ht="130.5" x14ac:dyDescent="0.35">
      <c r="A360" s="7">
        <v>1359</v>
      </c>
      <c r="B360" s="6" t="s">
        <v>5</v>
      </c>
      <c r="C360" t="s">
        <v>365</v>
      </c>
      <c r="D360" s="7" t="s">
        <v>937</v>
      </c>
      <c r="E360" s="7" t="s">
        <v>1149</v>
      </c>
      <c r="F360" t="s">
        <v>1509</v>
      </c>
      <c r="G360" s="7" t="s">
        <v>1725</v>
      </c>
      <c r="H360" t="s">
        <v>1739</v>
      </c>
      <c r="I360" t="s">
        <v>1743</v>
      </c>
      <c r="J360" t="s">
        <v>1786</v>
      </c>
      <c r="K360" s="2" t="str">
        <f t="shared" si="11"/>
        <v>1359,'LICENCIATURA','bernardo.dessavregonzalez','112152','TOMAR DEL SND','DESSAVRE GONZALEZ BERNARDO','INGENIERIA AEROESPACIAL','3ro','MASCULINO','ACTIVO','',0,0,'','ALUMNO'</v>
      </c>
      <c r="L360" s="10" t="str">
        <f t="shared" si="10"/>
        <v>INSERT INTO participantes (id,nivel,correo,matricula,clave,nombre,carrera,grado,sexo,situacion,evaluados,num_evaluados,total_evaluaciones,ultimo_acceso,nivel_acceso) VALUES (1359,'LICENCIATURA','bernardo.dessavregonzalez','112152','TOMAR DEL SND','DESSAVRE GONZALEZ BERNARDO','INGENIERIA AEROESPACIAL','3ro','MASCULINO','ACTIVO','',0,0,'','ALUMNO');</v>
      </c>
    </row>
    <row r="361" spans="1:12" ht="130.5" x14ac:dyDescent="0.35">
      <c r="A361" s="7">
        <v>1360</v>
      </c>
      <c r="B361" s="6" t="s">
        <v>5</v>
      </c>
      <c r="C361" t="s">
        <v>366</v>
      </c>
      <c r="D361" s="7" t="s">
        <v>938</v>
      </c>
      <c r="E361" s="7" t="s">
        <v>1149</v>
      </c>
      <c r="F361" t="s">
        <v>1510</v>
      </c>
      <c r="G361" s="7" t="s">
        <v>1724</v>
      </c>
      <c r="H361" t="s">
        <v>1739</v>
      </c>
      <c r="I361" t="s">
        <v>1744</v>
      </c>
      <c r="J361" t="s">
        <v>1786</v>
      </c>
      <c r="K361" s="2" t="str">
        <f t="shared" si="11"/>
        <v>1360,'LICENCIATURA','paola.floreszavaleta','112154','TOMAR DEL SND','FLORES ZAVALETA PAOLA','NUTRICION Y GASTRONOMIA','3ro','FEMENINO','ACTIVO','',0,0,'','ALUMNO'</v>
      </c>
      <c r="L361" s="10" t="str">
        <f t="shared" si="10"/>
        <v>INSERT INTO participantes (id,nivel,correo,matricula,clave,nombre,carrera,grado,sexo,situacion,evaluados,num_evaluados,total_evaluaciones,ultimo_acceso,nivel_acceso) VALUES (1360,'LICENCIATURA','paola.floreszavaleta','112154','TOMAR DEL SND','FLORES ZAVALETA PAOLA','NUTRICION Y GASTRONOMIA','3ro','FEMENINO','ACTIVO','',0,0,'','ALUMNO');</v>
      </c>
    </row>
    <row r="362" spans="1:12" ht="130.5" x14ac:dyDescent="0.35">
      <c r="A362" s="7">
        <v>1361</v>
      </c>
      <c r="B362" s="6" t="s">
        <v>5</v>
      </c>
      <c r="C362" t="s">
        <v>367</v>
      </c>
      <c r="D362" s="7" t="s">
        <v>939</v>
      </c>
      <c r="E362" s="7" t="s">
        <v>1149</v>
      </c>
      <c r="F362" t="s">
        <v>1511</v>
      </c>
      <c r="G362" s="7" t="s">
        <v>1726</v>
      </c>
      <c r="H362" t="s">
        <v>1739</v>
      </c>
      <c r="I362" t="s">
        <v>1744</v>
      </c>
      <c r="J362" t="s">
        <v>1786</v>
      </c>
      <c r="K362" s="2" t="str">
        <f t="shared" si="11"/>
        <v>1361,'LICENCIATURA','abigail.mendozavillela','112156','TOMAR DEL SND','MENDOZA VILLELA ABIGAIL','PSICOLOGIA','3ro','FEMENINO','ACTIVO','',0,0,'','ALUMNO'</v>
      </c>
      <c r="L362" s="10" t="str">
        <f t="shared" si="10"/>
        <v>INSERT INTO participantes (id,nivel,correo,matricula,clave,nombre,carrera,grado,sexo,situacion,evaluados,num_evaluados,total_evaluaciones,ultimo_acceso,nivel_acceso) VALUES (1361,'LICENCIATURA','abigail.mendozavillela','112156','TOMAR DEL SND','MENDOZA VILLELA ABIGAIL','PSICOLOGIA','3ro','FEMENINO','ACTIVO','',0,0,'','ALUMNO');</v>
      </c>
    </row>
    <row r="363" spans="1:12" ht="130.5" x14ac:dyDescent="0.35">
      <c r="A363" s="7">
        <v>1362</v>
      </c>
      <c r="B363" s="6" t="s">
        <v>5</v>
      </c>
      <c r="C363" t="s">
        <v>368</v>
      </c>
      <c r="D363" s="7" t="s">
        <v>940</v>
      </c>
      <c r="E363" s="7" t="s">
        <v>1149</v>
      </c>
      <c r="F363" t="s">
        <v>1512</v>
      </c>
      <c r="G363" s="7" t="s">
        <v>1724</v>
      </c>
      <c r="H363" t="s">
        <v>1739</v>
      </c>
      <c r="I363" t="s">
        <v>1743</v>
      </c>
      <c r="J363" t="s">
        <v>1786</v>
      </c>
      <c r="K363" s="2" t="str">
        <f t="shared" si="11"/>
        <v>1362,'LICENCIATURA','mauro.garcianavarro','112157','TOMAR DEL SND','GARCIA NAVARRO MAURO','NUTRICION Y GASTRONOMIA','3ro','MASCULINO','ACTIVO','',0,0,'','ALUMNO'</v>
      </c>
      <c r="L363" s="10" t="str">
        <f t="shared" si="10"/>
        <v>INSERT INTO participantes (id,nivel,correo,matricula,clave,nombre,carrera,grado,sexo,situacion,evaluados,num_evaluados,total_evaluaciones,ultimo_acceso,nivel_acceso) VALUES (1362,'LICENCIATURA','mauro.garcianavarro','112157','TOMAR DEL SND','GARCIA NAVARRO MAURO','NUTRICION Y GASTRONOMIA','3ro','MASCULINO','ACTIVO','',0,0,'','ALUMNO');</v>
      </c>
    </row>
    <row r="364" spans="1:12" ht="130.5" x14ac:dyDescent="0.35">
      <c r="A364" s="7">
        <v>1363</v>
      </c>
      <c r="B364" s="6" t="s">
        <v>5</v>
      </c>
      <c r="C364" t="s">
        <v>369</v>
      </c>
      <c r="D364" s="7" t="s">
        <v>941</v>
      </c>
      <c r="E364" s="7" t="s">
        <v>1149</v>
      </c>
      <c r="F364" t="s">
        <v>1513</v>
      </c>
      <c r="G364" s="7" t="s">
        <v>1730</v>
      </c>
      <c r="H364" t="s">
        <v>1739</v>
      </c>
      <c r="I364" t="s">
        <v>1743</v>
      </c>
      <c r="J364" t="s">
        <v>1786</v>
      </c>
      <c r="K364" s="2" t="str">
        <f t="shared" si="11"/>
        <v>1363,'LICENCIATURA','hugofernando.carbajalvalencia','112158','TOMAR DEL SND','CARBAJAL VALENCIA HUGO FERNANDO','ANIMACION DIGITAL Y VIDEOJUEGOS','3ro','MASCULINO','ACTIVO','',0,0,'','ALUMNO'</v>
      </c>
      <c r="L364" s="10" t="str">
        <f t="shared" si="10"/>
        <v>INSERT INTO participantes (id,nivel,correo,matricula,clave,nombre,carrera,grado,sexo,situacion,evaluados,num_evaluados,total_evaluaciones,ultimo_acceso,nivel_acceso) VALUES (1363,'LICENCIATURA','hugofernando.carbajalvalencia','112158','TOMAR DEL SND','CARBAJAL VALENCIA HUGO FERNANDO','ANIMACION DIGITAL Y VIDEOJUEGOS','3ro','MASCULINO','ACTIVO','',0,0,'','ALUMNO');</v>
      </c>
    </row>
    <row r="365" spans="1:12" ht="130.5" x14ac:dyDescent="0.35">
      <c r="A365" s="7">
        <v>1364</v>
      </c>
      <c r="B365" s="6" t="s">
        <v>5</v>
      </c>
      <c r="C365" t="s">
        <v>370</v>
      </c>
      <c r="D365" s="7" t="s">
        <v>942</v>
      </c>
      <c r="E365" s="7" t="s">
        <v>1149</v>
      </c>
      <c r="F365" t="s">
        <v>1514</v>
      </c>
      <c r="G365" s="7" t="s">
        <v>1734</v>
      </c>
      <c r="H365" t="s">
        <v>1739</v>
      </c>
      <c r="I365" t="s">
        <v>1743</v>
      </c>
      <c r="J365" t="s">
        <v>1786</v>
      </c>
      <c r="K365" s="2" t="str">
        <f t="shared" si="11"/>
        <v>1364,'LICENCIATURA','ricardo.raygozagomez','112159','TOMAR DEL SND','RAYGOZA GOMEZ RICARDO','INGENIERÍA EN INTELIGENCIA ARTIFICIAL','3ro','MASCULINO','ACTIVO','',0,0,'','ALUMNO'</v>
      </c>
      <c r="L365" s="10" t="str">
        <f t="shared" si="10"/>
        <v>INSERT INTO participantes (id,nivel,correo,matricula,clave,nombre,carrera,grado,sexo,situacion,evaluados,num_evaluados,total_evaluaciones,ultimo_acceso,nivel_acceso) VALUES (1364,'LICENCIATURA','ricardo.raygozagomez','112159','TOMAR DEL SND','RAYGOZA GOMEZ RICARDO','INGENIERÍA EN INTELIGENCIA ARTIFICIAL','3ro','MASCULINO','ACTIVO','',0,0,'','ALUMNO');</v>
      </c>
    </row>
    <row r="366" spans="1:12" ht="130.5" x14ac:dyDescent="0.35">
      <c r="A366" s="7">
        <v>1365</v>
      </c>
      <c r="B366" s="6" t="s">
        <v>5</v>
      </c>
      <c r="C366" t="s">
        <v>371</v>
      </c>
      <c r="D366" s="7" t="s">
        <v>943</v>
      </c>
      <c r="E366" s="7" t="s">
        <v>1149</v>
      </c>
      <c r="F366" t="s">
        <v>1515</v>
      </c>
      <c r="G366" s="7" t="s">
        <v>1734</v>
      </c>
      <c r="H366" t="s">
        <v>1739</v>
      </c>
      <c r="I366" t="s">
        <v>1743</v>
      </c>
      <c r="J366" t="s">
        <v>1786</v>
      </c>
      <c r="K366" s="2" t="str">
        <f t="shared" si="11"/>
        <v>1365,'LICENCIATURA','alan.angulojimenez','112160','TOMAR DEL SND','ANGULO JIMENEZ ALAN','INGENIERÍA EN INTELIGENCIA ARTIFICIAL','3ro','MASCULINO','ACTIVO','',0,0,'','ALUMNO'</v>
      </c>
      <c r="L366" s="10" t="str">
        <f t="shared" si="10"/>
        <v>INSERT INTO participantes (id,nivel,correo,matricula,clave,nombre,carrera,grado,sexo,situacion,evaluados,num_evaluados,total_evaluaciones,ultimo_acceso,nivel_acceso) VALUES (1365,'LICENCIATURA','alan.angulojimenez','112160','TOMAR DEL SND','ANGULO JIMENEZ ALAN','INGENIERÍA EN INTELIGENCIA ARTIFICIAL','3ro','MASCULINO','ACTIVO','',0,0,'','ALUMNO');</v>
      </c>
    </row>
    <row r="367" spans="1:12" ht="130.5" x14ac:dyDescent="0.35">
      <c r="A367" s="7">
        <v>1366</v>
      </c>
      <c r="B367" s="6" t="s">
        <v>5</v>
      </c>
      <c r="C367" t="s">
        <v>372</v>
      </c>
      <c r="D367" s="7" t="s">
        <v>944</v>
      </c>
      <c r="E367" s="7" t="s">
        <v>1149</v>
      </c>
      <c r="F367" t="s">
        <v>1516</v>
      </c>
      <c r="G367" s="7" t="s">
        <v>1734</v>
      </c>
      <c r="H367" t="s">
        <v>1739</v>
      </c>
      <c r="I367" t="s">
        <v>1744</v>
      </c>
      <c r="J367" t="s">
        <v>1786</v>
      </c>
      <c r="K367" s="2" t="str">
        <f t="shared" si="11"/>
        <v>1366,'LICENCIATURA','yessikamichell.sanchezrangel','112162','TOMAR DEL SND','SANCHEZ RANGEL YESSIKA MICHELL','INGENIERÍA EN INTELIGENCIA ARTIFICIAL','3ro','FEMENINO','ACTIVO','',0,0,'','ALUMNO'</v>
      </c>
      <c r="L367" s="10" t="str">
        <f t="shared" si="10"/>
        <v>INSERT INTO participantes (id,nivel,correo,matricula,clave,nombre,carrera,grado,sexo,situacion,evaluados,num_evaluados,total_evaluaciones,ultimo_acceso,nivel_acceso) VALUES (1366,'LICENCIATURA','yessikamichell.sanchezrangel','112162','TOMAR DEL SND','SANCHEZ RANGEL YESSIKA MICHELL','INGENIERÍA EN INTELIGENCIA ARTIFICIAL','3ro','FEMENINO','ACTIVO','',0,0,'','ALUMNO');</v>
      </c>
    </row>
    <row r="368" spans="1:12" ht="130.5" x14ac:dyDescent="0.35">
      <c r="A368" s="7">
        <v>1367</v>
      </c>
      <c r="B368" s="6" t="s">
        <v>5</v>
      </c>
      <c r="C368" t="s">
        <v>373</v>
      </c>
      <c r="D368" s="7" t="s">
        <v>945</v>
      </c>
      <c r="E368" s="7" t="s">
        <v>1149</v>
      </c>
      <c r="F368" t="s">
        <v>1517</v>
      </c>
      <c r="G368" s="7" t="s">
        <v>1734</v>
      </c>
      <c r="H368" t="s">
        <v>1739</v>
      </c>
      <c r="I368" t="s">
        <v>1743</v>
      </c>
      <c r="J368" t="s">
        <v>1786</v>
      </c>
      <c r="K368" s="2" t="str">
        <f t="shared" si="11"/>
        <v>1367,'LICENCIATURA','armando.gonzalezhernandez','112163','TOMAR DEL SND','GONZALEZ HERNANDEZ ARMANDO','INGENIERÍA EN INTELIGENCIA ARTIFICIAL','3ro','MASCULINO','ACTIVO','',0,0,'','ALUMNO'</v>
      </c>
      <c r="L368" s="10" t="str">
        <f t="shared" si="10"/>
        <v>INSERT INTO participantes (id,nivel,correo,matricula,clave,nombre,carrera,grado,sexo,situacion,evaluados,num_evaluados,total_evaluaciones,ultimo_acceso,nivel_acceso) VALUES (1367,'LICENCIATURA','armando.gonzalezhernandez','112163','TOMAR DEL SND','GONZALEZ HERNANDEZ ARMANDO','INGENIERÍA EN INTELIGENCIA ARTIFICIAL','3ro','MASCULINO','ACTIVO','',0,0,'','ALUMNO');</v>
      </c>
    </row>
    <row r="369" spans="1:12" ht="130.5" x14ac:dyDescent="0.35">
      <c r="A369" s="7">
        <v>1368</v>
      </c>
      <c r="B369" s="6" t="s">
        <v>5</v>
      </c>
      <c r="C369" t="s">
        <v>374</v>
      </c>
      <c r="D369" s="7" t="s">
        <v>946</v>
      </c>
      <c r="E369" s="7" t="s">
        <v>1149</v>
      </c>
      <c r="F369" t="s">
        <v>1518</v>
      </c>
      <c r="G369" s="7" t="s">
        <v>1734</v>
      </c>
      <c r="H369" t="s">
        <v>1739</v>
      </c>
      <c r="I369" t="s">
        <v>1743</v>
      </c>
      <c r="J369" t="s">
        <v>1786</v>
      </c>
      <c r="K369" s="2" t="str">
        <f t="shared" si="11"/>
        <v>1368,'LICENCIATURA','gabrielomar.hernandezgarcia','112164','TOMAR DEL SND','HERNANDEZ GARCIA GABRIEL OMAR','INGENIERÍA EN INTELIGENCIA ARTIFICIAL','3ro','MASCULINO','ACTIVO','',0,0,'','ALUMNO'</v>
      </c>
      <c r="L369" s="10" t="str">
        <f t="shared" si="10"/>
        <v>INSERT INTO participantes (id,nivel,correo,matricula,clave,nombre,carrera,grado,sexo,situacion,evaluados,num_evaluados,total_evaluaciones,ultimo_acceso,nivel_acceso) VALUES (1368,'LICENCIATURA','gabrielomar.hernandezgarcia','112164','TOMAR DEL SND','HERNANDEZ GARCIA GABRIEL OMAR','INGENIERÍA EN INTELIGENCIA ARTIFICIAL','3ro','MASCULINO','ACTIVO','',0,0,'','ALUMNO');</v>
      </c>
    </row>
    <row r="370" spans="1:12" ht="130.5" x14ac:dyDescent="0.35">
      <c r="A370" s="7">
        <v>1369</v>
      </c>
      <c r="B370" s="6" t="s">
        <v>5</v>
      </c>
      <c r="C370" t="s">
        <v>375</v>
      </c>
      <c r="D370" s="7" t="s">
        <v>947</v>
      </c>
      <c r="E370" s="7" t="s">
        <v>1149</v>
      </c>
      <c r="F370" t="s">
        <v>1519</v>
      </c>
      <c r="G370" s="7" t="s">
        <v>1729</v>
      </c>
      <c r="H370" t="s">
        <v>1739</v>
      </c>
      <c r="I370" t="s">
        <v>1743</v>
      </c>
      <c r="J370" t="s">
        <v>1786</v>
      </c>
      <c r="K370" s="2" t="str">
        <f t="shared" si="11"/>
        <v>1369,'LICENCIATURA','israel.centenorea','112165','TOMAR DEL SND','CENTENO REA ISRAEL','ARQUITECTURA','3ro','MASCULINO','ACTIVO','',0,0,'','ALUMNO'</v>
      </c>
      <c r="L370" s="10" t="str">
        <f t="shared" si="10"/>
        <v>INSERT INTO participantes (id,nivel,correo,matricula,clave,nombre,carrera,grado,sexo,situacion,evaluados,num_evaluados,total_evaluaciones,ultimo_acceso,nivel_acceso) VALUES (1369,'LICENCIATURA','israel.centenorea','112165','TOMAR DEL SND','CENTENO REA ISRAEL','ARQUITECTURA','3ro','MASCULINO','ACTIVO','',0,0,'','ALUMNO');</v>
      </c>
    </row>
    <row r="371" spans="1:12" ht="130.5" x14ac:dyDescent="0.35">
      <c r="A371" s="7">
        <v>1370</v>
      </c>
      <c r="B371" s="6" t="s">
        <v>5</v>
      </c>
      <c r="C371" t="s">
        <v>376</v>
      </c>
      <c r="D371" s="7" t="s">
        <v>948</v>
      </c>
      <c r="E371" s="7" t="s">
        <v>1149</v>
      </c>
      <c r="F371" t="s">
        <v>1520</v>
      </c>
      <c r="G371" s="7" t="s">
        <v>1731</v>
      </c>
      <c r="H371" t="s">
        <v>1739</v>
      </c>
      <c r="I371" t="s">
        <v>1743</v>
      </c>
      <c r="J371" t="s">
        <v>1786</v>
      </c>
      <c r="K371" s="2" t="str">
        <f t="shared" si="11"/>
        <v>1370,'LICENCIATURA','alanenrique.vazquezgarcia','112166','TOMAR DEL SND','VAZQUEZ GARCIA ALAN ENRIQUE','INGENIERÍA AUTOMOTRIZ','3ro','MASCULINO','ACTIVO','',0,0,'','ALUMNO'</v>
      </c>
      <c r="L371" s="10" t="str">
        <f t="shared" si="10"/>
        <v>INSERT INTO participantes (id,nivel,correo,matricula,clave,nombre,carrera,grado,sexo,situacion,evaluados,num_evaluados,total_evaluaciones,ultimo_acceso,nivel_acceso) VALUES (1370,'LICENCIATURA','alanenrique.vazquezgarcia','112166','TOMAR DEL SND','VAZQUEZ GARCIA ALAN ENRIQUE','INGENIERÍA AUTOMOTRIZ','3ro','MASCULINO','ACTIVO','',0,0,'','ALUMNO');</v>
      </c>
    </row>
    <row r="372" spans="1:12" ht="130.5" x14ac:dyDescent="0.35">
      <c r="A372" s="7">
        <v>1371</v>
      </c>
      <c r="B372" s="6" t="s">
        <v>5</v>
      </c>
      <c r="C372" t="s">
        <v>377</v>
      </c>
      <c r="D372" s="7" t="s">
        <v>949</v>
      </c>
      <c r="E372" s="7" t="s">
        <v>1149</v>
      </c>
      <c r="F372" t="s">
        <v>1521</v>
      </c>
      <c r="G372" s="7" t="s">
        <v>1729</v>
      </c>
      <c r="H372" t="s">
        <v>1739</v>
      </c>
      <c r="I372" t="s">
        <v>1744</v>
      </c>
      <c r="J372" t="s">
        <v>1786</v>
      </c>
      <c r="K372" s="2" t="str">
        <f t="shared" si="11"/>
        <v>1371,'LICENCIATURA','naomidanai.ramirezhidalgo','112167','TOMAR DEL SND','RAMIREZ HIDALGO NAOMI DANAI','ARQUITECTURA','3ro','FEMENINO','ACTIVO','',0,0,'','ALUMNO'</v>
      </c>
      <c r="L372" s="10" t="str">
        <f t="shared" si="10"/>
        <v>INSERT INTO participantes (id,nivel,correo,matricula,clave,nombre,carrera,grado,sexo,situacion,evaluados,num_evaluados,total_evaluaciones,ultimo_acceso,nivel_acceso) VALUES (1371,'LICENCIATURA','naomidanai.ramirezhidalgo','112167','TOMAR DEL SND','RAMIREZ HIDALGO NAOMI DANAI','ARQUITECTURA','3ro','FEMENINO','ACTIVO','',0,0,'','ALUMNO');</v>
      </c>
    </row>
    <row r="373" spans="1:12" ht="130.5" x14ac:dyDescent="0.35">
      <c r="A373" s="7">
        <v>1372</v>
      </c>
      <c r="B373" s="6" t="s">
        <v>5</v>
      </c>
      <c r="C373" t="s">
        <v>378</v>
      </c>
      <c r="D373" s="7" t="s">
        <v>950</v>
      </c>
      <c r="E373" s="7" t="s">
        <v>1149</v>
      </c>
      <c r="F373" t="s">
        <v>1522</v>
      </c>
      <c r="G373" s="7" t="s">
        <v>1729</v>
      </c>
      <c r="H373" t="s">
        <v>1739</v>
      </c>
      <c r="I373" t="s">
        <v>1743</v>
      </c>
      <c r="J373" t="s">
        <v>1786</v>
      </c>
      <c r="K373" s="2" t="str">
        <f t="shared" si="11"/>
        <v>1372,'LICENCIATURA','angelyael.cardenasruiz','112168','TOMAR DEL SND','CARDENAS RUIZ ANGEL YAEL','ARQUITECTURA','3ro','MASCULINO','ACTIVO','',0,0,'','ALUMNO'</v>
      </c>
      <c r="L373" s="10" t="str">
        <f t="shared" si="10"/>
        <v>INSERT INTO participantes (id,nivel,correo,matricula,clave,nombre,carrera,grado,sexo,situacion,evaluados,num_evaluados,total_evaluaciones,ultimo_acceso,nivel_acceso) VALUES (1372,'LICENCIATURA','angelyael.cardenasruiz','112168','TOMAR DEL SND','CARDENAS RUIZ ANGEL YAEL','ARQUITECTURA','3ro','MASCULINO','ACTIVO','',0,0,'','ALUMNO');</v>
      </c>
    </row>
    <row r="374" spans="1:12" ht="130.5" x14ac:dyDescent="0.35">
      <c r="A374" s="7">
        <v>1373</v>
      </c>
      <c r="B374" s="6" t="s">
        <v>5</v>
      </c>
      <c r="C374" t="s">
        <v>379</v>
      </c>
      <c r="D374" s="7" t="s">
        <v>951</v>
      </c>
      <c r="E374" s="7" t="s">
        <v>1149</v>
      </c>
      <c r="F374" t="s">
        <v>1523</v>
      </c>
      <c r="G374" s="7" t="s">
        <v>1729</v>
      </c>
      <c r="H374" t="s">
        <v>1739</v>
      </c>
      <c r="I374" t="s">
        <v>1743</v>
      </c>
      <c r="J374" t="s">
        <v>1786</v>
      </c>
      <c r="K374" s="2" t="str">
        <f t="shared" si="11"/>
        <v>1373,'LICENCIATURA','alvarodaniel.saavedraramirez','112169','TOMAR DEL SND','SAAVEDRA RAMIREZ ALVARO DANIEL','ARQUITECTURA','3ro','MASCULINO','ACTIVO','',0,0,'','ALUMNO'</v>
      </c>
      <c r="L374" s="10" t="str">
        <f t="shared" si="10"/>
        <v>INSERT INTO participantes (id,nivel,correo,matricula,clave,nombre,carrera,grado,sexo,situacion,evaluados,num_evaluados,total_evaluaciones,ultimo_acceso,nivel_acceso) VALUES (1373,'LICENCIATURA','alvarodaniel.saavedraramirez','112169','TOMAR DEL SND','SAAVEDRA RAMIREZ ALVARO DANIEL','ARQUITECTURA','3ro','MASCULINO','ACTIVO','',0,0,'','ALUMNO');</v>
      </c>
    </row>
    <row r="375" spans="1:12" ht="130.5" x14ac:dyDescent="0.35">
      <c r="A375" s="7">
        <v>1374</v>
      </c>
      <c r="B375" s="6" t="s">
        <v>5</v>
      </c>
      <c r="C375" t="s">
        <v>380</v>
      </c>
      <c r="D375" s="7" t="s">
        <v>952</v>
      </c>
      <c r="E375" s="7" t="s">
        <v>1149</v>
      </c>
      <c r="F375" t="s">
        <v>1524</v>
      </c>
      <c r="G375" s="7" t="s">
        <v>1726</v>
      </c>
      <c r="H375" t="s">
        <v>1739</v>
      </c>
      <c r="I375" t="s">
        <v>1743</v>
      </c>
      <c r="J375" t="s">
        <v>1786</v>
      </c>
      <c r="K375" s="2" t="str">
        <f t="shared" si="11"/>
        <v>1374,'LICENCIATURA','luisalberto.silvasotelo','112170','TOMAR DEL SND','SILVA SOTELO LUIS ALBERTO','PSICOLOGIA','3ro','MASCULINO','ACTIVO','',0,0,'','ALUMNO'</v>
      </c>
      <c r="L375" s="10" t="str">
        <f t="shared" si="10"/>
        <v>INSERT INTO participantes (id,nivel,correo,matricula,clave,nombre,carrera,grado,sexo,situacion,evaluados,num_evaluados,total_evaluaciones,ultimo_acceso,nivel_acceso) VALUES (1374,'LICENCIATURA','luisalberto.silvasotelo','112170','TOMAR DEL SND','SILVA SOTELO LUIS ALBERTO','PSICOLOGIA','3ro','MASCULINO','ACTIVO','',0,0,'','ALUMNO');</v>
      </c>
    </row>
    <row r="376" spans="1:12" ht="130.5" x14ac:dyDescent="0.35">
      <c r="A376" s="7">
        <v>1375</v>
      </c>
      <c r="B376" s="6" t="s">
        <v>5</v>
      </c>
      <c r="C376" t="s">
        <v>381</v>
      </c>
      <c r="D376" s="7" t="s">
        <v>953</v>
      </c>
      <c r="E376" s="7" t="s">
        <v>1149</v>
      </c>
      <c r="F376" t="s">
        <v>1525</v>
      </c>
      <c r="G376" s="7" t="s">
        <v>1726</v>
      </c>
      <c r="H376" t="s">
        <v>1739</v>
      </c>
      <c r="I376" t="s">
        <v>1744</v>
      </c>
      <c r="J376" t="s">
        <v>1786</v>
      </c>
      <c r="K376" s="2" t="str">
        <f t="shared" si="11"/>
        <v>1375,'LICENCIATURA','regina.marronperez','112171','TOMAR DEL SND','MARRON PEREZ REGINA','PSICOLOGIA','3ro','FEMENINO','ACTIVO','',0,0,'','ALUMNO'</v>
      </c>
      <c r="L376" s="10" t="str">
        <f t="shared" si="10"/>
        <v>INSERT INTO participantes (id,nivel,correo,matricula,clave,nombre,carrera,grado,sexo,situacion,evaluados,num_evaluados,total_evaluaciones,ultimo_acceso,nivel_acceso) VALUES (1375,'LICENCIATURA','regina.marronperez','112171','TOMAR DEL SND','MARRON PEREZ REGINA','PSICOLOGIA','3ro','FEMENINO','ACTIVO','',0,0,'','ALUMNO');</v>
      </c>
    </row>
    <row r="377" spans="1:12" ht="130.5" x14ac:dyDescent="0.35">
      <c r="A377" s="7">
        <v>1376</v>
      </c>
      <c r="B377" s="6" t="s">
        <v>5</v>
      </c>
      <c r="C377" t="s">
        <v>382</v>
      </c>
      <c r="D377" s="7" t="s">
        <v>954</v>
      </c>
      <c r="E377" s="7" t="s">
        <v>1149</v>
      </c>
      <c r="F377" t="s">
        <v>1526</v>
      </c>
      <c r="G377" s="7" t="s">
        <v>1726</v>
      </c>
      <c r="H377" t="s">
        <v>1739</v>
      </c>
      <c r="I377" t="s">
        <v>1744</v>
      </c>
      <c r="J377" t="s">
        <v>1786</v>
      </c>
      <c r="K377" s="2" t="str">
        <f t="shared" si="11"/>
        <v>1376,'LICENCIATURA','karolguadalupe.sandovalvega','112172','TOMAR DEL SND','SANDOVAL VEGA KAROL GUADALUPE','PSICOLOGIA','3ro','FEMENINO','ACTIVO','',0,0,'','ALUMNO'</v>
      </c>
      <c r="L377" s="10" t="str">
        <f t="shared" si="10"/>
        <v>INSERT INTO participantes (id,nivel,correo,matricula,clave,nombre,carrera,grado,sexo,situacion,evaluados,num_evaluados,total_evaluaciones,ultimo_acceso,nivel_acceso) VALUES (1376,'LICENCIATURA','karolguadalupe.sandovalvega','112172','TOMAR DEL SND','SANDOVAL VEGA KAROL GUADALUPE','PSICOLOGIA','3ro','FEMENINO','ACTIVO','',0,0,'','ALUMNO');</v>
      </c>
    </row>
    <row r="378" spans="1:12" ht="130.5" x14ac:dyDescent="0.35">
      <c r="A378" s="7">
        <v>1377</v>
      </c>
      <c r="B378" s="6" t="s">
        <v>5</v>
      </c>
      <c r="C378" t="s">
        <v>383</v>
      </c>
      <c r="D378" s="7" t="s">
        <v>955</v>
      </c>
      <c r="E378" s="7" t="s">
        <v>1149</v>
      </c>
      <c r="F378" t="s">
        <v>1527</v>
      </c>
      <c r="G378" s="7" t="s">
        <v>1726</v>
      </c>
      <c r="H378" t="s">
        <v>1739</v>
      </c>
      <c r="I378" t="s">
        <v>1744</v>
      </c>
      <c r="J378" t="s">
        <v>1786</v>
      </c>
      <c r="K378" s="2" t="str">
        <f t="shared" si="11"/>
        <v>1377,'LICENCIATURA','andrea.perezortiz','112173','TOMAR DEL SND','PEREZ ORTIZ ANDREA','PSICOLOGIA','3ro','FEMENINO','ACTIVO','',0,0,'','ALUMNO'</v>
      </c>
      <c r="L378" s="10" t="str">
        <f t="shared" si="10"/>
        <v>INSERT INTO participantes (id,nivel,correo,matricula,clave,nombre,carrera,grado,sexo,situacion,evaluados,num_evaluados,total_evaluaciones,ultimo_acceso,nivel_acceso) VALUES (1377,'LICENCIATURA','andrea.perezortiz','112173','TOMAR DEL SND','PEREZ ORTIZ ANDREA','PSICOLOGIA','3ro','FEMENINO','ACTIVO','',0,0,'','ALUMNO');</v>
      </c>
    </row>
    <row r="379" spans="1:12" ht="130.5" x14ac:dyDescent="0.35">
      <c r="A379" s="7">
        <v>1378</v>
      </c>
      <c r="B379" s="6" t="s">
        <v>5</v>
      </c>
      <c r="C379" t="s">
        <v>384</v>
      </c>
      <c r="D379" s="7" t="s">
        <v>956</v>
      </c>
      <c r="E379" s="7" t="s">
        <v>1149</v>
      </c>
      <c r="F379" t="s">
        <v>1528</v>
      </c>
      <c r="G379" s="7" t="s">
        <v>1731</v>
      </c>
      <c r="H379" t="s">
        <v>1739</v>
      </c>
      <c r="I379" t="s">
        <v>1743</v>
      </c>
      <c r="J379" t="s">
        <v>1786</v>
      </c>
      <c r="K379" s="2" t="str">
        <f t="shared" si="11"/>
        <v>1378,'LICENCIATURA','marianoadonai.marquezdelgadillo','112174','TOMAR DEL SND','MARQUEZ DELGADILLO MARIANO ADONAI','INGENIERÍA AUTOMOTRIZ','3ro','MASCULINO','ACTIVO','',0,0,'','ALUMNO'</v>
      </c>
      <c r="L379" s="10" t="str">
        <f t="shared" si="10"/>
        <v>INSERT INTO participantes (id,nivel,correo,matricula,clave,nombre,carrera,grado,sexo,situacion,evaluados,num_evaluados,total_evaluaciones,ultimo_acceso,nivel_acceso) VALUES (1378,'LICENCIATURA','marianoadonai.marquezdelgadillo','112174','TOMAR DEL SND','MARQUEZ DELGADILLO MARIANO ADONAI','INGENIERÍA AUTOMOTRIZ','3ro','MASCULINO','ACTIVO','',0,0,'','ALUMNO');</v>
      </c>
    </row>
    <row r="380" spans="1:12" ht="130.5" x14ac:dyDescent="0.35">
      <c r="A380" s="7">
        <v>1379</v>
      </c>
      <c r="B380" s="6" t="s">
        <v>5</v>
      </c>
      <c r="C380" t="s">
        <v>385</v>
      </c>
      <c r="D380" s="7" t="s">
        <v>957</v>
      </c>
      <c r="E380" s="7" t="s">
        <v>1149</v>
      </c>
      <c r="F380" t="s">
        <v>1529</v>
      </c>
      <c r="G380" s="7" t="s">
        <v>1731</v>
      </c>
      <c r="H380" t="s">
        <v>1739</v>
      </c>
      <c r="I380" t="s">
        <v>1743</v>
      </c>
      <c r="J380" t="s">
        <v>1786</v>
      </c>
      <c r="K380" s="2" t="str">
        <f t="shared" si="11"/>
        <v>1379,'LICENCIATURA','angeldaniel.gutierrezdelacruz','112175','TOMAR DEL SND','GUTIERREZ DE LA CRUZ ANGEL DANIEL','INGENIERÍA AUTOMOTRIZ','3ro','MASCULINO','ACTIVO','',0,0,'','ALUMNO'</v>
      </c>
      <c r="L380" s="10" t="str">
        <f t="shared" si="10"/>
        <v>INSERT INTO participantes (id,nivel,correo,matricula,clave,nombre,carrera,grado,sexo,situacion,evaluados,num_evaluados,total_evaluaciones,ultimo_acceso,nivel_acceso) VALUES (1379,'LICENCIATURA','angeldaniel.gutierrezdelacruz','112175','TOMAR DEL SND','GUTIERREZ DE LA CRUZ ANGEL DANIEL','INGENIERÍA AUTOMOTRIZ','3ro','MASCULINO','ACTIVO','',0,0,'','ALUMNO');</v>
      </c>
    </row>
    <row r="381" spans="1:12" ht="130.5" x14ac:dyDescent="0.35">
      <c r="A381" s="7">
        <v>1380</v>
      </c>
      <c r="B381" s="6" t="s">
        <v>5</v>
      </c>
      <c r="C381" t="s">
        <v>386</v>
      </c>
      <c r="D381" s="7" t="s">
        <v>958</v>
      </c>
      <c r="E381" s="7" t="s">
        <v>1149</v>
      </c>
      <c r="F381" t="s">
        <v>1530</v>
      </c>
      <c r="G381" s="7" t="s">
        <v>1725</v>
      </c>
      <c r="H381" t="s">
        <v>1739</v>
      </c>
      <c r="I381" t="s">
        <v>1743</v>
      </c>
      <c r="J381" t="s">
        <v>1786</v>
      </c>
      <c r="K381" s="2" t="str">
        <f t="shared" si="11"/>
        <v>1380,'LICENCIATURA','rodrigo.romoguadarrama','112176','TOMAR DEL SND','ROMO GUADARRAMA RODRIGO','INGENIERIA AEROESPACIAL','3ro','MASCULINO','ACTIVO','',0,0,'','ALUMNO'</v>
      </c>
      <c r="L381" s="10" t="str">
        <f t="shared" si="10"/>
        <v>INSERT INTO participantes (id,nivel,correo,matricula,clave,nombre,carrera,grado,sexo,situacion,evaluados,num_evaluados,total_evaluaciones,ultimo_acceso,nivel_acceso) VALUES (1380,'LICENCIATURA','rodrigo.romoguadarrama','112176','TOMAR DEL SND','ROMO GUADARRAMA RODRIGO','INGENIERIA AEROESPACIAL','3ro','MASCULINO','ACTIVO','',0,0,'','ALUMNO');</v>
      </c>
    </row>
    <row r="382" spans="1:12" ht="130.5" x14ac:dyDescent="0.35">
      <c r="A382" s="7">
        <v>1381</v>
      </c>
      <c r="B382" s="6" t="s">
        <v>5</v>
      </c>
      <c r="C382" t="s">
        <v>387</v>
      </c>
      <c r="D382" s="7" t="s">
        <v>959</v>
      </c>
      <c r="E382" s="7" t="s">
        <v>1149</v>
      </c>
      <c r="F382" t="s">
        <v>1531</v>
      </c>
      <c r="G382" s="7" t="s">
        <v>1725</v>
      </c>
      <c r="H382" t="s">
        <v>1739</v>
      </c>
      <c r="I382" t="s">
        <v>1743</v>
      </c>
      <c r="J382" t="s">
        <v>1786</v>
      </c>
      <c r="K382" s="2" t="str">
        <f t="shared" si="11"/>
        <v>1381,'LICENCIATURA','arturoalexei.serranoguevara','112177','TOMAR DEL SND','SERRANO GUEVARA ARTURO ALEXEI','INGENIERIA AEROESPACIAL','3ro','MASCULINO','ACTIVO','',0,0,'','ALUMNO'</v>
      </c>
      <c r="L382" s="10" t="str">
        <f t="shared" si="10"/>
        <v>INSERT INTO participantes (id,nivel,correo,matricula,clave,nombre,carrera,grado,sexo,situacion,evaluados,num_evaluados,total_evaluaciones,ultimo_acceso,nivel_acceso) VALUES (1381,'LICENCIATURA','arturoalexei.serranoguevara','112177','TOMAR DEL SND','SERRANO GUEVARA ARTURO ALEXEI','INGENIERIA AEROESPACIAL','3ro','MASCULINO','ACTIVO','',0,0,'','ALUMNO');</v>
      </c>
    </row>
    <row r="383" spans="1:12" ht="130.5" x14ac:dyDescent="0.35">
      <c r="A383" s="7">
        <v>1382</v>
      </c>
      <c r="B383" s="6" t="s">
        <v>5</v>
      </c>
      <c r="C383" t="s">
        <v>388</v>
      </c>
      <c r="D383" s="7" t="s">
        <v>960</v>
      </c>
      <c r="E383" s="7" t="s">
        <v>1149</v>
      </c>
      <c r="F383" t="s">
        <v>1532</v>
      </c>
      <c r="G383" s="7" t="s">
        <v>1725</v>
      </c>
      <c r="H383" t="s">
        <v>1739</v>
      </c>
      <c r="I383" t="s">
        <v>1744</v>
      </c>
      <c r="J383" t="s">
        <v>1786</v>
      </c>
      <c r="K383" s="2" t="str">
        <f t="shared" si="11"/>
        <v>1382,'LICENCIATURA','manuelamaria.rojassanchez','112178','TOMAR DEL SND','ROJAS SANCHEZ MANUELA MARIA','INGENIERIA AEROESPACIAL','3ro','FEMENINO','ACTIVO','',0,0,'','ALUMNO'</v>
      </c>
      <c r="L383" s="10" t="str">
        <f t="shared" si="10"/>
        <v>INSERT INTO participantes (id,nivel,correo,matricula,clave,nombre,carrera,grado,sexo,situacion,evaluados,num_evaluados,total_evaluaciones,ultimo_acceso,nivel_acceso) VALUES (1382,'LICENCIATURA','manuelamaria.rojassanchez','112178','TOMAR DEL SND','ROJAS SANCHEZ MANUELA MARIA','INGENIERIA AEROESPACIAL','3ro','FEMENINO','ACTIVO','',0,0,'','ALUMNO');</v>
      </c>
    </row>
    <row r="384" spans="1:12" ht="130.5" x14ac:dyDescent="0.35">
      <c r="A384" s="7">
        <v>1383</v>
      </c>
      <c r="B384" s="6" t="s">
        <v>5</v>
      </c>
      <c r="C384" t="s">
        <v>389</v>
      </c>
      <c r="D384" s="7" t="s">
        <v>961</v>
      </c>
      <c r="E384" s="7" t="s">
        <v>1149</v>
      </c>
      <c r="F384" t="s">
        <v>1533</v>
      </c>
      <c r="G384" s="7" t="s">
        <v>1725</v>
      </c>
      <c r="H384" t="s">
        <v>1739</v>
      </c>
      <c r="I384" t="s">
        <v>1743</v>
      </c>
      <c r="J384" t="s">
        <v>1786</v>
      </c>
      <c r="K384" s="2" t="str">
        <f t="shared" si="11"/>
        <v>1383,'LICENCIATURA','emilianosantiago.entzintapia','112179','TOMAR DEL SND','ENTZIN TAPIA EMILIANO SANTIAGO','INGENIERIA AEROESPACIAL','3ro','MASCULINO','ACTIVO','',0,0,'','ALUMNO'</v>
      </c>
      <c r="L384" s="10" t="str">
        <f t="shared" si="10"/>
        <v>INSERT INTO participantes (id,nivel,correo,matricula,clave,nombre,carrera,grado,sexo,situacion,evaluados,num_evaluados,total_evaluaciones,ultimo_acceso,nivel_acceso) VALUES (1383,'LICENCIATURA','emilianosantiago.entzintapia','112179','TOMAR DEL SND','ENTZIN TAPIA EMILIANO SANTIAGO','INGENIERIA AEROESPACIAL','3ro','MASCULINO','ACTIVO','',0,0,'','ALUMNO');</v>
      </c>
    </row>
    <row r="385" spans="1:12" ht="130.5" x14ac:dyDescent="0.35">
      <c r="A385" s="7">
        <v>1384</v>
      </c>
      <c r="B385" s="6" t="s">
        <v>5</v>
      </c>
      <c r="C385" t="s">
        <v>390</v>
      </c>
      <c r="D385" s="7" t="s">
        <v>962</v>
      </c>
      <c r="E385" s="7" t="s">
        <v>1149</v>
      </c>
      <c r="F385" t="s">
        <v>1534</v>
      </c>
      <c r="G385" s="7" t="s">
        <v>1725</v>
      </c>
      <c r="H385" t="s">
        <v>1739</v>
      </c>
      <c r="I385" t="s">
        <v>1744</v>
      </c>
      <c r="J385" t="s">
        <v>1786</v>
      </c>
      <c r="K385" s="2" t="str">
        <f t="shared" si="11"/>
        <v>1384,'LICENCIATURA','mariafernanda.rodriguezduran','112180','TOMAR DEL SND','RODRIGUEZ DURAN MARIA FERNANDA','INGENIERIA AEROESPACIAL','3ro','FEMENINO','ACTIVO','',0,0,'','ALUMNO'</v>
      </c>
      <c r="L385" s="10" t="str">
        <f t="shared" si="10"/>
        <v>INSERT INTO participantes (id,nivel,correo,matricula,clave,nombre,carrera,grado,sexo,situacion,evaluados,num_evaluados,total_evaluaciones,ultimo_acceso,nivel_acceso) VALUES (1384,'LICENCIATURA','mariafernanda.rodriguezduran','112180','TOMAR DEL SND','RODRIGUEZ DURAN MARIA FERNANDA','INGENIERIA AEROESPACIAL','3ro','FEMENINO','ACTIVO','',0,0,'','ALUMNO');</v>
      </c>
    </row>
    <row r="386" spans="1:12" ht="130.5" x14ac:dyDescent="0.35">
      <c r="A386" s="7">
        <v>1385</v>
      </c>
      <c r="B386" s="6" t="s">
        <v>5</v>
      </c>
      <c r="C386" t="s">
        <v>391</v>
      </c>
      <c r="D386" s="7" t="s">
        <v>963</v>
      </c>
      <c r="E386" s="7" t="s">
        <v>1149</v>
      </c>
      <c r="F386" t="s">
        <v>1535</v>
      </c>
      <c r="G386" s="7" t="s">
        <v>1725</v>
      </c>
      <c r="H386" t="s">
        <v>1739</v>
      </c>
      <c r="I386" t="s">
        <v>1743</v>
      </c>
      <c r="J386" t="s">
        <v>1786</v>
      </c>
      <c r="K386" s="2" t="str">
        <f t="shared" si="11"/>
        <v>1385,'LICENCIATURA','ricardoalexander.garciarodriguez','112181','TOMAR DEL SND','GARCIA RODRIGUEZ RICARDO ALEXANDER','INGENIERIA AEROESPACIAL','3ro','MASCULINO','ACTIVO','',0,0,'','ALUMNO'</v>
      </c>
      <c r="L386" s="10" t="str">
        <f t="shared" ref="L386:L449" si="12">CONCATENATE($K$1,K386,");")</f>
        <v>INSERT INTO participantes (id,nivel,correo,matricula,clave,nombre,carrera,grado,sexo,situacion,evaluados,num_evaluados,total_evaluaciones,ultimo_acceso,nivel_acceso) VALUES (1385,'LICENCIATURA','ricardoalexander.garciarodriguez','112181','TOMAR DEL SND','GARCIA RODRIGUEZ RICARDO ALEXANDER','INGENIERIA AEROESPACIAL','3ro','MASCULINO','ACTIVO','',0,0,'','ALUMNO');</v>
      </c>
    </row>
    <row r="387" spans="1:12" ht="130.5" x14ac:dyDescent="0.35">
      <c r="A387" s="7">
        <v>1386</v>
      </c>
      <c r="B387" s="6" t="s">
        <v>5</v>
      </c>
      <c r="C387" t="s">
        <v>392</v>
      </c>
      <c r="D387" s="7" t="s">
        <v>964</v>
      </c>
      <c r="E387" s="7" t="s">
        <v>1149</v>
      </c>
      <c r="F387" t="s">
        <v>1536</v>
      </c>
      <c r="G387" s="7" t="s">
        <v>1727</v>
      </c>
      <c r="H387" t="s">
        <v>1739</v>
      </c>
      <c r="I387" t="s">
        <v>1743</v>
      </c>
      <c r="J387" t="s">
        <v>1786</v>
      </c>
      <c r="K387" s="2" t="str">
        <f t="shared" ref="K387:K450" si="13">CONCATENATE(A387,",'",B387,"','",C387,"','",D387,"','",E387,"','",F387,"','",G387,"','",H387,"','",UPPER(I387),"','",UPPER(J387),"','',0,0,'','ALUMNO'")</f>
        <v>1386,'LICENCIATURA','alejandro.cejacorrales','112182','TOMAR DEL SND','CEJA CORRALES ALEJANDRO','ADMINISTRACION Y DIRECCION DE NEGOCIOS','3ro','MASCULINO','ACTIVO','',0,0,'','ALUMNO'</v>
      </c>
      <c r="L387" s="10" t="str">
        <f t="shared" si="12"/>
        <v>INSERT INTO participantes (id,nivel,correo,matricula,clave,nombre,carrera,grado,sexo,situacion,evaluados,num_evaluados,total_evaluaciones,ultimo_acceso,nivel_acceso) VALUES (1386,'LICENCIATURA','alejandro.cejacorrales','112182','TOMAR DEL SND','CEJA CORRALES ALEJANDRO','ADMINISTRACION Y DIRECCION DE NEGOCIOS','3ro','MASCULINO','ACTIVO','',0,0,'','ALUMNO');</v>
      </c>
    </row>
    <row r="388" spans="1:12" ht="130.5" x14ac:dyDescent="0.35">
      <c r="A388" s="7">
        <v>1387</v>
      </c>
      <c r="B388" s="6" t="s">
        <v>5</v>
      </c>
      <c r="C388" t="s">
        <v>393</v>
      </c>
      <c r="D388" s="7" t="s">
        <v>965</v>
      </c>
      <c r="E388" s="7" t="s">
        <v>1149</v>
      </c>
      <c r="F388" t="s">
        <v>1537</v>
      </c>
      <c r="G388" s="7" t="s">
        <v>1725</v>
      </c>
      <c r="H388" t="s">
        <v>1739</v>
      </c>
      <c r="I388" t="s">
        <v>1743</v>
      </c>
      <c r="J388" t="s">
        <v>1786</v>
      </c>
      <c r="K388" s="2" t="str">
        <f t="shared" si="13"/>
        <v>1387,'LICENCIATURA','jorgeeduardo.castrosolis','112183','TOMAR DEL SND','CASTRO SOLIS JORGE EDUARDO','INGENIERIA AEROESPACIAL','3ro','MASCULINO','ACTIVO','',0,0,'','ALUMNO'</v>
      </c>
      <c r="L388" s="10" t="str">
        <f t="shared" si="12"/>
        <v>INSERT INTO participantes (id,nivel,correo,matricula,clave,nombre,carrera,grado,sexo,situacion,evaluados,num_evaluados,total_evaluaciones,ultimo_acceso,nivel_acceso) VALUES (1387,'LICENCIATURA','jorgeeduardo.castrosolis','112183','TOMAR DEL SND','CASTRO SOLIS JORGE EDUARDO','INGENIERIA AEROESPACIAL','3ro','MASCULINO','ACTIVO','',0,0,'','ALUMNO');</v>
      </c>
    </row>
    <row r="389" spans="1:12" ht="130.5" x14ac:dyDescent="0.35">
      <c r="A389" s="7">
        <v>1388</v>
      </c>
      <c r="B389" s="6" t="s">
        <v>5</v>
      </c>
      <c r="C389" t="s">
        <v>394</v>
      </c>
      <c r="D389" s="7" t="s">
        <v>966</v>
      </c>
      <c r="E389" s="7" t="s">
        <v>1149</v>
      </c>
      <c r="F389" t="s">
        <v>1538</v>
      </c>
      <c r="G389" s="7" t="s">
        <v>1725</v>
      </c>
      <c r="H389" t="s">
        <v>1739</v>
      </c>
      <c r="I389" t="s">
        <v>1743</v>
      </c>
      <c r="J389" t="s">
        <v>1786</v>
      </c>
      <c r="K389" s="2" t="str">
        <f t="shared" si="13"/>
        <v>1388,'LICENCIATURA','oscarandres.guzmanvazquez','112184','TOMAR DEL SND','GUZMAN VAZQUEZ OSCAR ANDRES','INGENIERIA AEROESPACIAL','3ro','MASCULINO','ACTIVO','',0,0,'','ALUMNO'</v>
      </c>
      <c r="L389" s="10" t="str">
        <f t="shared" si="12"/>
        <v>INSERT INTO participantes (id,nivel,correo,matricula,clave,nombre,carrera,grado,sexo,situacion,evaluados,num_evaluados,total_evaluaciones,ultimo_acceso,nivel_acceso) VALUES (1388,'LICENCIATURA','oscarandres.guzmanvazquez','112184','TOMAR DEL SND','GUZMAN VAZQUEZ OSCAR ANDRES','INGENIERIA AEROESPACIAL','3ro','MASCULINO','ACTIVO','',0,0,'','ALUMNO');</v>
      </c>
    </row>
    <row r="390" spans="1:12" ht="130.5" x14ac:dyDescent="0.35">
      <c r="A390" s="7">
        <v>1389</v>
      </c>
      <c r="B390" s="6" t="s">
        <v>5</v>
      </c>
      <c r="C390" t="s">
        <v>395</v>
      </c>
      <c r="D390" s="7" t="s">
        <v>967</v>
      </c>
      <c r="E390" s="7" t="s">
        <v>1149</v>
      </c>
      <c r="F390" t="s">
        <v>1539</v>
      </c>
      <c r="G390" s="7" t="s">
        <v>1725</v>
      </c>
      <c r="H390" t="s">
        <v>1739</v>
      </c>
      <c r="I390" t="s">
        <v>1743</v>
      </c>
      <c r="J390" t="s">
        <v>1786</v>
      </c>
      <c r="K390" s="2" t="str">
        <f t="shared" si="13"/>
        <v>1389,'LICENCIATURA','duilioalfonso.morgangallardo','112185','TOMAR DEL SND','MORGAN GALLARDO DUILIO ALFONSO','INGENIERIA AEROESPACIAL','3ro','MASCULINO','ACTIVO','',0,0,'','ALUMNO'</v>
      </c>
      <c r="L390" s="10" t="str">
        <f t="shared" si="12"/>
        <v>INSERT INTO participantes (id,nivel,correo,matricula,clave,nombre,carrera,grado,sexo,situacion,evaluados,num_evaluados,total_evaluaciones,ultimo_acceso,nivel_acceso) VALUES (1389,'LICENCIATURA','duilioalfonso.morgangallardo','112185','TOMAR DEL SND','MORGAN GALLARDO DUILIO ALFONSO','INGENIERIA AEROESPACIAL','3ro','MASCULINO','ACTIVO','',0,0,'','ALUMNO');</v>
      </c>
    </row>
    <row r="391" spans="1:12" ht="130.5" x14ac:dyDescent="0.35">
      <c r="A391" s="7">
        <v>1390</v>
      </c>
      <c r="B391" s="6" t="s">
        <v>5</v>
      </c>
      <c r="C391" t="s">
        <v>396</v>
      </c>
      <c r="D391" s="7" t="s">
        <v>968</v>
      </c>
      <c r="E391" s="7" t="s">
        <v>1149</v>
      </c>
      <c r="F391" t="s">
        <v>1540</v>
      </c>
      <c r="G391" s="7" t="s">
        <v>1724</v>
      </c>
      <c r="H391" t="s">
        <v>1739</v>
      </c>
      <c r="I391" t="s">
        <v>1743</v>
      </c>
      <c r="J391" t="s">
        <v>1786</v>
      </c>
      <c r="K391" s="2" t="str">
        <f t="shared" si="13"/>
        <v>1390,'LICENCIATURA','gabrielfrancisco.mendozagomez','112186','TOMAR DEL SND','MENDOZA GOMEZ GABRIEL FRANCISCO','NUTRICION Y GASTRONOMIA','3ro','MASCULINO','ACTIVO','',0,0,'','ALUMNO'</v>
      </c>
      <c r="L391" s="10" t="str">
        <f t="shared" si="12"/>
        <v>INSERT INTO participantes (id,nivel,correo,matricula,clave,nombre,carrera,grado,sexo,situacion,evaluados,num_evaluados,total_evaluaciones,ultimo_acceso,nivel_acceso) VALUES (1390,'LICENCIATURA','gabrielfrancisco.mendozagomez','112186','TOMAR DEL SND','MENDOZA GOMEZ GABRIEL FRANCISCO','NUTRICION Y GASTRONOMIA','3ro','MASCULINO','ACTIVO','',0,0,'','ALUMNO');</v>
      </c>
    </row>
    <row r="392" spans="1:12" ht="130.5" x14ac:dyDescent="0.35">
      <c r="A392" s="7">
        <v>1391</v>
      </c>
      <c r="B392" s="6" t="s">
        <v>5</v>
      </c>
      <c r="C392" t="s">
        <v>397</v>
      </c>
      <c r="D392" s="7" t="s">
        <v>969</v>
      </c>
      <c r="E392" s="7" t="s">
        <v>1149</v>
      </c>
      <c r="F392" t="s">
        <v>1541</v>
      </c>
      <c r="G392" s="7" t="s">
        <v>1725</v>
      </c>
      <c r="H392" t="s">
        <v>1739</v>
      </c>
      <c r="I392" t="s">
        <v>1743</v>
      </c>
      <c r="J392" t="s">
        <v>1786</v>
      </c>
      <c r="K392" s="2" t="str">
        <f t="shared" si="13"/>
        <v>1391,'LICENCIATURA','salvadorceo.garciaduran','112187','TOMAR DEL SND','GARCIA DURAN SALVADOR CEO','INGENIERIA AEROESPACIAL','3ro','MASCULINO','ACTIVO','',0,0,'','ALUMNO'</v>
      </c>
      <c r="L392" s="10" t="str">
        <f t="shared" si="12"/>
        <v>INSERT INTO participantes (id,nivel,correo,matricula,clave,nombre,carrera,grado,sexo,situacion,evaluados,num_evaluados,total_evaluaciones,ultimo_acceso,nivel_acceso) VALUES (1391,'LICENCIATURA','salvadorceo.garciaduran','112187','TOMAR DEL SND','GARCIA DURAN SALVADOR CEO','INGENIERIA AEROESPACIAL','3ro','MASCULINO','ACTIVO','',0,0,'','ALUMNO');</v>
      </c>
    </row>
    <row r="393" spans="1:12" ht="130.5" x14ac:dyDescent="0.35">
      <c r="A393" s="7">
        <v>1392</v>
      </c>
      <c r="B393" s="6" t="s">
        <v>5</v>
      </c>
      <c r="C393" t="s">
        <v>398</v>
      </c>
      <c r="D393" s="7" t="s">
        <v>970</v>
      </c>
      <c r="E393" s="7" t="s">
        <v>1149</v>
      </c>
      <c r="F393" t="s">
        <v>1542</v>
      </c>
      <c r="G393" s="7" t="s">
        <v>1725</v>
      </c>
      <c r="H393" t="s">
        <v>1739</v>
      </c>
      <c r="I393" t="s">
        <v>1743</v>
      </c>
      <c r="J393" t="s">
        <v>1786</v>
      </c>
      <c r="K393" s="2" t="str">
        <f t="shared" si="13"/>
        <v>1392,'LICENCIATURA','robertoantonio.gonzalezmiranda','112188','TOMAR DEL SND','GONZALEZ MIRANDA ROBERTO ANTONIO','INGENIERIA AEROESPACIAL','3ro','MASCULINO','ACTIVO','',0,0,'','ALUMNO'</v>
      </c>
      <c r="L393" s="10" t="str">
        <f t="shared" si="12"/>
        <v>INSERT INTO participantes (id,nivel,correo,matricula,clave,nombre,carrera,grado,sexo,situacion,evaluados,num_evaluados,total_evaluaciones,ultimo_acceso,nivel_acceso) VALUES (1392,'LICENCIATURA','robertoantonio.gonzalezmiranda','112188','TOMAR DEL SND','GONZALEZ MIRANDA ROBERTO ANTONIO','INGENIERIA AEROESPACIAL','3ro','MASCULINO','ACTIVO','',0,0,'','ALUMNO');</v>
      </c>
    </row>
    <row r="394" spans="1:12" ht="130.5" x14ac:dyDescent="0.35">
      <c r="A394" s="7">
        <v>1393</v>
      </c>
      <c r="B394" s="6" t="s">
        <v>5</v>
      </c>
      <c r="C394" t="s">
        <v>399</v>
      </c>
      <c r="D394" s="7" t="s">
        <v>971</v>
      </c>
      <c r="E394" s="7" t="s">
        <v>1149</v>
      </c>
      <c r="F394" t="s">
        <v>1543</v>
      </c>
      <c r="G394" s="7" t="s">
        <v>1731</v>
      </c>
      <c r="H394" t="s">
        <v>1739</v>
      </c>
      <c r="I394" t="s">
        <v>1743</v>
      </c>
      <c r="J394" t="s">
        <v>1786</v>
      </c>
      <c r="K394" s="2" t="str">
        <f t="shared" si="13"/>
        <v>1393,'LICENCIATURA','javieralejandro.coronahernandez','112189','TOMAR DEL SND','CORONA HERNANDEZ JAVIER ALEJANDRO','INGENIERÍA AUTOMOTRIZ','3ro','MASCULINO','ACTIVO','',0,0,'','ALUMNO'</v>
      </c>
      <c r="L394" s="10" t="str">
        <f t="shared" si="12"/>
        <v>INSERT INTO participantes (id,nivel,correo,matricula,clave,nombre,carrera,grado,sexo,situacion,evaluados,num_evaluados,total_evaluaciones,ultimo_acceso,nivel_acceso) VALUES (1393,'LICENCIATURA','javieralejandro.coronahernandez','112189','TOMAR DEL SND','CORONA HERNANDEZ JAVIER ALEJANDRO','INGENIERÍA AUTOMOTRIZ','3ro','MASCULINO','ACTIVO','',0,0,'','ALUMNO');</v>
      </c>
    </row>
    <row r="395" spans="1:12" ht="130.5" x14ac:dyDescent="0.35">
      <c r="A395" s="7">
        <v>1394</v>
      </c>
      <c r="B395" s="6" t="s">
        <v>5</v>
      </c>
      <c r="C395" t="s">
        <v>400</v>
      </c>
      <c r="D395" s="7" t="s">
        <v>972</v>
      </c>
      <c r="E395" s="7" t="s">
        <v>1149</v>
      </c>
      <c r="F395" t="s">
        <v>1544</v>
      </c>
      <c r="G395" s="7" t="s">
        <v>1731</v>
      </c>
      <c r="H395" t="s">
        <v>1739</v>
      </c>
      <c r="I395" t="s">
        <v>1744</v>
      </c>
      <c r="J395" t="s">
        <v>1786</v>
      </c>
      <c r="K395" s="2" t="str">
        <f t="shared" si="13"/>
        <v>1394,'LICENCIATURA','natalia.silvalugo','112190','TOMAR DEL SND','SILVA LUGO NATALIA','INGENIERÍA AUTOMOTRIZ','3ro','FEMENINO','ACTIVO','',0,0,'','ALUMNO'</v>
      </c>
      <c r="L395" s="10" t="str">
        <f t="shared" si="12"/>
        <v>INSERT INTO participantes (id,nivel,correo,matricula,clave,nombre,carrera,grado,sexo,situacion,evaluados,num_evaluados,total_evaluaciones,ultimo_acceso,nivel_acceso) VALUES (1394,'LICENCIATURA','natalia.silvalugo','112190','TOMAR DEL SND','SILVA LUGO NATALIA','INGENIERÍA AUTOMOTRIZ','3ro','FEMENINO','ACTIVO','',0,0,'','ALUMNO');</v>
      </c>
    </row>
    <row r="396" spans="1:12" ht="130.5" x14ac:dyDescent="0.35">
      <c r="A396" s="7">
        <v>1395</v>
      </c>
      <c r="B396" s="6" t="s">
        <v>5</v>
      </c>
      <c r="C396" t="s">
        <v>401</v>
      </c>
      <c r="D396" s="7" t="s">
        <v>973</v>
      </c>
      <c r="E396" s="7" t="s">
        <v>1149</v>
      </c>
      <c r="F396" t="s">
        <v>1545</v>
      </c>
      <c r="G396" s="7" t="s">
        <v>1731</v>
      </c>
      <c r="H396" t="s">
        <v>1739</v>
      </c>
      <c r="I396" t="s">
        <v>1743</v>
      </c>
      <c r="J396" t="s">
        <v>1786</v>
      </c>
      <c r="K396" s="2" t="str">
        <f t="shared" si="13"/>
        <v>1395,'LICENCIATURA','angelleonel.riveranuñez','112191','TOMAR DEL SND','RIVERA NUÑEZ ANGEL LEONEL','INGENIERÍA AUTOMOTRIZ','3ro','MASCULINO','ACTIVO','',0,0,'','ALUMNO'</v>
      </c>
      <c r="L396" s="10" t="str">
        <f t="shared" si="12"/>
        <v>INSERT INTO participantes (id,nivel,correo,matricula,clave,nombre,carrera,grado,sexo,situacion,evaluados,num_evaluados,total_evaluaciones,ultimo_acceso,nivel_acceso) VALUES (1395,'LICENCIATURA','angelleonel.riveranuñez','112191','TOMAR DEL SND','RIVERA NUÑEZ ANGEL LEONEL','INGENIERÍA AUTOMOTRIZ','3ro','MASCULINO','ACTIVO','',0,0,'','ALUMNO');</v>
      </c>
    </row>
    <row r="397" spans="1:12" ht="130.5" x14ac:dyDescent="0.35">
      <c r="A397" s="7">
        <v>1396</v>
      </c>
      <c r="B397" s="6" t="s">
        <v>5</v>
      </c>
      <c r="C397" t="s">
        <v>402</v>
      </c>
      <c r="D397" s="7" t="s">
        <v>974</v>
      </c>
      <c r="E397" s="7" t="s">
        <v>1149</v>
      </c>
      <c r="F397" t="s">
        <v>1546</v>
      </c>
      <c r="G397" s="7" t="s">
        <v>1731</v>
      </c>
      <c r="H397" t="s">
        <v>1739</v>
      </c>
      <c r="I397" t="s">
        <v>1743</v>
      </c>
      <c r="J397" t="s">
        <v>1786</v>
      </c>
      <c r="K397" s="2" t="str">
        <f t="shared" si="13"/>
        <v>1396,'LICENCIATURA','sebastianalonso.palafoxfigueroa','112192','TOMAR DEL SND','PALAFOX FIGUEROA SEBASTIAN ALONSO','INGENIERÍA AUTOMOTRIZ','3ro','MASCULINO','ACTIVO','',0,0,'','ALUMNO'</v>
      </c>
      <c r="L397" s="10" t="str">
        <f t="shared" si="12"/>
        <v>INSERT INTO participantes (id,nivel,correo,matricula,clave,nombre,carrera,grado,sexo,situacion,evaluados,num_evaluados,total_evaluaciones,ultimo_acceso,nivel_acceso) VALUES (1396,'LICENCIATURA','sebastianalonso.palafoxfigueroa','112192','TOMAR DEL SND','PALAFOX FIGUEROA SEBASTIAN ALONSO','INGENIERÍA AUTOMOTRIZ','3ro','MASCULINO','ACTIVO','',0,0,'','ALUMNO');</v>
      </c>
    </row>
    <row r="398" spans="1:12" ht="130.5" x14ac:dyDescent="0.35">
      <c r="A398" s="7">
        <v>1397</v>
      </c>
      <c r="B398" s="6" t="s">
        <v>5</v>
      </c>
      <c r="C398" t="s">
        <v>403</v>
      </c>
      <c r="D398" s="7" t="s">
        <v>975</v>
      </c>
      <c r="E398" s="7" t="s">
        <v>1149</v>
      </c>
      <c r="F398" t="s">
        <v>1547</v>
      </c>
      <c r="G398" s="7" t="s">
        <v>1731</v>
      </c>
      <c r="H398" t="s">
        <v>1739</v>
      </c>
      <c r="I398" t="s">
        <v>1743</v>
      </c>
      <c r="J398" t="s">
        <v>1786</v>
      </c>
      <c r="K398" s="2" t="str">
        <f t="shared" si="13"/>
        <v>1397,'LICENCIATURA','gustavoemiliano.jassovargas','112193','TOMAR DEL SND','JASSO VARGAS GUSTAVO EMILIANO','INGENIERÍA AUTOMOTRIZ','3ro','MASCULINO','ACTIVO','',0,0,'','ALUMNO'</v>
      </c>
      <c r="L398" s="10" t="str">
        <f t="shared" si="12"/>
        <v>INSERT INTO participantes (id,nivel,correo,matricula,clave,nombre,carrera,grado,sexo,situacion,evaluados,num_evaluados,total_evaluaciones,ultimo_acceso,nivel_acceso) VALUES (1397,'LICENCIATURA','gustavoemiliano.jassovargas','112193','TOMAR DEL SND','JASSO VARGAS GUSTAVO EMILIANO','INGENIERÍA AUTOMOTRIZ','3ro','MASCULINO','ACTIVO','',0,0,'','ALUMNO');</v>
      </c>
    </row>
    <row r="399" spans="1:12" ht="130.5" x14ac:dyDescent="0.35">
      <c r="A399" s="7">
        <v>1398</v>
      </c>
      <c r="B399" s="6" t="s">
        <v>5</v>
      </c>
      <c r="C399" t="s">
        <v>404</v>
      </c>
      <c r="D399" s="7" t="s">
        <v>976</v>
      </c>
      <c r="E399" s="7" t="s">
        <v>1149</v>
      </c>
      <c r="F399" t="s">
        <v>1548</v>
      </c>
      <c r="G399" s="7" t="s">
        <v>1731</v>
      </c>
      <c r="H399" t="s">
        <v>1739</v>
      </c>
      <c r="I399" t="s">
        <v>1743</v>
      </c>
      <c r="J399" t="s">
        <v>1786</v>
      </c>
      <c r="K399" s="2" t="str">
        <f t="shared" si="13"/>
        <v>1398,'LICENCIATURA','adolfoalexander.vegaruelas','112194','TOMAR DEL SND','VEGA RUELAS ADOLFO ALEXANDER','INGENIERÍA AUTOMOTRIZ','3ro','MASCULINO','ACTIVO','',0,0,'','ALUMNO'</v>
      </c>
      <c r="L399" s="10" t="str">
        <f t="shared" si="12"/>
        <v>INSERT INTO participantes (id,nivel,correo,matricula,clave,nombre,carrera,grado,sexo,situacion,evaluados,num_evaluados,total_evaluaciones,ultimo_acceso,nivel_acceso) VALUES (1398,'LICENCIATURA','adolfoalexander.vegaruelas','112194','TOMAR DEL SND','VEGA RUELAS ADOLFO ALEXANDER','INGENIERÍA AUTOMOTRIZ','3ro','MASCULINO','ACTIVO','',0,0,'','ALUMNO');</v>
      </c>
    </row>
    <row r="400" spans="1:12" ht="130.5" x14ac:dyDescent="0.35">
      <c r="A400" s="7">
        <v>1399</v>
      </c>
      <c r="B400" s="6" t="s">
        <v>5</v>
      </c>
      <c r="C400" t="s">
        <v>405</v>
      </c>
      <c r="D400" s="7" t="s">
        <v>977</v>
      </c>
      <c r="E400" s="7" t="s">
        <v>1149</v>
      </c>
      <c r="F400" t="s">
        <v>1549</v>
      </c>
      <c r="G400" s="7" t="s">
        <v>1731</v>
      </c>
      <c r="H400" t="s">
        <v>1739</v>
      </c>
      <c r="I400" t="s">
        <v>1743</v>
      </c>
      <c r="J400" t="s">
        <v>1786</v>
      </c>
      <c r="K400" s="2" t="str">
        <f t="shared" si="13"/>
        <v>1399,'LICENCIATURA','jorgeluis.castromarquez','112195','TOMAR DEL SND','CASTRO MARQUEZ JORGE LUIS','INGENIERÍA AUTOMOTRIZ','3ro','MASCULINO','ACTIVO','',0,0,'','ALUMNO'</v>
      </c>
      <c r="L400" s="10" t="str">
        <f t="shared" si="12"/>
        <v>INSERT INTO participantes (id,nivel,correo,matricula,clave,nombre,carrera,grado,sexo,situacion,evaluados,num_evaluados,total_evaluaciones,ultimo_acceso,nivel_acceso) VALUES (1399,'LICENCIATURA','jorgeluis.castromarquez','112195','TOMAR DEL SND','CASTRO MARQUEZ JORGE LUIS','INGENIERÍA AUTOMOTRIZ','3ro','MASCULINO','ACTIVO','',0,0,'','ALUMNO');</v>
      </c>
    </row>
    <row r="401" spans="1:12" ht="130.5" x14ac:dyDescent="0.35">
      <c r="A401" s="7">
        <v>1400</v>
      </c>
      <c r="B401" s="6" t="s">
        <v>5</v>
      </c>
      <c r="C401" t="s">
        <v>406</v>
      </c>
      <c r="D401" s="7" t="s">
        <v>978</v>
      </c>
      <c r="E401" s="7" t="s">
        <v>1149</v>
      </c>
      <c r="F401" t="s">
        <v>1550</v>
      </c>
      <c r="G401" s="7" t="s">
        <v>1731</v>
      </c>
      <c r="H401" t="s">
        <v>1739</v>
      </c>
      <c r="I401" t="s">
        <v>1743</v>
      </c>
      <c r="J401" t="s">
        <v>1786</v>
      </c>
      <c r="K401" s="2" t="str">
        <f t="shared" si="13"/>
        <v>1400,'LICENCIATURA','brunosantiago.muñozgutierrez','112196','TOMAR DEL SND','MUÑOZ GUTIERREZ BRUNO SANTIAGO','INGENIERÍA AUTOMOTRIZ','3ro','MASCULINO','ACTIVO','',0,0,'','ALUMNO'</v>
      </c>
      <c r="L401" s="10" t="str">
        <f t="shared" si="12"/>
        <v>INSERT INTO participantes (id,nivel,correo,matricula,clave,nombre,carrera,grado,sexo,situacion,evaluados,num_evaluados,total_evaluaciones,ultimo_acceso,nivel_acceso) VALUES (1400,'LICENCIATURA','brunosantiago.muñozgutierrez','112196','TOMAR DEL SND','MUÑOZ GUTIERREZ BRUNO SANTIAGO','INGENIERÍA AUTOMOTRIZ','3ro','MASCULINO','ACTIVO','',0,0,'','ALUMNO');</v>
      </c>
    </row>
    <row r="402" spans="1:12" ht="130.5" x14ac:dyDescent="0.35">
      <c r="A402" s="7">
        <v>1401</v>
      </c>
      <c r="B402" s="6" t="s">
        <v>5</v>
      </c>
      <c r="C402" t="s">
        <v>407</v>
      </c>
      <c r="D402" s="7" t="s">
        <v>979</v>
      </c>
      <c r="E402" s="7" t="s">
        <v>1149</v>
      </c>
      <c r="F402" t="s">
        <v>1551</v>
      </c>
      <c r="G402" s="7" t="s">
        <v>1731</v>
      </c>
      <c r="H402" t="s">
        <v>1739</v>
      </c>
      <c r="I402" t="s">
        <v>1743</v>
      </c>
      <c r="J402" t="s">
        <v>1786</v>
      </c>
      <c r="K402" s="2" t="str">
        <f t="shared" si="13"/>
        <v>1401,'LICENCIATURA','jose.escobedogarcia','112197','TOMAR DEL SND','ESCOBEDO GARCIA JOSE','INGENIERÍA AUTOMOTRIZ','3ro','MASCULINO','ACTIVO','',0,0,'','ALUMNO'</v>
      </c>
      <c r="L402" s="10" t="str">
        <f t="shared" si="12"/>
        <v>INSERT INTO participantes (id,nivel,correo,matricula,clave,nombre,carrera,grado,sexo,situacion,evaluados,num_evaluados,total_evaluaciones,ultimo_acceso,nivel_acceso) VALUES (1401,'LICENCIATURA','jose.escobedogarcia','112197','TOMAR DEL SND','ESCOBEDO GARCIA JOSE','INGENIERÍA AUTOMOTRIZ','3ro','MASCULINO','ACTIVO','',0,0,'','ALUMNO');</v>
      </c>
    </row>
    <row r="403" spans="1:12" ht="130.5" x14ac:dyDescent="0.35">
      <c r="A403" s="7">
        <v>1402</v>
      </c>
      <c r="B403" s="6" t="s">
        <v>5</v>
      </c>
      <c r="C403" t="s">
        <v>408</v>
      </c>
      <c r="D403" s="7" t="s">
        <v>980</v>
      </c>
      <c r="E403" s="7" t="s">
        <v>1149</v>
      </c>
      <c r="F403" t="s">
        <v>1552</v>
      </c>
      <c r="G403" s="7" t="s">
        <v>1731</v>
      </c>
      <c r="H403" t="s">
        <v>1739</v>
      </c>
      <c r="I403" t="s">
        <v>1743</v>
      </c>
      <c r="J403" t="s">
        <v>1786</v>
      </c>
      <c r="K403" s="2" t="str">
        <f t="shared" si="13"/>
        <v>1402,'LICENCIATURA','luisrodolfo.lozanosanchez','112198','TOMAR DEL SND','LOZANO SANCHEZ LUIS RODOLFO','INGENIERÍA AUTOMOTRIZ','3ro','MASCULINO','ACTIVO','',0,0,'','ALUMNO'</v>
      </c>
      <c r="L403" s="10" t="str">
        <f t="shared" si="12"/>
        <v>INSERT INTO participantes (id,nivel,correo,matricula,clave,nombre,carrera,grado,sexo,situacion,evaluados,num_evaluados,total_evaluaciones,ultimo_acceso,nivel_acceso) VALUES (1402,'LICENCIATURA','luisrodolfo.lozanosanchez','112198','TOMAR DEL SND','LOZANO SANCHEZ LUIS RODOLFO','INGENIERÍA AUTOMOTRIZ','3ro','MASCULINO','ACTIVO','',0,0,'','ALUMNO');</v>
      </c>
    </row>
    <row r="404" spans="1:12" ht="130.5" x14ac:dyDescent="0.35">
      <c r="A404" s="7">
        <v>1403</v>
      </c>
      <c r="B404" s="6" t="s">
        <v>5</v>
      </c>
      <c r="C404" t="s">
        <v>409</v>
      </c>
      <c r="D404" s="7" t="s">
        <v>981</v>
      </c>
      <c r="E404" s="7" t="s">
        <v>1149</v>
      </c>
      <c r="F404" t="s">
        <v>1553</v>
      </c>
      <c r="G404" s="7" t="s">
        <v>1731</v>
      </c>
      <c r="H404" t="s">
        <v>1739</v>
      </c>
      <c r="I404" t="s">
        <v>1743</v>
      </c>
      <c r="J404" t="s">
        <v>1786</v>
      </c>
      <c r="K404" s="2" t="str">
        <f t="shared" si="13"/>
        <v>1403,'LICENCIATURA','andres.delatorreperez','112200','TOMAR DEL SND','DE LA TORRE PEREZ ANDRES','INGENIERÍA AUTOMOTRIZ','3ro','MASCULINO','ACTIVO','',0,0,'','ALUMNO'</v>
      </c>
      <c r="L404" s="10" t="str">
        <f t="shared" si="12"/>
        <v>INSERT INTO participantes (id,nivel,correo,matricula,clave,nombre,carrera,grado,sexo,situacion,evaluados,num_evaluados,total_evaluaciones,ultimo_acceso,nivel_acceso) VALUES (1403,'LICENCIATURA','andres.delatorreperez','112200','TOMAR DEL SND','DE LA TORRE PEREZ ANDRES','INGENIERÍA AUTOMOTRIZ','3ro','MASCULINO','ACTIVO','',0,0,'','ALUMNO');</v>
      </c>
    </row>
    <row r="405" spans="1:12" ht="130.5" x14ac:dyDescent="0.35">
      <c r="A405" s="7">
        <v>1404</v>
      </c>
      <c r="B405" s="6" t="s">
        <v>5</v>
      </c>
      <c r="C405" t="s">
        <v>410</v>
      </c>
      <c r="D405" s="7" t="s">
        <v>982</v>
      </c>
      <c r="E405" s="7" t="s">
        <v>1149</v>
      </c>
      <c r="F405" t="s">
        <v>1554</v>
      </c>
      <c r="G405" s="7" t="s">
        <v>1731</v>
      </c>
      <c r="H405" t="s">
        <v>1739</v>
      </c>
      <c r="I405" t="s">
        <v>1743</v>
      </c>
      <c r="J405" t="s">
        <v>1786</v>
      </c>
      <c r="K405" s="2" t="str">
        <f t="shared" si="13"/>
        <v>1404,'LICENCIATURA','carlososvaldo.medinadiaz','112201','TOMAR DEL SND','MEDINA DIAZ CARLOS OSVALDO','INGENIERÍA AUTOMOTRIZ','3ro','MASCULINO','ACTIVO','',0,0,'','ALUMNO'</v>
      </c>
      <c r="L405" s="10" t="str">
        <f t="shared" si="12"/>
        <v>INSERT INTO participantes (id,nivel,correo,matricula,clave,nombre,carrera,grado,sexo,situacion,evaluados,num_evaluados,total_evaluaciones,ultimo_acceso,nivel_acceso) VALUES (1404,'LICENCIATURA','carlososvaldo.medinadiaz','112201','TOMAR DEL SND','MEDINA DIAZ CARLOS OSVALDO','INGENIERÍA AUTOMOTRIZ','3ro','MASCULINO','ACTIVO','',0,0,'','ALUMNO');</v>
      </c>
    </row>
    <row r="406" spans="1:12" ht="130.5" x14ac:dyDescent="0.35">
      <c r="A406" s="7">
        <v>1405</v>
      </c>
      <c r="B406" s="6" t="s">
        <v>5</v>
      </c>
      <c r="C406" t="s">
        <v>411</v>
      </c>
      <c r="D406" s="7" t="s">
        <v>983</v>
      </c>
      <c r="E406" s="7" t="s">
        <v>1149</v>
      </c>
      <c r="F406" t="s">
        <v>1555</v>
      </c>
      <c r="G406" s="7" t="s">
        <v>1731</v>
      </c>
      <c r="H406" t="s">
        <v>1739</v>
      </c>
      <c r="I406" t="s">
        <v>1743</v>
      </c>
      <c r="J406" t="s">
        <v>1786</v>
      </c>
      <c r="K406" s="2" t="str">
        <f t="shared" si="13"/>
        <v>1405,'LICENCIATURA','francoeduardo.romerovalerio','112202','TOMAR DEL SND','ROMERO VALERIO FRANCO EDUARDO','INGENIERÍA AUTOMOTRIZ','3ro','MASCULINO','ACTIVO','',0,0,'','ALUMNO'</v>
      </c>
      <c r="L406" s="10" t="str">
        <f t="shared" si="12"/>
        <v>INSERT INTO participantes (id,nivel,correo,matricula,clave,nombre,carrera,grado,sexo,situacion,evaluados,num_evaluados,total_evaluaciones,ultimo_acceso,nivel_acceso) VALUES (1405,'LICENCIATURA','francoeduardo.romerovalerio','112202','TOMAR DEL SND','ROMERO VALERIO FRANCO EDUARDO','INGENIERÍA AUTOMOTRIZ','3ro','MASCULINO','ACTIVO','',0,0,'','ALUMNO');</v>
      </c>
    </row>
    <row r="407" spans="1:12" ht="130.5" x14ac:dyDescent="0.35">
      <c r="A407" s="7">
        <v>1406</v>
      </c>
      <c r="B407" s="6" t="s">
        <v>5</v>
      </c>
      <c r="C407" t="s">
        <v>412</v>
      </c>
      <c r="D407" s="7" t="s">
        <v>984</v>
      </c>
      <c r="E407" s="7" t="s">
        <v>1149</v>
      </c>
      <c r="F407" t="s">
        <v>1556</v>
      </c>
      <c r="G407" s="7" t="s">
        <v>1731</v>
      </c>
      <c r="H407" t="s">
        <v>1739</v>
      </c>
      <c r="I407" t="s">
        <v>1744</v>
      </c>
      <c r="J407" t="s">
        <v>1786</v>
      </c>
      <c r="K407" s="2" t="str">
        <f t="shared" si="13"/>
        <v>1406,'LICENCIATURA','valentina.palominorodriguez','112204','TOMAR DEL SND','PALOMINO RODRIGUEZ VALENTINA','INGENIERÍA AUTOMOTRIZ','3ro','FEMENINO','ACTIVO','',0,0,'','ALUMNO'</v>
      </c>
      <c r="L407" s="10" t="str">
        <f t="shared" si="12"/>
        <v>INSERT INTO participantes (id,nivel,correo,matricula,clave,nombre,carrera,grado,sexo,situacion,evaluados,num_evaluados,total_evaluaciones,ultimo_acceso,nivel_acceso) VALUES (1406,'LICENCIATURA','valentina.palominorodriguez','112204','TOMAR DEL SND','PALOMINO RODRIGUEZ VALENTINA','INGENIERÍA AUTOMOTRIZ','3ro','FEMENINO','ACTIVO','',0,0,'','ALUMNO');</v>
      </c>
    </row>
    <row r="408" spans="1:12" ht="130.5" x14ac:dyDescent="0.35">
      <c r="A408" s="7">
        <v>1407</v>
      </c>
      <c r="B408" s="6" t="s">
        <v>5</v>
      </c>
      <c r="C408" t="s">
        <v>413</v>
      </c>
      <c r="D408" s="7" t="s">
        <v>985</v>
      </c>
      <c r="E408" s="7" t="s">
        <v>1149</v>
      </c>
      <c r="F408" t="s">
        <v>1557</v>
      </c>
      <c r="G408" s="7" t="s">
        <v>1731</v>
      </c>
      <c r="H408" t="s">
        <v>1739</v>
      </c>
      <c r="I408" t="s">
        <v>1743</v>
      </c>
      <c r="J408" t="s">
        <v>1786</v>
      </c>
      <c r="K408" s="2" t="str">
        <f t="shared" si="13"/>
        <v>1407,'LICENCIATURA','andresismael.perezperez','112206','TOMAR DEL SND','PEREZ PEREZ ANDRES ISMAEL','INGENIERÍA AUTOMOTRIZ','3ro','MASCULINO','ACTIVO','',0,0,'','ALUMNO'</v>
      </c>
      <c r="L408" s="10" t="str">
        <f t="shared" si="12"/>
        <v>INSERT INTO participantes (id,nivel,correo,matricula,clave,nombre,carrera,grado,sexo,situacion,evaluados,num_evaluados,total_evaluaciones,ultimo_acceso,nivel_acceso) VALUES (1407,'LICENCIATURA','andresismael.perezperez','112206','TOMAR DEL SND','PEREZ PEREZ ANDRES ISMAEL','INGENIERÍA AUTOMOTRIZ','3ro','MASCULINO','ACTIVO','',0,0,'','ALUMNO');</v>
      </c>
    </row>
    <row r="409" spans="1:12" ht="130.5" x14ac:dyDescent="0.35">
      <c r="A409" s="7">
        <v>1408</v>
      </c>
      <c r="B409" s="6" t="s">
        <v>5</v>
      </c>
      <c r="C409" t="s">
        <v>414</v>
      </c>
      <c r="D409" s="7" t="s">
        <v>986</v>
      </c>
      <c r="E409" s="7" t="s">
        <v>1149</v>
      </c>
      <c r="F409" t="s">
        <v>1558</v>
      </c>
      <c r="G409" s="7" t="s">
        <v>1727</v>
      </c>
      <c r="H409" t="s">
        <v>1739</v>
      </c>
      <c r="I409" t="s">
        <v>1743</v>
      </c>
      <c r="J409" t="s">
        <v>1786</v>
      </c>
      <c r="K409" s="2" t="str">
        <f t="shared" si="13"/>
        <v>1408,'LICENCIATURA','oscarisrael.vazquezmuñoz','112210','TOMAR DEL SND','VAZQUEZ MUÑOZ OSCAR ISRAEL','ADMINISTRACION Y DIRECCION DE NEGOCIOS','3ro','MASCULINO','ACTIVO','',0,0,'','ALUMNO'</v>
      </c>
      <c r="L409" s="10" t="str">
        <f t="shared" si="12"/>
        <v>INSERT INTO participantes (id,nivel,correo,matricula,clave,nombre,carrera,grado,sexo,situacion,evaluados,num_evaluados,total_evaluaciones,ultimo_acceso,nivel_acceso) VALUES (1408,'LICENCIATURA','oscarisrael.vazquezmuñoz','112210','TOMAR DEL SND','VAZQUEZ MUÑOZ OSCAR ISRAEL','ADMINISTRACION Y DIRECCION DE NEGOCIOS','3ro','MASCULINO','ACTIVO','',0,0,'','ALUMNO');</v>
      </c>
    </row>
    <row r="410" spans="1:12" ht="130.5" x14ac:dyDescent="0.35">
      <c r="A410" s="7">
        <v>1409</v>
      </c>
      <c r="B410" s="6" t="s">
        <v>5</v>
      </c>
      <c r="C410" t="s">
        <v>415</v>
      </c>
      <c r="D410" s="7" t="s">
        <v>987</v>
      </c>
      <c r="E410" s="7" t="s">
        <v>1149</v>
      </c>
      <c r="F410" t="s">
        <v>1559</v>
      </c>
      <c r="G410" s="7" t="s">
        <v>1725</v>
      </c>
      <c r="H410" t="s">
        <v>1739</v>
      </c>
      <c r="I410" t="s">
        <v>1743</v>
      </c>
      <c r="J410" t="s">
        <v>1786</v>
      </c>
      <c r="K410" s="2" t="str">
        <f t="shared" si="13"/>
        <v>1409,'LICENCIATURA','jacobo.nuñezvega','112211','TOMAR DEL SND','NUÑEZ VEGA JACOBO','INGENIERIA AEROESPACIAL','3ro','MASCULINO','ACTIVO','',0,0,'','ALUMNO'</v>
      </c>
      <c r="L410" s="10" t="str">
        <f t="shared" si="12"/>
        <v>INSERT INTO participantes (id,nivel,correo,matricula,clave,nombre,carrera,grado,sexo,situacion,evaluados,num_evaluados,total_evaluaciones,ultimo_acceso,nivel_acceso) VALUES (1409,'LICENCIATURA','jacobo.nuñezvega','112211','TOMAR DEL SND','NUÑEZ VEGA JACOBO','INGENIERIA AEROESPACIAL','3ro','MASCULINO','ACTIVO','',0,0,'','ALUMNO');</v>
      </c>
    </row>
    <row r="411" spans="1:12" ht="130.5" x14ac:dyDescent="0.35">
      <c r="A411" s="7">
        <v>1410</v>
      </c>
      <c r="B411" s="6" t="s">
        <v>5</v>
      </c>
      <c r="C411" t="s">
        <v>416</v>
      </c>
      <c r="D411" s="7" t="s">
        <v>988</v>
      </c>
      <c r="E411" s="7" t="s">
        <v>1149</v>
      </c>
      <c r="F411" t="s">
        <v>1560</v>
      </c>
      <c r="G411" s="7" t="s">
        <v>1727</v>
      </c>
      <c r="H411" t="s">
        <v>1739</v>
      </c>
      <c r="I411" t="s">
        <v>1744</v>
      </c>
      <c r="J411" t="s">
        <v>1786</v>
      </c>
      <c r="K411" s="2" t="str">
        <f t="shared" si="13"/>
        <v>1410,'LICENCIATURA','marianasujey.villacruz','112213','TOMAR DEL SND','VILLA CRUZ MARIANA SUJEY','ADMINISTRACION Y DIRECCION DE NEGOCIOS','3ro','FEMENINO','ACTIVO','',0,0,'','ALUMNO'</v>
      </c>
      <c r="L411" s="10" t="str">
        <f t="shared" si="12"/>
        <v>INSERT INTO participantes (id,nivel,correo,matricula,clave,nombre,carrera,grado,sexo,situacion,evaluados,num_evaluados,total_evaluaciones,ultimo_acceso,nivel_acceso) VALUES (1410,'LICENCIATURA','marianasujey.villacruz','112213','TOMAR DEL SND','VILLA CRUZ MARIANA SUJEY','ADMINISTRACION Y DIRECCION DE NEGOCIOS','3ro','FEMENINO','ACTIVO','',0,0,'','ALUMNO');</v>
      </c>
    </row>
    <row r="412" spans="1:12" ht="130.5" x14ac:dyDescent="0.35">
      <c r="A412" s="7">
        <v>1411</v>
      </c>
      <c r="B412" s="6" t="s">
        <v>5</v>
      </c>
      <c r="C412" t="s">
        <v>417</v>
      </c>
      <c r="D412" s="7" t="s">
        <v>989</v>
      </c>
      <c r="E412" s="7" t="s">
        <v>1149</v>
      </c>
      <c r="F412" t="s">
        <v>1561</v>
      </c>
      <c r="G412" s="7" t="s">
        <v>1725</v>
      </c>
      <c r="H412" t="s">
        <v>1739</v>
      </c>
      <c r="I412" t="s">
        <v>1744</v>
      </c>
      <c r="J412" t="s">
        <v>1786</v>
      </c>
      <c r="K412" s="2" t="str">
        <f t="shared" si="13"/>
        <v>1411,'LICENCIATURA','dariamadai.alcarazarroyo','112215','TOMAR DEL SND','ALCARAZ ARROYO DARIA MADAI','INGENIERIA AEROESPACIAL','3ro','FEMENINO','ACTIVO','',0,0,'','ALUMNO'</v>
      </c>
      <c r="L412" s="10" t="str">
        <f t="shared" si="12"/>
        <v>INSERT INTO participantes (id,nivel,correo,matricula,clave,nombre,carrera,grado,sexo,situacion,evaluados,num_evaluados,total_evaluaciones,ultimo_acceso,nivel_acceso) VALUES (1411,'LICENCIATURA','dariamadai.alcarazarroyo','112215','TOMAR DEL SND','ALCARAZ ARROYO DARIA MADAI','INGENIERIA AEROESPACIAL','3ro','FEMENINO','ACTIVO','',0,0,'','ALUMNO');</v>
      </c>
    </row>
    <row r="413" spans="1:12" ht="130.5" x14ac:dyDescent="0.35">
      <c r="A413" s="7">
        <v>1412</v>
      </c>
      <c r="B413" s="6" t="s">
        <v>5</v>
      </c>
      <c r="C413" t="s">
        <v>418</v>
      </c>
      <c r="D413" s="7" t="s">
        <v>990</v>
      </c>
      <c r="E413" s="7" t="s">
        <v>1149</v>
      </c>
      <c r="F413" t="s">
        <v>1562</v>
      </c>
      <c r="G413" s="7" t="s">
        <v>1731</v>
      </c>
      <c r="H413" t="s">
        <v>1739</v>
      </c>
      <c r="I413" t="s">
        <v>1744</v>
      </c>
      <c r="J413" t="s">
        <v>1786</v>
      </c>
      <c r="K413" s="2" t="str">
        <f t="shared" si="13"/>
        <v>1412,'LICENCIATURA','natalie.fernleysuccar','112216','TOMAR DEL SND','FERNLEY SUCCAR NATALIE','INGENIERÍA AUTOMOTRIZ','3ro','FEMENINO','ACTIVO','',0,0,'','ALUMNO'</v>
      </c>
      <c r="L413" s="10" t="str">
        <f t="shared" si="12"/>
        <v>INSERT INTO participantes (id,nivel,correo,matricula,clave,nombre,carrera,grado,sexo,situacion,evaluados,num_evaluados,total_evaluaciones,ultimo_acceso,nivel_acceso) VALUES (1412,'LICENCIATURA','natalie.fernleysuccar','112216','TOMAR DEL SND','FERNLEY SUCCAR NATALIE','INGENIERÍA AUTOMOTRIZ','3ro','FEMENINO','ACTIVO','',0,0,'','ALUMNO');</v>
      </c>
    </row>
    <row r="414" spans="1:12" ht="130.5" x14ac:dyDescent="0.35">
      <c r="A414" s="7">
        <v>1413</v>
      </c>
      <c r="B414" s="6" t="s">
        <v>5</v>
      </c>
      <c r="C414" t="s">
        <v>419</v>
      </c>
      <c r="D414" s="7" t="s">
        <v>991</v>
      </c>
      <c r="E414" s="7" t="s">
        <v>1149</v>
      </c>
      <c r="F414" t="s">
        <v>1563</v>
      </c>
      <c r="G414" s="7" t="s">
        <v>1725</v>
      </c>
      <c r="H414" t="s">
        <v>1739</v>
      </c>
      <c r="I414" t="s">
        <v>1743</v>
      </c>
      <c r="J414" t="s">
        <v>1786</v>
      </c>
      <c r="K414" s="2" t="str">
        <f t="shared" si="13"/>
        <v>1413,'LICENCIATURA','emilio.esparzaamaral','112217','TOMAR DEL SND','ESPARZA AMARAL EMILIO','INGENIERIA AEROESPACIAL','3ro','MASCULINO','ACTIVO','',0,0,'','ALUMNO'</v>
      </c>
      <c r="L414" s="10" t="str">
        <f t="shared" si="12"/>
        <v>INSERT INTO participantes (id,nivel,correo,matricula,clave,nombre,carrera,grado,sexo,situacion,evaluados,num_evaluados,total_evaluaciones,ultimo_acceso,nivel_acceso) VALUES (1413,'LICENCIATURA','emilio.esparzaamaral','112217','TOMAR DEL SND','ESPARZA AMARAL EMILIO','INGENIERIA AEROESPACIAL','3ro','MASCULINO','ACTIVO','',0,0,'','ALUMNO');</v>
      </c>
    </row>
    <row r="415" spans="1:12" ht="130.5" x14ac:dyDescent="0.35">
      <c r="A415" s="7">
        <v>1414</v>
      </c>
      <c r="B415" s="6" t="s">
        <v>5</v>
      </c>
      <c r="C415" t="s">
        <v>420</v>
      </c>
      <c r="D415" s="7" t="s">
        <v>992</v>
      </c>
      <c r="E415" s="7" t="s">
        <v>1149</v>
      </c>
      <c r="F415" t="s">
        <v>1564</v>
      </c>
      <c r="G415" s="7" t="s">
        <v>1726</v>
      </c>
      <c r="H415" t="s">
        <v>1739</v>
      </c>
      <c r="I415" t="s">
        <v>1743</v>
      </c>
      <c r="J415" t="s">
        <v>1786</v>
      </c>
      <c r="K415" s="2" t="str">
        <f t="shared" si="13"/>
        <v>1414,'LICENCIATURA','carlosalonso.morenodiaz','112218','TOMAR DEL SND','MORENO DIAZ CARLOS ALONSO','PSICOLOGIA','3ro','MASCULINO','ACTIVO','',0,0,'','ALUMNO'</v>
      </c>
      <c r="L415" s="10" t="str">
        <f t="shared" si="12"/>
        <v>INSERT INTO participantes (id,nivel,correo,matricula,clave,nombre,carrera,grado,sexo,situacion,evaluados,num_evaluados,total_evaluaciones,ultimo_acceso,nivel_acceso) VALUES (1414,'LICENCIATURA','carlosalonso.morenodiaz','112218','TOMAR DEL SND','MORENO DIAZ CARLOS ALONSO','PSICOLOGIA','3ro','MASCULINO','ACTIVO','',0,0,'','ALUMNO');</v>
      </c>
    </row>
    <row r="416" spans="1:12" ht="130.5" x14ac:dyDescent="0.35">
      <c r="A416" s="7">
        <v>1415</v>
      </c>
      <c r="B416" s="6" t="s">
        <v>5</v>
      </c>
      <c r="C416" t="s">
        <v>421</v>
      </c>
      <c r="D416" s="7" t="s">
        <v>993</v>
      </c>
      <c r="E416" s="7" t="s">
        <v>1149</v>
      </c>
      <c r="F416" t="s">
        <v>1565</v>
      </c>
      <c r="G416" s="7" t="s">
        <v>1725</v>
      </c>
      <c r="H416" t="s">
        <v>1739</v>
      </c>
      <c r="I416" t="s">
        <v>1743</v>
      </c>
      <c r="J416" t="s">
        <v>1786</v>
      </c>
      <c r="K416" s="2" t="str">
        <f t="shared" si="13"/>
        <v>1415,'LICENCIATURA','juanpablo.balcazarferrel','112219','TOMAR DEL SND','BALCAZAR FERREL JUAN PABLO','INGENIERIA AEROESPACIAL','3ro','MASCULINO','ACTIVO','',0,0,'','ALUMNO'</v>
      </c>
      <c r="L416" s="10" t="str">
        <f t="shared" si="12"/>
        <v>INSERT INTO participantes (id,nivel,correo,matricula,clave,nombre,carrera,grado,sexo,situacion,evaluados,num_evaluados,total_evaluaciones,ultimo_acceso,nivel_acceso) VALUES (1415,'LICENCIATURA','juanpablo.balcazarferrel','112219','TOMAR DEL SND','BALCAZAR FERREL JUAN PABLO','INGENIERIA AEROESPACIAL','3ro','MASCULINO','ACTIVO','',0,0,'','ALUMNO');</v>
      </c>
    </row>
    <row r="417" spans="1:12" ht="130.5" x14ac:dyDescent="0.35">
      <c r="A417" s="7">
        <v>1416</v>
      </c>
      <c r="B417" s="6" t="s">
        <v>5</v>
      </c>
      <c r="C417" t="s">
        <v>422</v>
      </c>
      <c r="D417" s="7" t="s">
        <v>994</v>
      </c>
      <c r="E417" s="7" t="s">
        <v>1149</v>
      </c>
      <c r="F417" t="s">
        <v>1566</v>
      </c>
      <c r="G417" s="7" t="s">
        <v>1725</v>
      </c>
      <c r="H417" t="s">
        <v>1739</v>
      </c>
      <c r="I417" t="s">
        <v>1743</v>
      </c>
      <c r="J417" t="s">
        <v>1786</v>
      </c>
      <c r="K417" s="2" t="str">
        <f t="shared" si="13"/>
        <v>1416,'LICENCIATURA','arifbenjamin.zabranakönig','112221','TOMAR DEL SND','ZABRANA KÖNIG ARIF BENJAMIN','INGENIERIA AEROESPACIAL','3ro','MASCULINO','ACTIVO','',0,0,'','ALUMNO'</v>
      </c>
      <c r="L417" s="10" t="str">
        <f t="shared" si="12"/>
        <v>INSERT INTO participantes (id,nivel,correo,matricula,clave,nombre,carrera,grado,sexo,situacion,evaluados,num_evaluados,total_evaluaciones,ultimo_acceso,nivel_acceso) VALUES (1416,'LICENCIATURA','arifbenjamin.zabranakönig','112221','TOMAR DEL SND','ZABRANA KÖNIG ARIF BENJAMIN','INGENIERIA AEROESPACIAL','3ro','MASCULINO','ACTIVO','',0,0,'','ALUMNO');</v>
      </c>
    </row>
    <row r="418" spans="1:12" ht="130.5" x14ac:dyDescent="0.35">
      <c r="A418" s="7">
        <v>1417</v>
      </c>
      <c r="B418" s="6" t="s">
        <v>5</v>
      </c>
      <c r="C418" t="s">
        <v>423</v>
      </c>
      <c r="D418" s="7" t="s">
        <v>995</v>
      </c>
      <c r="E418" s="7" t="s">
        <v>1149</v>
      </c>
      <c r="F418" t="s">
        <v>1567</v>
      </c>
      <c r="G418" s="7" t="s">
        <v>1731</v>
      </c>
      <c r="H418" t="s">
        <v>1740</v>
      </c>
      <c r="I418" t="s">
        <v>1743</v>
      </c>
      <c r="J418" t="s">
        <v>1786</v>
      </c>
      <c r="K418" s="2" t="str">
        <f t="shared" si="13"/>
        <v>1417,'LICENCIATURA','francisco.cendejasvizcarra','112222','TOMAR DEL SND','CENDEJAS VIZCARRA FRANCISCO','INGENIERÍA AUTOMOTRIZ','1ro','MASCULINO','ACTIVO','',0,0,'','ALUMNO'</v>
      </c>
      <c r="L418" s="10" t="str">
        <f t="shared" si="12"/>
        <v>INSERT INTO participantes (id,nivel,correo,matricula,clave,nombre,carrera,grado,sexo,situacion,evaluados,num_evaluados,total_evaluaciones,ultimo_acceso,nivel_acceso) VALUES (1417,'LICENCIATURA','francisco.cendejasvizcarra','112222','TOMAR DEL SND','CENDEJAS VIZCARRA FRANCISCO','INGENIERÍA AUTOMOTRIZ','1ro','MASCULINO','ACTIVO','',0,0,'','ALUMNO');</v>
      </c>
    </row>
    <row r="419" spans="1:12" ht="130.5" x14ac:dyDescent="0.35">
      <c r="A419" s="7">
        <v>1418</v>
      </c>
      <c r="B419" s="6" t="s">
        <v>5</v>
      </c>
      <c r="C419" t="s">
        <v>424</v>
      </c>
      <c r="D419" s="7" t="s">
        <v>996</v>
      </c>
      <c r="E419" s="7" t="s">
        <v>1149</v>
      </c>
      <c r="F419" t="s">
        <v>1568</v>
      </c>
      <c r="G419" s="7" t="s">
        <v>1725</v>
      </c>
      <c r="H419" t="s">
        <v>1739</v>
      </c>
      <c r="I419" t="s">
        <v>1743</v>
      </c>
      <c r="J419" t="s">
        <v>1786</v>
      </c>
      <c r="K419" s="2" t="str">
        <f t="shared" si="13"/>
        <v>1418,'LICENCIATURA','adrianenrique.moralesortiz','112223','TOMAR DEL SND','MORALES ORTIZ ADRIAN ENRIQUE','INGENIERIA AEROESPACIAL','3ro','MASCULINO','ACTIVO','',0,0,'','ALUMNO'</v>
      </c>
      <c r="L419" s="10" t="str">
        <f t="shared" si="12"/>
        <v>INSERT INTO participantes (id,nivel,correo,matricula,clave,nombre,carrera,grado,sexo,situacion,evaluados,num_evaluados,total_evaluaciones,ultimo_acceso,nivel_acceso) VALUES (1418,'LICENCIATURA','adrianenrique.moralesortiz','112223','TOMAR DEL SND','MORALES ORTIZ ADRIAN ENRIQUE','INGENIERIA AEROESPACIAL','3ro','MASCULINO','ACTIVO','',0,0,'','ALUMNO');</v>
      </c>
    </row>
    <row r="420" spans="1:12" ht="130.5" x14ac:dyDescent="0.35">
      <c r="A420" s="7">
        <v>1419</v>
      </c>
      <c r="B420" s="6" t="s">
        <v>5</v>
      </c>
      <c r="C420" t="s">
        <v>425</v>
      </c>
      <c r="D420" s="7" t="s">
        <v>997</v>
      </c>
      <c r="E420" s="7" t="s">
        <v>1149</v>
      </c>
      <c r="F420" t="s">
        <v>1569</v>
      </c>
      <c r="G420" s="7" t="s">
        <v>1725</v>
      </c>
      <c r="H420" t="s">
        <v>1739</v>
      </c>
      <c r="I420" t="s">
        <v>1743</v>
      </c>
      <c r="J420" t="s">
        <v>1786</v>
      </c>
      <c r="K420" s="2" t="str">
        <f t="shared" si="13"/>
        <v>1419,'LICENCIATURA','joseeduardo.torreslua','112224','TOMAR DEL SND','TORRES LUA JOSE EDUARDO','INGENIERIA AEROESPACIAL','3ro','MASCULINO','ACTIVO','',0,0,'','ALUMNO'</v>
      </c>
      <c r="L420" s="10" t="str">
        <f t="shared" si="12"/>
        <v>INSERT INTO participantes (id,nivel,correo,matricula,clave,nombre,carrera,grado,sexo,situacion,evaluados,num_evaluados,total_evaluaciones,ultimo_acceso,nivel_acceso) VALUES (1419,'LICENCIATURA','joseeduardo.torreslua','112224','TOMAR DEL SND','TORRES LUA JOSE EDUARDO','INGENIERIA AEROESPACIAL','3ro','MASCULINO','ACTIVO','',0,0,'','ALUMNO');</v>
      </c>
    </row>
    <row r="421" spans="1:12" ht="130.5" x14ac:dyDescent="0.35">
      <c r="A421" s="7">
        <v>1420</v>
      </c>
      <c r="B421" s="6" t="s">
        <v>5</v>
      </c>
      <c r="C421" t="s">
        <v>426</v>
      </c>
      <c r="D421" s="7" t="s">
        <v>998</v>
      </c>
      <c r="E421" s="7" t="s">
        <v>1149</v>
      </c>
      <c r="F421" t="s">
        <v>1570</v>
      </c>
      <c r="G421" s="7" t="s">
        <v>1725</v>
      </c>
      <c r="H421" t="s">
        <v>1739</v>
      </c>
      <c r="I421" t="s">
        <v>1744</v>
      </c>
      <c r="J421" t="s">
        <v>1786</v>
      </c>
      <c r="K421" s="2" t="str">
        <f t="shared" si="13"/>
        <v>1420,'LICENCIATURA','adriana.zavalaflores','112225','TOMAR DEL SND','ZAVALA FLORES ADRIANA','INGENIERIA AEROESPACIAL','3ro','FEMENINO','ACTIVO','',0,0,'','ALUMNO'</v>
      </c>
      <c r="L421" s="10" t="str">
        <f t="shared" si="12"/>
        <v>INSERT INTO participantes (id,nivel,correo,matricula,clave,nombre,carrera,grado,sexo,situacion,evaluados,num_evaluados,total_evaluaciones,ultimo_acceso,nivel_acceso) VALUES (1420,'LICENCIATURA','adriana.zavalaflores','112225','TOMAR DEL SND','ZAVALA FLORES ADRIANA','INGENIERIA AEROESPACIAL','3ro','FEMENINO','ACTIVO','',0,0,'','ALUMNO');</v>
      </c>
    </row>
    <row r="422" spans="1:12" ht="130.5" x14ac:dyDescent="0.35">
      <c r="A422" s="7">
        <v>1421</v>
      </c>
      <c r="B422" s="6" t="s">
        <v>5</v>
      </c>
      <c r="C422" t="s">
        <v>427</v>
      </c>
      <c r="D422" s="7" t="s">
        <v>999</v>
      </c>
      <c r="E422" s="7" t="s">
        <v>1149</v>
      </c>
      <c r="F422" t="s">
        <v>1571</v>
      </c>
      <c r="G422" s="7" t="s">
        <v>1724</v>
      </c>
      <c r="H422" t="s">
        <v>1739</v>
      </c>
      <c r="I422" t="s">
        <v>1744</v>
      </c>
      <c r="J422" t="s">
        <v>1786</v>
      </c>
      <c r="K422" s="2" t="str">
        <f t="shared" si="13"/>
        <v>1421,'LICENCIATURA','giovannapaola.castañedaelizalde','112226','TOMAR DEL SND','CASTAÑEDA ELIZALDE GIOVANNA PAOLA','NUTRICION Y GASTRONOMIA','3ro','FEMENINO','ACTIVO','',0,0,'','ALUMNO'</v>
      </c>
      <c r="L422" s="10" t="str">
        <f t="shared" si="12"/>
        <v>INSERT INTO participantes (id,nivel,correo,matricula,clave,nombre,carrera,grado,sexo,situacion,evaluados,num_evaluados,total_evaluaciones,ultimo_acceso,nivel_acceso) VALUES (1421,'LICENCIATURA','giovannapaola.castañedaelizalde','112226','TOMAR DEL SND','CASTAÑEDA ELIZALDE GIOVANNA PAOLA','NUTRICION Y GASTRONOMIA','3ro','FEMENINO','ACTIVO','',0,0,'','ALUMNO');</v>
      </c>
    </row>
    <row r="423" spans="1:12" ht="130.5" x14ac:dyDescent="0.35">
      <c r="A423" s="7">
        <v>1422</v>
      </c>
      <c r="B423" s="6" t="s">
        <v>5</v>
      </c>
      <c r="C423" t="s">
        <v>428</v>
      </c>
      <c r="D423" s="7" t="s">
        <v>1000</v>
      </c>
      <c r="E423" s="7" t="s">
        <v>1149</v>
      </c>
      <c r="F423" t="s">
        <v>1572</v>
      </c>
      <c r="G423" s="7" t="s">
        <v>1731</v>
      </c>
      <c r="H423" t="s">
        <v>1739</v>
      </c>
      <c r="I423" t="s">
        <v>1743</v>
      </c>
      <c r="J423" t="s">
        <v>1786</v>
      </c>
      <c r="K423" s="2" t="str">
        <f t="shared" si="13"/>
        <v>1422,'LICENCIATURA','andresenrique.encisogomez','112227','TOMAR DEL SND','ENCISO GOMEZ ANDRES ENRIQUE','INGENIERÍA AUTOMOTRIZ','3ro','MASCULINO','ACTIVO','',0,0,'','ALUMNO'</v>
      </c>
      <c r="L423" s="10" t="str">
        <f t="shared" si="12"/>
        <v>INSERT INTO participantes (id,nivel,correo,matricula,clave,nombre,carrera,grado,sexo,situacion,evaluados,num_evaluados,total_evaluaciones,ultimo_acceso,nivel_acceso) VALUES (1422,'LICENCIATURA','andresenrique.encisogomez','112227','TOMAR DEL SND','ENCISO GOMEZ ANDRES ENRIQUE','INGENIERÍA AUTOMOTRIZ','3ro','MASCULINO','ACTIVO','',0,0,'','ALUMNO');</v>
      </c>
    </row>
    <row r="424" spans="1:12" ht="130.5" x14ac:dyDescent="0.35">
      <c r="A424" s="7">
        <v>1423</v>
      </c>
      <c r="B424" s="6" t="s">
        <v>5</v>
      </c>
      <c r="C424" t="s">
        <v>429</v>
      </c>
      <c r="D424" s="7" t="s">
        <v>1001</v>
      </c>
      <c r="E424" s="7" t="s">
        <v>1149</v>
      </c>
      <c r="F424" t="s">
        <v>1573</v>
      </c>
      <c r="G424" s="7" t="s">
        <v>1727</v>
      </c>
      <c r="H424" t="s">
        <v>1739</v>
      </c>
      <c r="I424" t="s">
        <v>1743</v>
      </c>
      <c r="J424" t="s">
        <v>1786</v>
      </c>
      <c r="K424" s="2" t="str">
        <f t="shared" si="13"/>
        <v>1423,'LICENCIATURA','santiago.calderongonzalez','112229','TOMAR DEL SND','CALDERON GONZALEZ SANTIAGO','ADMINISTRACION Y DIRECCION DE NEGOCIOS','3ro','MASCULINO','ACTIVO','',0,0,'','ALUMNO'</v>
      </c>
      <c r="L424" s="10" t="str">
        <f t="shared" si="12"/>
        <v>INSERT INTO participantes (id,nivel,correo,matricula,clave,nombre,carrera,grado,sexo,situacion,evaluados,num_evaluados,total_evaluaciones,ultimo_acceso,nivel_acceso) VALUES (1423,'LICENCIATURA','santiago.calderongonzalez','112229','TOMAR DEL SND','CALDERON GONZALEZ SANTIAGO','ADMINISTRACION Y DIRECCION DE NEGOCIOS','3ro','MASCULINO','ACTIVO','',0,0,'','ALUMNO');</v>
      </c>
    </row>
    <row r="425" spans="1:12" ht="130.5" x14ac:dyDescent="0.35">
      <c r="A425" s="7">
        <v>1424</v>
      </c>
      <c r="B425" s="6" t="s">
        <v>5</v>
      </c>
      <c r="C425" t="s">
        <v>430</v>
      </c>
      <c r="D425" s="7" t="s">
        <v>1002</v>
      </c>
      <c r="E425" s="7" t="s">
        <v>1149</v>
      </c>
      <c r="F425" t="s">
        <v>1574</v>
      </c>
      <c r="G425" s="7" t="s">
        <v>1725</v>
      </c>
      <c r="H425" t="s">
        <v>1739</v>
      </c>
      <c r="I425" t="s">
        <v>1744</v>
      </c>
      <c r="J425" t="s">
        <v>1786</v>
      </c>
      <c r="K425" s="2" t="str">
        <f t="shared" si="13"/>
        <v>1424,'LICENCIATURA','jessieestefania.martinezsalazar','112230','TOMAR DEL SND','MARTINEZ SALAZAR JESSIE ESTEFANIA','INGENIERIA AEROESPACIAL','3ro','FEMENINO','ACTIVO','',0,0,'','ALUMNO'</v>
      </c>
      <c r="L425" s="10" t="str">
        <f t="shared" si="12"/>
        <v>INSERT INTO participantes (id,nivel,correo,matricula,clave,nombre,carrera,grado,sexo,situacion,evaluados,num_evaluados,total_evaluaciones,ultimo_acceso,nivel_acceso) VALUES (1424,'LICENCIATURA','jessieestefania.martinezsalazar','112230','TOMAR DEL SND','MARTINEZ SALAZAR JESSIE ESTEFANIA','INGENIERIA AEROESPACIAL','3ro','FEMENINO','ACTIVO','',0,0,'','ALUMNO');</v>
      </c>
    </row>
    <row r="426" spans="1:12" ht="130.5" x14ac:dyDescent="0.35">
      <c r="A426" s="7">
        <v>1425</v>
      </c>
      <c r="B426" s="6" t="s">
        <v>5</v>
      </c>
      <c r="C426" t="s">
        <v>431</v>
      </c>
      <c r="D426" s="7" t="s">
        <v>1003</v>
      </c>
      <c r="E426" s="7" t="s">
        <v>1149</v>
      </c>
      <c r="F426" t="s">
        <v>1575</v>
      </c>
      <c r="G426" s="7" t="s">
        <v>1731</v>
      </c>
      <c r="H426" t="s">
        <v>1739</v>
      </c>
      <c r="I426" t="s">
        <v>1743</v>
      </c>
      <c r="J426" t="s">
        <v>1786</v>
      </c>
      <c r="K426" s="2" t="str">
        <f t="shared" si="13"/>
        <v>1425,'LICENCIATURA','diego.gonzalezsanchez','112232','TOMAR DEL SND','GONZALEZ SANCHEZ DIEGO','INGENIERÍA AUTOMOTRIZ','3ro','MASCULINO','ACTIVO','',0,0,'','ALUMNO'</v>
      </c>
      <c r="L426" s="10" t="str">
        <f t="shared" si="12"/>
        <v>INSERT INTO participantes (id,nivel,correo,matricula,clave,nombre,carrera,grado,sexo,situacion,evaluados,num_evaluados,total_evaluaciones,ultimo_acceso,nivel_acceso) VALUES (1425,'LICENCIATURA','diego.gonzalezsanchez','112232','TOMAR DEL SND','GONZALEZ SANCHEZ DIEGO','INGENIERÍA AUTOMOTRIZ','3ro','MASCULINO','ACTIVO','',0,0,'','ALUMNO');</v>
      </c>
    </row>
    <row r="427" spans="1:12" ht="130.5" x14ac:dyDescent="0.35">
      <c r="A427" s="7">
        <v>1426</v>
      </c>
      <c r="B427" s="6" t="s">
        <v>5</v>
      </c>
      <c r="C427" t="s">
        <v>432</v>
      </c>
      <c r="D427" s="7" t="s">
        <v>1004</v>
      </c>
      <c r="E427" s="7" t="s">
        <v>1149</v>
      </c>
      <c r="F427" t="s">
        <v>1576</v>
      </c>
      <c r="G427" s="7" t="s">
        <v>1731</v>
      </c>
      <c r="H427" t="s">
        <v>1739</v>
      </c>
      <c r="I427" t="s">
        <v>1743</v>
      </c>
      <c r="J427" t="s">
        <v>1786</v>
      </c>
      <c r="K427" s="2" t="str">
        <f t="shared" si="13"/>
        <v>1426,'LICENCIATURA','jorgesantana.sanchezramirez','112233','TOMAR DEL SND','SANCHEZ RAMIREZ JORGE SANTANA','INGENIERÍA AUTOMOTRIZ','3ro','MASCULINO','ACTIVO','',0,0,'','ALUMNO'</v>
      </c>
      <c r="L427" s="10" t="str">
        <f t="shared" si="12"/>
        <v>INSERT INTO participantes (id,nivel,correo,matricula,clave,nombre,carrera,grado,sexo,situacion,evaluados,num_evaluados,total_evaluaciones,ultimo_acceso,nivel_acceso) VALUES (1426,'LICENCIATURA','jorgesantana.sanchezramirez','112233','TOMAR DEL SND','SANCHEZ RAMIREZ JORGE SANTANA','INGENIERÍA AUTOMOTRIZ','3ro','MASCULINO','ACTIVO','',0,0,'','ALUMNO');</v>
      </c>
    </row>
    <row r="428" spans="1:12" ht="130.5" x14ac:dyDescent="0.35">
      <c r="A428" s="7">
        <v>1427</v>
      </c>
      <c r="B428" s="6" t="s">
        <v>5</v>
      </c>
      <c r="C428" t="s">
        <v>433</v>
      </c>
      <c r="D428" s="7" t="s">
        <v>1005</v>
      </c>
      <c r="E428" s="7" t="s">
        <v>1149</v>
      </c>
      <c r="F428" t="s">
        <v>1577</v>
      </c>
      <c r="G428" s="7" t="s">
        <v>1725</v>
      </c>
      <c r="H428" t="s">
        <v>1739</v>
      </c>
      <c r="I428" t="s">
        <v>1744</v>
      </c>
      <c r="J428" t="s">
        <v>1786</v>
      </c>
      <c r="K428" s="2" t="str">
        <f t="shared" si="13"/>
        <v>1427,'LICENCIATURA','nozomi.sakoda','112234','TOMAR DEL SND','SAKODA NOZOMI','INGENIERIA AEROESPACIAL','3ro','FEMENINO','ACTIVO','',0,0,'','ALUMNO'</v>
      </c>
      <c r="L428" s="10" t="str">
        <f t="shared" si="12"/>
        <v>INSERT INTO participantes (id,nivel,correo,matricula,clave,nombre,carrera,grado,sexo,situacion,evaluados,num_evaluados,total_evaluaciones,ultimo_acceso,nivel_acceso) VALUES (1427,'LICENCIATURA','nozomi.sakoda','112234','TOMAR DEL SND','SAKODA NOZOMI','INGENIERIA AEROESPACIAL','3ro','FEMENINO','ACTIVO','',0,0,'','ALUMNO');</v>
      </c>
    </row>
    <row r="429" spans="1:12" ht="130.5" x14ac:dyDescent="0.35">
      <c r="A429" s="7">
        <v>1428</v>
      </c>
      <c r="B429" s="6" t="s">
        <v>5</v>
      </c>
      <c r="C429" t="s">
        <v>434</v>
      </c>
      <c r="D429" s="7" t="s">
        <v>1006</v>
      </c>
      <c r="E429" s="7" t="s">
        <v>1149</v>
      </c>
      <c r="F429" t="s">
        <v>1578</v>
      </c>
      <c r="G429" s="7" t="s">
        <v>1725</v>
      </c>
      <c r="H429" t="s">
        <v>1739</v>
      </c>
      <c r="I429" t="s">
        <v>1743</v>
      </c>
      <c r="J429" t="s">
        <v>1786</v>
      </c>
      <c r="K429" s="2" t="str">
        <f t="shared" si="13"/>
        <v>1428,'LICENCIATURA','brunogael.lopezceballos','112235','TOMAR DEL SND','LOPEZ CEBALLOS BRUNO GAEL','INGENIERIA AEROESPACIAL','3ro','MASCULINO','ACTIVO','',0,0,'','ALUMNO'</v>
      </c>
      <c r="L429" s="10" t="str">
        <f t="shared" si="12"/>
        <v>INSERT INTO participantes (id,nivel,correo,matricula,clave,nombre,carrera,grado,sexo,situacion,evaluados,num_evaluados,total_evaluaciones,ultimo_acceso,nivel_acceso) VALUES (1428,'LICENCIATURA','brunogael.lopezceballos','112235','TOMAR DEL SND','LOPEZ CEBALLOS BRUNO GAEL','INGENIERIA AEROESPACIAL','3ro','MASCULINO','ACTIVO','',0,0,'','ALUMNO');</v>
      </c>
    </row>
    <row r="430" spans="1:12" ht="130.5" x14ac:dyDescent="0.35">
      <c r="A430" s="7">
        <v>1429</v>
      </c>
      <c r="B430" s="6" t="s">
        <v>5</v>
      </c>
      <c r="C430" t="s">
        <v>435</v>
      </c>
      <c r="D430" s="7" t="s">
        <v>1007</v>
      </c>
      <c r="E430" s="7" t="s">
        <v>1149</v>
      </c>
      <c r="F430" t="s">
        <v>1579</v>
      </c>
      <c r="G430" s="7" t="s">
        <v>1734</v>
      </c>
      <c r="H430" t="s">
        <v>1739</v>
      </c>
      <c r="I430" t="s">
        <v>1743</v>
      </c>
      <c r="J430" t="s">
        <v>1786</v>
      </c>
      <c r="K430" s="2" t="str">
        <f t="shared" si="13"/>
        <v>1429,'LICENCIATURA','miguelangel.nuñoarana','112236','TOMAR DEL SND','NUÑO ARANA MIGUEL ANGEL','INGENIERÍA EN INTELIGENCIA ARTIFICIAL','3ro','MASCULINO','ACTIVO','',0,0,'','ALUMNO'</v>
      </c>
      <c r="L430" s="10" t="str">
        <f t="shared" si="12"/>
        <v>INSERT INTO participantes (id,nivel,correo,matricula,clave,nombre,carrera,grado,sexo,situacion,evaluados,num_evaluados,total_evaluaciones,ultimo_acceso,nivel_acceso) VALUES (1429,'LICENCIATURA','miguelangel.nuñoarana','112236','TOMAR DEL SND','NUÑO ARANA MIGUEL ANGEL','INGENIERÍA EN INTELIGENCIA ARTIFICIAL','3ro','MASCULINO','ACTIVO','',0,0,'','ALUMNO');</v>
      </c>
    </row>
    <row r="431" spans="1:12" ht="130.5" x14ac:dyDescent="0.35">
      <c r="A431" s="7">
        <v>1430</v>
      </c>
      <c r="B431" s="6" t="s">
        <v>5</v>
      </c>
      <c r="C431" t="s">
        <v>436</v>
      </c>
      <c r="D431" s="7" t="s">
        <v>1008</v>
      </c>
      <c r="E431" s="7" t="s">
        <v>1149</v>
      </c>
      <c r="F431" t="s">
        <v>1580</v>
      </c>
      <c r="G431" s="7" t="s">
        <v>1731</v>
      </c>
      <c r="H431" t="s">
        <v>1739</v>
      </c>
      <c r="I431" t="s">
        <v>1744</v>
      </c>
      <c r="J431" t="s">
        <v>1786</v>
      </c>
      <c r="K431" s="2" t="str">
        <f t="shared" si="13"/>
        <v>1430,'LICENCIATURA','carolvanessa.camargocarmona','112237','TOMAR DEL SND','CAMARGO CARMONA CAROL VANESSA','INGENIERÍA AUTOMOTRIZ','3ro','FEMENINO','ACTIVO','',0,0,'','ALUMNO'</v>
      </c>
      <c r="L431" s="10" t="str">
        <f t="shared" si="12"/>
        <v>INSERT INTO participantes (id,nivel,correo,matricula,clave,nombre,carrera,grado,sexo,situacion,evaluados,num_evaluados,total_evaluaciones,ultimo_acceso,nivel_acceso) VALUES (1430,'LICENCIATURA','carolvanessa.camargocarmona','112237','TOMAR DEL SND','CAMARGO CARMONA CAROL VANESSA','INGENIERÍA AUTOMOTRIZ','3ro','FEMENINO','ACTIVO','',0,0,'','ALUMNO');</v>
      </c>
    </row>
    <row r="432" spans="1:12" ht="130.5" x14ac:dyDescent="0.35">
      <c r="A432" s="7">
        <v>1431</v>
      </c>
      <c r="B432" s="6" t="s">
        <v>5</v>
      </c>
      <c r="C432" t="s">
        <v>437</v>
      </c>
      <c r="D432" s="7" t="s">
        <v>1009</v>
      </c>
      <c r="E432" s="7" t="s">
        <v>1149</v>
      </c>
      <c r="F432" t="s">
        <v>1581</v>
      </c>
      <c r="G432" s="7" t="s">
        <v>1731</v>
      </c>
      <c r="H432" t="s">
        <v>1739</v>
      </c>
      <c r="I432" t="s">
        <v>1743</v>
      </c>
      <c r="J432" t="s">
        <v>1786</v>
      </c>
      <c r="K432" s="2" t="str">
        <f t="shared" si="13"/>
        <v>1431,'LICENCIATURA','javierisaias.avilaplascencia','112238','TOMAR DEL SND','AVILA PLASCENCIA JAVIER ISAIAS','INGENIERÍA AUTOMOTRIZ','3ro','MASCULINO','ACTIVO','',0,0,'','ALUMNO'</v>
      </c>
      <c r="L432" s="10" t="str">
        <f t="shared" si="12"/>
        <v>INSERT INTO participantes (id,nivel,correo,matricula,clave,nombre,carrera,grado,sexo,situacion,evaluados,num_evaluados,total_evaluaciones,ultimo_acceso,nivel_acceso) VALUES (1431,'LICENCIATURA','javierisaias.avilaplascencia','112238','TOMAR DEL SND','AVILA PLASCENCIA JAVIER ISAIAS','INGENIERÍA AUTOMOTRIZ','3ro','MASCULINO','ACTIVO','',0,0,'','ALUMNO');</v>
      </c>
    </row>
    <row r="433" spans="1:12" ht="130.5" x14ac:dyDescent="0.35">
      <c r="A433" s="7">
        <v>1432</v>
      </c>
      <c r="B433" s="6" t="s">
        <v>5</v>
      </c>
      <c r="C433" t="s">
        <v>438</v>
      </c>
      <c r="D433" s="7" t="s">
        <v>1010</v>
      </c>
      <c r="E433" s="7" t="s">
        <v>1149</v>
      </c>
      <c r="F433" t="s">
        <v>1582</v>
      </c>
      <c r="G433" s="7" t="s">
        <v>1725</v>
      </c>
      <c r="H433" t="s">
        <v>1739</v>
      </c>
      <c r="I433" t="s">
        <v>1743</v>
      </c>
      <c r="J433" t="s">
        <v>1786</v>
      </c>
      <c r="K433" s="2" t="str">
        <f t="shared" si="13"/>
        <v>1432,'LICENCIATURA','franco.ortizbarragan','112240','TOMAR DEL SND','ORTIZ BARRAGAN FRANCO','INGENIERIA AEROESPACIAL','3ro','MASCULINO','ACTIVO','',0,0,'','ALUMNO'</v>
      </c>
      <c r="L433" s="10" t="str">
        <f t="shared" si="12"/>
        <v>INSERT INTO participantes (id,nivel,correo,matricula,clave,nombre,carrera,grado,sexo,situacion,evaluados,num_evaluados,total_evaluaciones,ultimo_acceso,nivel_acceso) VALUES (1432,'LICENCIATURA','franco.ortizbarragan','112240','TOMAR DEL SND','ORTIZ BARRAGAN FRANCO','INGENIERIA AEROESPACIAL','3ro','MASCULINO','ACTIVO','',0,0,'','ALUMNO');</v>
      </c>
    </row>
    <row r="434" spans="1:12" ht="130.5" x14ac:dyDescent="0.35">
      <c r="A434" s="7">
        <v>1433</v>
      </c>
      <c r="B434" s="6" t="s">
        <v>5</v>
      </c>
      <c r="C434" t="s">
        <v>439</v>
      </c>
      <c r="D434" s="7" t="s">
        <v>1011</v>
      </c>
      <c r="E434" s="7" t="s">
        <v>1149</v>
      </c>
      <c r="F434" t="s">
        <v>1583</v>
      </c>
      <c r="G434" s="7" t="s">
        <v>1724</v>
      </c>
      <c r="H434" t="s">
        <v>1739</v>
      </c>
      <c r="I434" t="s">
        <v>1744</v>
      </c>
      <c r="J434" t="s">
        <v>1786</v>
      </c>
      <c r="K434" s="2" t="str">
        <f t="shared" si="13"/>
        <v>1433,'LICENCIATURA','daniela.ruizlopez','112241','TOMAR DEL SND','RUIZ LOPEZ DANIELA','NUTRICION Y GASTRONOMIA','3ro','FEMENINO','ACTIVO','',0,0,'','ALUMNO'</v>
      </c>
      <c r="L434" s="10" t="str">
        <f t="shared" si="12"/>
        <v>INSERT INTO participantes (id,nivel,correo,matricula,clave,nombre,carrera,grado,sexo,situacion,evaluados,num_evaluados,total_evaluaciones,ultimo_acceso,nivel_acceso) VALUES (1433,'LICENCIATURA','daniela.ruizlopez','112241','TOMAR DEL SND','RUIZ LOPEZ DANIELA','NUTRICION Y GASTRONOMIA','3ro','FEMENINO','ACTIVO','',0,0,'','ALUMNO');</v>
      </c>
    </row>
    <row r="435" spans="1:12" ht="130.5" x14ac:dyDescent="0.35">
      <c r="A435" s="7">
        <v>1434</v>
      </c>
      <c r="B435" s="6" t="s">
        <v>5</v>
      </c>
      <c r="C435" t="s">
        <v>440</v>
      </c>
      <c r="D435" s="7" t="s">
        <v>1012</v>
      </c>
      <c r="E435" s="7" t="s">
        <v>1149</v>
      </c>
      <c r="F435" t="s">
        <v>1584</v>
      </c>
      <c r="G435" s="7" t="s">
        <v>1731</v>
      </c>
      <c r="H435" t="s">
        <v>1739</v>
      </c>
      <c r="I435" t="s">
        <v>1743</v>
      </c>
      <c r="J435" t="s">
        <v>1786</v>
      </c>
      <c r="K435" s="2" t="str">
        <f t="shared" si="13"/>
        <v>1434,'LICENCIATURA','juanpablo.gomezgomez','112242','TOMAR DEL SND','GOMEZ GOMEZ JUAN PABLO','INGENIERÍA AUTOMOTRIZ','3ro','MASCULINO','ACTIVO','',0,0,'','ALUMNO'</v>
      </c>
      <c r="L435" s="10" t="str">
        <f t="shared" si="12"/>
        <v>INSERT INTO participantes (id,nivel,correo,matricula,clave,nombre,carrera,grado,sexo,situacion,evaluados,num_evaluados,total_evaluaciones,ultimo_acceso,nivel_acceso) VALUES (1434,'LICENCIATURA','juanpablo.gomezgomez','112242','TOMAR DEL SND','GOMEZ GOMEZ JUAN PABLO','INGENIERÍA AUTOMOTRIZ','3ro','MASCULINO','ACTIVO','',0,0,'','ALUMNO');</v>
      </c>
    </row>
    <row r="436" spans="1:12" ht="130.5" x14ac:dyDescent="0.35">
      <c r="A436" s="7">
        <v>1435</v>
      </c>
      <c r="B436" s="6" t="s">
        <v>5</v>
      </c>
      <c r="C436" t="s">
        <v>441</v>
      </c>
      <c r="D436" s="7" t="s">
        <v>1013</v>
      </c>
      <c r="E436" s="7" t="s">
        <v>1149</v>
      </c>
      <c r="F436" t="s">
        <v>1585</v>
      </c>
      <c r="G436" s="7" t="s">
        <v>1731</v>
      </c>
      <c r="H436" t="s">
        <v>1739</v>
      </c>
      <c r="I436" t="s">
        <v>1743</v>
      </c>
      <c r="J436" t="s">
        <v>1786</v>
      </c>
      <c r="K436" s="2" t="str">
        <f t="shared" si="13"/>
        <v>1435,'LICENCIATURA','cesaralejandro.romeromanzano','112244','TOMAR DEL SND','ROMERO MANZANO CESAR ALEJANDRO','INGENIERÍA AUTOMOTRIZ','3ro','MASCULINO','ACTIVO','',0,0,'','ALUMNO'</v>
      </c>
      <c r="L436" s="10" t="str">
        <f t="shared" si="12"/>
        <v>INSERT INTO participantes (id,nivel,correo,matricula,clave,nombre,carrera,grado,sexo,situacion,evaluados,num_evaluados,total_evaluaciones,ultimo_acceso,nivel_acceso) VALUES (1435,'LICENCIATURA','cesaralejandro.romeromanzano','112244','TOMAR DEL SND','ROMERO MANZANO CESAR ALEJANDRO','INGENIERÍA AUTOMOTRIZ','3ro','MASCULINO','ACTIVO','',0,0,'','ALUMNO');</v>
      </c>
    </row>
    <row r="437" spans="1:12" ht="130.5" x14ac:dyDescent="0.35">
      <c r="A437" s="7">
        <v>1436</v>
      </c>
      <c r="B437" s="6" t="s">
        <v>5</v>
      </c>
      <c r="C437" t="s">
        <v>442</v>
      </c>
      <c r="D437" s="7" t="s">
        <v>1014</v>
      </c>
      <c r="E437" s="7" t="s">
        <v>1149</v>
      </c>
      <c r="F437" t="s">
        <v>1586</v>
      </c>
      <c r="G437" s="7" t="s">
        <v>1731</v>
      </c>
      <c r="H437" t="s">
        <v>1739</v>
      </c>
      <c r="I437" t="s">
        <v>1743</v>
      </c>
      <c r="J437" t="s">
        <v>1786</v>
      </c>
      <c r="K437" s="2" t="str">
        <f t="shared" si="13"/>
        <v>1436,'LICENCIATURA','omar.rioslara','112245','TOMAR DEL SND','RIOS LARA OMAR','INGENIERÍA AUTOMOTRIZ','3ro','MASCULINO','ACTIVO','',0,0,'','ALUMNO'</v>
      </c>
      <c r="L437" s="10" t="str">
        <f t="shared" si="12"/>
        <v>INSERT INTO participantes (id,nivel,correo,matricula,clave,nombre,carrera,grado,sexo,situacion,evaluados,num_evaluados,total_evaluaciones,ultimo_acceso,nivel_acceso) VALUES (1436,'LICENCIATURA','omar.rioslara','112245','TOMAR DEL SND','RIOS LARA OMAR','INGENIERÍA AUTOMOTRIZ','3ro','MASCULINO','ACTIVO','',0,0,'','ALUMNO');</v>
      </c>
    </row>
    <row r="438" spans="1:12" ht="130.5" x14ac:dyDescent="0.35">
      <c r="A438" s="7">
        <v>1437</v>
      </c>
      <c r="B438" s="6" t="s">
        <v>5</v>
      </c>
      <c r="C438" t="s">
        <v>443</v>
      </c>
      <c r="D438" s="7" t="s">
        <v>1015</v>
      </c>
      <c r="E438" s="7" t="s">
        <v>1149</v>
      </c>
      <c r="F438" t="s">
        <v>1587</v>
      </c>
      <c r="G438" s="7" t="s">
        <v>1729</v>
      </c>
      <c r="H438" t="s">
        <v>1739</v>
      </c>
      <c r="I438" t="s">
        <v>1743</v>
      </c>
      <c r="J438" t="s">
        <v>1786</v>
      </c>
      <c r="K438" s="2" t="str">
        <f t="shared" si="13"/>
        <v>1437,'LICENCIATURA','danielenrique.villalobosgarcia','112246','TOMAR DEL SND','VILLALOBOS GARCIA DANIEL ENRIQUE','ARQUITECTURA','3ro','MASCULINO','ACTIVO','',0,0,'','ALUMNO'</v>
      </c>
      <c r="L438" s="10" t="str">
        <f t="shared" si="12"/>
        <v>INSERT INTO participantes (id,nivel,correo,matricula,clave,nombre,carrera,grado,sexo,situacion,evaluados,num_evaluados,total_evaluaciones,ultimo_acceso,nivel_acceso) VALUES (1437,'LICENCIATURA','danielenrique.villalobosgarcia','112246','TOMAR DEL SND','VILLALOBOS GARCIA DANIEL ENRIQUE','ARQUITECTURA','3ro','MASCULINO','ACTIVO','',0,0,'','ALUMNO');</v>
      </c>
    </row>
    <row r="439" spans="1:12" ht="130.5" x14ac:dyDescent="0.35">
      <c r="A439" s="7">
        <v>1438</v>
      </c>
      <c r="B439" s="6" t="s">
        <v>5</v>
      </c>
      <c r="C439" t="s">
        <v>444</v>
      </c>
      <c r="D439" s="7" t="s">
        <v>1016</v>
      </c>
      <c r="E439" s="7" t="s">
        <v>1149</v>
      </c>
      <c r="F439" t="s">
        <v>1588</v>
      </c>
      <c r="G439" s="7" t="s">
        <v>1725</v>
      </c>
      <c r="H439" t="s">
        <v>1739</v>
      </c>
      <c r="I439" t="s">
        <v>1743</v>
      </c>
      <c r="J439" t="s">
        <v>1786</v>
      </c>
      <c r="K439" s="2" t="str">
        <f t="shared" si="13"/>
        <v>1438,'LICENCIATURA','gustavokalen.juradoperez','112247','TOMAR DEL SND','JURADO PEREZ GUSTAVO KALEN','INGENIERIA AEROESPACIAL','3ro','MASCULINO','ACTIVO','',0,0,'','ALUMNO'</v>
      </c>
      <c r="L439" s="10" t="str">
        <f t="shared" si="12"/>
        <v>INSERT INTO participantes (id,nivel,correo,matricula,clave,nombre,carrera,grado,sexo,situacion,evaluados,num_evaluados,total_evaluaciones,ultimo_acceso,nivel_acceso) VALUES (1438,'LICENCIATURA','gustavokalen.juradoperez','112247','TOMAR DEL SND','JURADO PEREZ GUSTAVO KALEN','INGENIERIA AEROESPACIAL','3ro','MASCULINO','ACTIVO','',0,0,'','ALUMNO');</v>
      </c>
    </row>
    <row r="440" spans="1:12" ht="130.5" x14ac:dyDescent="0.35">
      <c r="A440" s="7">
        <v>1439</v>
      </c>
      <c r="B440" s="6" t="s">
        <v>5</v>
      </c>
      <c r="C440" t="s">
        <v>445</v>
      </c>
      <c r="D440" s="7" t="s">
        <v>1017</v>
      </c>
      <c r="E440" s="7" t="s">
        <v>1149</v>
      </c>
      <c r="F440" t="s">
        <v>1589</v>
      </c>
      <c r="G440" s="7" t="s">
        <v>1725</v>
      </c>
      <c r="H440" t="s">
        <v>1739</v>
      </c>
      <c r="I440" t="s">
        <v>1744</v>
      </c>
      <c r="J440" t="s">
        <v>1786</v>
      </c>
      <c r="K440" s="2" t="str">
        <f t="shared" si="13"/>
        <v>1439,'LICENCIATURA','camilla.zepedajimenez','112248','TOMAR DEL SND','ZEPEDA JIMENEZ CAMILLA','INGENIERIA AEROESPACIAL','3ro','FEMENINO','ACTIVO','',0,0,'','ALUMNO'</v>
      </c>
      <c r="L440" s="10" t="str">
        <f t="shared" si="12"/>
        <v>INSERT INTO participantes (id,nivel,correo,matricula,clave,nombre,carrera,grado,sexo,situacion,evaluados,num_evaluados,total_evaluaciones,ultimo_acceso,nivel_acceso) VALUES (1439,'LICENCIATURA','camilla.zepedajimenez','112248','TOMAR DEL SND','ZEPEDA JIMENEZ CAMILLA','INGENIERIA AEROESPACIAL','3ro','FEMENINO','ACTIVO','',0,0,'','ALUMNO');</v>
      </c>
    </row>
    <row r="441" spans="1:12" ht="130.5" x14ac:dyDescent="0.35">
      <c r="A441" s="7">
        <v>1440</v>
      </c>
      <c r="B441" s="6" t="s">
        <v>5</v>
      </c>
      <c r="C441" t="s">
        <v>446</v>
      </c>
      <c r="D441" s="7" t="s">
        <v>1018</v>
      </c>
      <c r="E441" s="7" t="s">
        <v>1149</v>
      </c>
      <c r="F441" t="s">
        <v>1590</v>
      </c>
      <c r="G441" s="7" t="s">
        <v>1726</v>
      </c>
      <c r="H441" t="s">
        <v>1739</v>
      </c>
      <c r="I441" t="s">
        <v>1744</v>
      </c>
      <c r="J441" t="s">
        <v>1786</v>
      </c>
      <c r="K441" s="2" t="str">
        <f t="shared" si="13"/>
        <v>1440,'LICENCIATURA','yocelinyazmin.ruizgonzalez','112249','TOMAR DEL SND','RUIZ GONZALEZ YOCELIN YAZMIN','PSICOLOGIA','3ro','FEMENINO','ACTIVO','',0,0,'','ALUMNO'</v>
      </c>
      <c r="L441" s="10" t="str">
        <f t="shared" si="12"/>
        <v>INSERT INTO participantes (id,nivel,correo,matricula,clave,nombre,carrera,grado,sexo,situacion,evaluados,num_evaluados,total_evaluaciones,ultimo_acceso,nivel_acceso) VALUES (1440,'LICENCIATURA','yocelinyazmin.ruizgonzalez','112249','TOMAR DEL SND','RUIZ GONZALEZ YOCELIN YAZMIN','PSICOLOGIA','3ro','FEMENINO','ACTIVO','',0,0,'','ALUMNO');</v>
      </c>
    </row>
    <row r="442" spans="1:12" ht="130.5" x14ac:dyDescent="0.35">
      <c r="A442" s="7">
        <v>1441</v>
      </c>
      <c r="B442" s="6" t="s">
        <v>5</v>
      </c>
      <c r="C442" t="s">
        <v>447</v>
      </c>
      <c r="D442" s="7" t="s">
        <v>1019</v>
      </c>
      <c r="E442" s="7" t="s">
        <v>1149</v>
      </c>
      <c r="F442" t="s">
        <v>1591</v>
      </c>
      <c r="G442" s="7" t="s">
        <v>1730</v>
      </c>
      <c r="H442" t="s">
        <v>1739</v>
      </c>
      <c r="I442" t="s">
        <v>1743</v>
      </c>
      <c r="J442" t="s">
        <v>1786</v>
      </c>
      <c r="K442" s="2" t="str">
        <f t="shared" si="13"/>
        <v>1441,'LICENCIATURA','miguelangelsnayder.ruizgamarra','112251','TOMAR DEL SND','RUIZ GAMARRA MIGUEL ANGEL SNAYDER','ANIMACION DIGITAL Y VIDEOJUEGOS','3ro','MASCULINO','ACTIVO','',0,0,'','ALUMNO'</v>
      </c>
      <c r="L442" s="10" t="str">
        <f t="shared" si="12"/>
        <v>INSERT INTO participantes (id,nivel,correo,matricula,clave,nombre,carrera,grado,sexo,situacion,evaluados,num_evaluados,total_evaluaciones,ultimo_acceso,nivel_acceso) VALUES (1441,'LICENCIATURA','miguelangelsnayder.ruizgamarra','112251','TOMAR DEL SND','RUIZ GAMARRA MIGUEL ANGEL SNAYDER','ANIMACION DIGITAL Y VIDEOJUEGOS','3ro','MASCULINO','ACTIVO','',0,0,'','ALUMNO');</v>
      </c>
    </row>
    <row r="443" spans="1:12" ht="130.5" x14ac:dyDescent="0.35">
      <c r="A443" s="7">
        <v>1442</v>
      </c>
      <c r="B443" s="6" t="s">
        <v>5</v>
      </c>
      <c r="C443" t="s">
        <v>448</v>
      </c>
      <c r="D443" s="7" t="s">
        <v>1020</v>
      </c>
      <c r="E443" s="7" t="s">
        <v>1149</v>
      </c>
      <c r="F443" t="s">
        <v>1592</v>
      </c>
      <c r="G443" s="7" t="s">
        <v>1725</v>
      </c>
      <c r="H443" t="s">
        <v>1739</v>
      </c>
      <c r="I443" t="s">
        <v>1743</v>
      </c>
      <c r="J443" t="s">
        <v>1786</v>
      </c>
      <c r="K443" s="2" t="str">
        <f t="shared" si="13"/>
        <v>1442,'LICENCIATURA','grahamantonio.muñozherrera','112252','TOMAR DEL SND','MUÑOZ HERRERA GRAHAM ANTONIO','INGENIERIA AEROESPACIAL','3ro','MASCULINO','ACTIVO','',0,0,'','ALUMNO'</v>
      </c>
      <c r="L443" s="10" t="str">
        <f t="shared" si="12"/>
        <v>INSERT INTO participantes (id,nivel,correo,matricula,clave,nombre,carrera,grado,sexo,situacion,evaluados,num_evaluados,total_evaluaciones,ultimo_acceso,nivel_acceso) VALUES (1442,'LICENCIATURA','grahamantonio.muñozherrera','112252','TOMAR DEL SND','MUÑOZ HERRERA GRAHAM ANTONIO','INGENIERIA AEROESPACIAL','3ro','MASCULINO','ACTIVO','',0,0,'','ALUMNO');</v>
      </c>
    </row>
    <row r="444" spans="1:12" ht="130.5" x14ac:dyDescent="0.35">
      <c r="A444" s="7">
        <v>1443</v>
      </c>
      <c r="B444" s="6" t="s">
        <v>5</v>
      </c>
      <c r="C444" t="s">
        <v>449</v>
      </c>
      <c r="D444" s="7" t="s">
        <v>1021</v>
      </c>
      <c r="E444" s="7" t="s">
        <v>1149</v>
      </c>
      <c r="F444" t="s">
        <v>1593</v>
      </c>
      <c r="G444" s="7" t="s">
        <v>1725</v>
      </c>
      <c r="H444" t="s">
        <v>1739</v>
      </c>
      <c r="I444" t="s">
        <v>1743</v>
      </c>
      <c r="J444" t="s">
        <v>1786</v>
      </c>
      <c r="K444" s="2" t="str">
        <f t="shared" si="13"/>
        <v>1443,'LICENCIATURA','jesusemmanuel.cardenasortiz','112253','TOMAR DEL SND','CARDENAS ORTIZ JESUS EMMANUEL','INGENIERIA AEROESPACIAL','3ro','MASCULINO','ACTIVO','',0,0,'','ALUMNO'</v>
      </c>
      <c r="L444" s="10" t="str">
        <f t="shared" si="12"/>
        <v>INSERT INTO participantes (id,nivel,correo,matricula,clave,nombre,carrera,grado,sexo,situacion,evaluados,num_evaluados,total_evaluaciones,ultimo_acceso,nivel_acceso) VALUES (1443,'LICENCIATURA','jesusemmanuel.cardenasortiz','112253','TOMAR DEL SND','CARDENAS ORTIZ JESUS EMMANUEL','INGENIERIA AEROESPACIAL','3ro','MASCULINO','ACTIVO','',0,0,'','ALUMNO');</v>
      </c>
    </row>
    <row r="445" spans="1:12" ht="130.5" x14ac:dyDescent="0.35">
      <c r="A445" s="7">
        <v>1444</v>
      </c>
      <c r="B445" s="6" t="s">
        <v>5</v>
      </c>
      <c r="C445" t="s">
        <v>450</v>
      </c>
      <c r="D445" s="7" t="s">
        <v>1022</v>
      </c>
      <c r="E445" s="7" t="s">
        <v>1149</v>
      </c>
      <c r="F445" t="s">
        <v>1594</v>
      </c>
      <c r="G445" s="7" t="s">
        <v>1725</v>
      </c>
      <c r="H445" t="s">
        <v>1739</v>
      </c>
      <c r="I445" t="s">
        <v>1744</v>
      </c>
      <c r="J445" t="s">
        <v>1786</v>
      </c>
      <c r="K445" s="2" t="str">
        <f t="shared" si="13"/>
        <v>1444,'LICENCIATURA','valeria.saldañavargas','112254','TOMAR DEL SND','SALDAÑA VARGAS VALERIA','INGENIERIA AEROESPACIAL','3ro','FEMENINO','ACTIVO','',0,0,'','ALUMNO'</v>
      </c>
      <c r="L445" s="10" t="str">
        <f t="shared" si="12"/>
        <v>INSERT INTO participantes (id,nivel,correo,matricula,clave,nombre,carrera,grado,sexo,situacion,evaluados,num_evaluados,total_evaluaciones,ultimo_acceso,nivel_acceso) VALUES (1444,'LICENCIATURA','valeria.saldañavargas','112254','TOMAR DEL SND','SALDAÑA VARGAS VALERIA','INGENIERIA AEROESPACIAL','3ro','FEMENINO','ACTIVO','',0,0,'','ALUMNO');</v>
      </c>
    </row>
    <row r="446" spans="1:12" ht="130.5" x14ac:dyDescent="0.35">
      <c r="A446" s="7">
        <v>1445</v>
      </c>
      <c r="B446" s="6" t="s">
        <v>5</v>
      </c>
      <c r="C446" t="s">
        <v>451</v>
      </c>
      <c r="D446" s="7" t="s">
        <v>1023</v>
      </c>
      <c r="E446" s="7" t="s">
        <v>1149</v>
      </c>
      <c r="F446" t="s">
        <v>1595</v>
      </c>
      <c r="G446" s="7" t="s">
        <v>1729</v>
      </c>
      <c r="H446" t="s">
        <v>1739</v>
      </c>
      <c r="I446" t="s">
        <v>1744</v>
      </c>
      <c r="J446" t="s">
        <v>1786</v>
      </c>
      <c r="K446" s="2" t="str">
        <f t="shared" si="13"/>
        <v>1445,'LICENCIATURA','renata.barbosacuevas','112255','TOMAR DEL SND','BARBOSA CUEVAS RENATA','ARQUITECTURA','3ro','FEMENINO','ACTIVO','',0,0,'','ALUMNO'</v>
      </c>
      <c r="L446" s="10" t="str">
        <f t="shared" si="12"/>
        <v>INSERT INTO participantes (id,nivel,correo,matricula,clave,nombre,carrera,grado,sexo,situacion,evaluados,num_evaluados,total_evaluaciones,ultimo_acceso,nivel_acceso) VALUES (1445,'LICENCIATURA','renata.barbosacuevas','112255','TOMAR DEL SND','BARBOSA CUEVAS RENATA','ARQUITECTURA','3ro','FEMENINO','ACTIVO','',0,0,'','ALUMNO');</v>
      </c>
    </row>
    <row r="447" spans="1:12" ht="130.5" x14ac:dyDescent="0.35">
      <c r="A447" s="7">
        <v>1446</v>
      </c>
      <c r="B447" s="6" t="s">
        <v>5</v>
      </c>
      <c r="C447" t="s">
        <v>452</v>
      </c>
      <c r="D447" s="7" t="s">
        <v>1024</v>
      </c>
      <c r="E447" s="7" t="s">
        <v>1149</v>
      </c>
      <c r="F447" t="s">
        <v>1596</v>
      </c>
      <c r="G447" s="7" t="s">
        <v>1734</v>
      </c>
      <c r="H447" t="s">
        <v>1739</v>
      </c>
      <c r="I447" t="s">
        <v>1743</v>
      </c>
      <c r="J447" t="s">
        <v>1786</v>
      </c>
      <c r="K447" s="2" t="str">
        <f t="shared" si="13"/>
        <v>1446,'LICENCIATURA','robertoemmanuel.zamorasalazar','112256','TOMAR DEL SND','ZAMORA SALAZAR ROBERTO EMMANUEL','INGENIERÍA EN INTELIGENCIA ARTIFICIAL','3ro','MASCULINO','ACTIVO','',0,0,'','ALUMNO'</v>
      </c>
      <c r="L447" s="10" t="str">
        <f t="shared" si="12"/>
        <v>INSERT INTO participantes (id,nivel,correo,matricula,clave,nombre,carrera,grado,sexo,situacion,evaluados,num_evaluados,total_evaluaciones,ultimo_acceso,nivel_acceso) VALUES (1446,'LICENCIATURA','robertoemmanuel.zamorasalazar','112256','TOMAR DEL SND','ZAMORA SALAZAR ROBERTO EMMANUEL','INGENIERÍA EN INTELIGENCIA ARTIFICIAL','3ro','MASCULINO','ACTIVO','',0,0,'','ALUMNO');</v>
      </c>
    </row>
    <row r="448" spans="1:12" ht="130.5" x14ac:dyDescent="0.35">
      <c r="A448" s="7">
        <v>1447</v>
      </c>
      <c r="B448" s="6" t="s">
        <v>5</v>
      </c>
      <c r="C448" t="s">
        <v>453</v>
      </c>
      <c r="D448" s="7" t="s">
        <v>1025</v>
      </c>
      <c r="E448" s="7" t="s">
        <v>1149</v>
      </c>
      <c r="F448" t="s">
        <v>1597</v>
      </c>
      <c r="G448" s="7" t="s">
        <v>1731</v>
      </c>
      <c r="H448" t="s">
        <v>1739</v>
      </c>
      <c r="I448" t="s">
        <v>1743</v>
      </c>
      <c r="J448" t="s">
        <v>1786</v>
      </c>
      <c r="K448" s="2" t="str">
        <f t="shared" si="13"/>
        <v>1447,'LICENCIATURA','cesarismael.cabreraavila','112257','TOMAR DEL SND','CABRERA AVILA CESAR ISMAEL','INGENIERÍA AUTOMOTRIZ','3ro','MASCULINO','ACTIVO','',0,0,'','ALUMNO'</v>
      </c>
      <c r="L448" s="10" t="str">
        <f t="shared" si="12"/>
        <v>INSERT INTO participantes (id,nivel,correo,matricula,clave,nombre,carrera,grado,sexo,situacion,evaluados,num_evaluados,total_evaluaciones,ultimo_acceso,nivel_acceso) VALUES (1447,'LICENCIATURA','cesarismael.cabreraavila','112257','TOMAR DEL SND','CABRERA AVILA CESAR ISMAEL','INGENIERÍA AUTOMOTRIZ','3ro','MASCULINO','ACTIVO','',0,0,'','ALUMNO');</v>
      </c>
    </row>
    <row r="449" spans="1:12" ht="130.5" x14ac:dyDescent="0.35">
      <c r="A449" s="7">
        <v>1448</v>
      </c>
      <c r="B449" s="6" t="s">
        <v>5</v>
      </c>
      <c r="C449" t="s">
        <v>454</v>
      </c>
      <c r="D449" s="7" t="s">
        <v>1026</v>
      </c>
      <c r="E449" s="7" t="s">
        <v>1149</v>
      </c>
      <c r="F449" t="s">
        <v>1598</v>
      </c>
      <c r="G449" s="7" t="s">
        <v>1731</v>
      </c>
      <c r="H449" t="s">
        <v>1739</v>
      </c>
      <c r="I449" t="s">
        <v>1743</v>
      </c>
      <c r="J449" t="s">
        <v>1786</v>
      </c>
      <c r="K449" s="2" t="str">
        <f t="shared" si="13"/>
        <v>1448,'LICENCIATURA','brandocristopher.arellanolopez','112258','TOMAR DEL SND','ARELLANO LOPEZ BRANDO CRISTOPHER','INGENIERÍA AUTOMOTRIZ','3ro','MASCULINO','ACTIVO','',0,0,'','ALUMNO'</v>
      </c>
      <c r="L449" s="10" t="str">
        <f t="shared" si="12"/>
        <v>INSERT INTO participantes (id,nivel,correo,matricula,clave,nombre,carrera,grado,sexo,situacion,evaluados,num_evaluados,total_evaluaciones,ultimo_acceso,nivel_acceso) VALUES (1448,'LICENCIATURA','brandocristopher.arellanolopez','112258','TOMAR DEL SND','ARELLANO LOPEZ BRANDO CRISTOPHER','INGENIERÍA AUTOMOTRIZ','3ro','MASCULINO','ACTIVO','',0,0,'','ALUMNO');</v>
      </c>
    </row>
    <row r="450" spans="1:12" ht="130.5" x14ac:dyDescent="0.35">
      <c r="A450" s="7">
        <v>1449</v>
      </c>
      <c r="B450" s="6" t="s">
        <v>5</v>
      </c>
      <c r="C450" t="s">
        <v>455</v>
      </c>
      <c r="D450" s="7" t="s">
        <v>1027</v>
      </c>
      <c r="E450" s="7" t="s">
        <v>1149</v>
      </c>
      <c r="F450" t="s">
        <v>1599</v>
      </c>
      <c r="G450" s="7" t="s">
        <v>1726</v>
      </c>
      <c r="H450" t="s">
        <v>1739</v>
      </c>
      <c r="I450" t="s">
        <v>1744</v>
      </c>
      <c r="J450" t="s">
        <v>1786</v>
      </c>
      <c r="K450" s="2" t="str">
        <f t="shared" si="13"/>
        <v>1449,'LICENCIATURA','zarapaulina.carranzalespron','112259','TOMAR DEL SND','CARRANZA LESPRON ZARA PAULINA','PSICOLOGIA','3ro','FEMENINO','ACTIVO','',0,0,'','ALUMNO'</v>
      </c>
      <c r="L450" s="10" t="str">
        <f t="shared" ref="L450:L513" si="14">CONCATENATE($K$1,K450,");")</f>
        <v>INSERT INTO participantes (id,nivel,correo,matricula,clave,nombre,carrera,grado,sexo,situacion,evaluados,num_evaluados,total_evaluaciones,ultimo_acceso,nivel_acceso) VALUES (1449,'LICENCIATURA','zarapaulina.carranzalespron','112259','TOMAR DEL SND','CARRANZA LESPRON ZARA PAULINA','PSICOLOGIA','3ro','FEMENINO','ACTIVO','',0,0,'','ALUMNO');</v>
      </c>
    </row>
    <row r="451" spans="1:12" ht="130.5" x14ac:dyDescent="0.35">
      <c r="A451" s="7">
        <v>1450</v>
      </c>
      <c r="B451" s="6" t="s">
        <v>5</v>
      </c>
      <c r="C451" t="s">
        <v>456</v>
      </c>
      <c r="D451" s="7" t="s">
        <v>1028</v>
      </c>
      <c r="E451" s="7" t="s">
        <v>1149</v>
      </c>
      <c r="F451" t="s">
        <v>1600</v>
      </c>
      <c r="G451" s="7" t="s">
        <v>1731</v>
      </c>
      <c r="H451" t="s">
        <v>1739</v>
      </c>
      <c r="I451" t="s">
        <v>1743</v>
      </c>
      <c r="J451" t="s">
        <v>1786</v>
      </c>
      <c r="K451" s="2" t="str">
        <f t="shared" ref="K451:K514" si="15">CONCATENATE(A451,",'",B451,"','",C451,"','",D451,"','",E451,"','",F451,"','",G451,"','",H451,"','",UPPER(I451),"','",UPPER(J451),"','',0,0,'','ALUMNO'")</f>
        <v>1450,'LICENCIATURA','oscaruriel.velezreynoso','112261','TOMAR DEL SND','VELEZ REYNOSO OSCAR URIEL','INGENIERÍA AUTOMOTRIZ','3ro','MASCULINO','ACTIVO','',0,0,'','ALUMNO'</v>
      </c>
      <c r="L451" s="10" t="str">
        <f t="shared" si="14"/>
        <v>INSERT INTO participantes (id,nivel,correo,matricula,clave,nombre,carrera,grado,sexo,situacion,evaluados,num_evaluados,total_evaluaciones,ultimo_acceso,nivel_acceso) VALUES (1450,'LICENCIATURA','oscaruriel.velezreynoso','112261','TOMAR DEL SND','VELEZ REYNOSO OSCAR URIEL','INGENIERÍA AUTOMOTRIZ','3ro','MASCULINO','ACTIVO','',0,0,'','ALUMNO');</v>
      </c>
    </row>
    <row r="452" spans="1:12" ht="130.5" x14ac:dyDescent="0.35">
      <c r="A452" s="7">
        <v>1451</v>
      </c>
      <c r="B452" s="6" t="s">
        <v>5</v>
      </c>
      <c r="C452" t="s">
        <v>457</v>
      </c>
      <c r="D452" s="7" t="s">
        <v>1029</v>
      </c>
      <c r="E452" s="7" t="s">
        <v>1149</v>
      </c>
      <c r="F452" t="s">
        <v>1601</v>
      </c>
      <c r="G452" s="7" t="s">
        <v>1729</v>
      </c>
      <c r="H452" t="s">
        <v>1739</v>
      </c>
      <c r="I452" t="s">
        <v>1744</v>
      </c>
      <c r="J452" t="s">
        <v>1786</v>
      </c>
      <c r="K452" s="2" t="str">
        <f t="shared" si="15"/>
        <v>1451,'LICENCIATURA','fatimamarisol.revelesgutierrez','112262','TOMAR DEL SND','REVELES GUTIERREZ FATIMA MARISOL','ARQUITECTURA','3ro','FEMENINO','ACTIVO','',0,0,'','ALUMNO'</v>
      </c>
      <c r="L452" s="10" t="str">
        <f t="shared" si="14"/>
        <v>INSERT INTO participantes (id,nivel,correo,matricula,clave,nombre,carrera,grado,sexo,situacion,evaluados,num_evaluados,total_evaluaciones,ultimo_acceso,nivel_acceso) VALUES (1451,'LICENCIATURA','fatimamarisol.revelesgutierrez','112262','TOMAR DEL SND','REVELES GUTIERREZ FATIMA MARISOL','ARQUITECTURA','3ro','FEMENINO','ACTIVO','',0,0,'','ALUMNO');</v>
      </c>
    </row>
    <row r="453" spans="1:12" ht="130.5" x14ac:dyDescent="0.35">
      <c r="A453" s="7">
        <v>1452</v>
      </c>
      <c r="B453" s="6" t="s">
        <v>5</v>
      </c>
      <c r="C453" t="s">
        <v>458</v>
      </c>
      <c r="D453" s="7" t="s">
        <v>1030</v>
      </c>
      <c r="E453" s="7" t="s">
        <v>1149</v>
      </c>
      <c r="F453" t="s">
        <v>1602</v>
      </c>
      <c r="G453" s="7" t="s">
        <v>1729</v>
      </c>
      <c r="H453" t="s">
        <v>1739</v>
      </c>
      <c r="I453" t="s">
        <v>1744</v>
      </c>
      <c r="J453" t="s">
        <v>1786</v>
      </c>
      <c r="K453" s="2" t="str">
        <f t="shared" si="15"/>
        <v>1452,'LICENCIATURA','eliasofia.acevesbarragan','112264','TOMAR DEL SND','ACEVES BARRAGAN ELIA SOFIA','ARQUITECTURA','3ro','FEMENINO','ACTIVO','',0,0,'','ALUMNO'</v>
      </c>
      <c r="L453" s="10" t="str">
        <f t="shared" si="14"/>
        <v>INSERT INTO participantes (id,nivel,correo,matricula,clave,nombre,carrera,grado,sexo,situacion,evaluados,num_evaluados,total_evaluaciones,ultimo_acceso,nivel_acceso) VALUES (1452,'LICENCIATURA','eliasofia.acevesbarragan','112264','TOMAR DEL SND','ACEVES BARRAGAN ELIA SOFIA','ARQUITECTURA','3ro','FEMENINO','ACTIVO','',0,0,'','ALUMNO');</v>
      </c>
    </row>
    <row r="454" spans="1:12" ht="130.5" x14ac:dyDescent="0.35">
      <c r="A454" s="7">
        <v>1453</v>
      </c>
      <c r="B454" s="6" t="s">
        <v>5</v>
      </c>
      <c r="C454" t="s">
        <v>459</v>
      </c>
      <c r="D454" s="7" t="s">
        <v>1031</v>
      </c>
      <c r="E454" s="7" t="s">
        <v>1149</v>
      </c>
      <c r="F454" t="s">
        <v>1603</v>
      </c>
      <c r="G454" s="7" t="s">
        <v>1725</v>
      </c>
      <c r="H454" t="s">
        <v>1739</v>
      </c>
      <c r="I454" t="s">
        <v>1744</v>
      </c>
      <c r="J454" t="s">
        <v>1786</v>
      </c>
      <c r="K454" s="2" t="str">
        <f t="shared" si="15"/>
        <v>1453,'LICENCIATURA','jenifervanessa.aguilarruiz','112266','TOMAR DEL SND','AGUILAR RUIZ JENIFER VANESSA','INGENIERIA AEROESPACIAL','3ro','FEMENINO','ACTIVO','',0,0,'','ALUMNO'</v>
      </c>
      <c r="L454" s="10" t="str">
        <f t="shared" si="14"/>
        <v>INSERT INTO participantes (id,nivel,correo,matricula,clave,nombre,carrera,grado,sexo,situacion,evaluados,num_evaluados,total_evaluaciones,ultimo_acceso,nivel_acceso) VALUES (1453,'LICENCIATURA','jenifervanessa.aguilarruiz','112266','TOMAR DEL SND','AGUILAR RUIZ JENIFER VANESSA','INGENIERIA AEROESPACIAL','3ro','FEMENINO','ACTIVO','',0,0,'','ALUMNO');</v>
      </c>
    </row>
    <row r="455" spans="1:12" ht="130.5" x14ac:dyDescent="0.35">
      <c r="A455" s="7">
        <v>1454</v>
      </c>
      <c r="B455" s="6" t="s">
        <v>5</v>
      </c>
      <c r="C455" t="s">
        <v>460</v>
      </c>
      <c r="D455" s="7" t="s">
        <v>1032</v>
      </c>
      <c r="E455" s="7" t="s">
        <v>1149</v>
      </c>
      <c r="F455" t="s">
        <v>1604</v>
      </c>
      <c r="G455" s="7" t="s">
        <v>1725</v>
      </c>
      <c r="H455" t="s">
        <v>1739</v>
      </c>
      <c r="I455" t="s">
        <v>1743</v>
      </c>
      <c r="J455" t="s">
        <v>1786</v>
      </c>
      <c r="K455" s="2" t="str">
        <f t="shared" si="15"/>
        <v>1454,'LICENCIATURA','luisrodolfo.gutierrezchavez','112268','TOMAR DEL SND','GUTIERREZ CHAVEZ LUIS RODOLFO','INGENIERIA AEROESPACIAL','3ro','MASCULINO','ACTIVO','',0,0,'','ALUMNO'</v>
      </c>
      <c r="L455" s="10" t="str">
        <f t="shared" si="14"/>
        <v>INSERT INTO participantes (id,nivel,correo,matricula,clave,nombre,carrera,grado,sexo,situacion,evaluados,num_evaluados,total_evaluaciones,ultimo_acceso,nivel_acceso) VALUES (1454,'LICENCIATURA','luisrodolfo.gutierrezchavez','112268','TOMAR DEL SND','GUTIERREZ CHAVEZ LUIS RODOLFO','INGENIERIA AEROESPACIAL','3ro','MASCULINO','ACTIVO','',0,0,'','ALUMNO');</v>
      </c>
    </row>
    <row r="456" spans="1:12" ht="130.5" x14ac:dyDescent="0.35">
      <c r="A456" s="7">
        <v>1455</v>
      </c>
      <c r="B456" s="6" t="s">
        <v>5</v>
      </c>
      <c r="C456" t="s">
        <v>461</v>
      </c>
      <c r="D456" s="7" t="s">
        <v>1033</v>
      </c>
      <c r="E456" s="7" t="s">
        <v>1149</v>
      </c>
      <c r="F456" t="s">
        <v>1605</v>
      </c>
      <c r="G456" s="7" t="s">
        <v>1730</v>
      </c>
      <c r="H456" t="s">
        <v>1739</v>
      </c>
      <c r="I456" t="s">
        <v>1743</v>
      </c>
      <c r="J456" t="s">
        <v>1786</v>
      </c>
      <c r="K456" s="2" t="str">
        <f t="shared" si="15"/>
        <v>1455,'LICENCIATURA','fernando.gutierrezvelasco','112269','TOMAR DEL SND','GUTIERREZ VELASCO FERNANDO','ANIMACION DIGITAL Y VIDEOJUEGOS','3ro','MASCULINO','ACTIVO','',0,0,'','ALUMNO'</v>
      </c>
      <c r="L456" s="10" t="str">
        <f t="shared" si="14"/>
        <v>INSERT INTO participantes (id,nivel,correo,matricula,clave,nombre,carrera,grado,sexo,situacion,evaluados,num_evaluados,total_evaluaciones,ultimo_acceso,nivel_acceso) VALUES (1455,'LICENCIATURA','fernando.gutierrezvelasco','112269','TOMAR DEL SND','GUTIERREZ VELASCO FERNANDO','ANIMACION DIGITAL Y VIDEOJUEGOS','3ro','MASCULINO','ACTIVO','',0,0,'','ALUMNO');</v>
      </c>
    </row>
    <row r="457" spans="1:12" ht="130.5" x14ac:dyDescent="0.35">
      <c r="A457" s="7">
        <v>1456</v>
      </c>
      <c r="B457" s="6" t="s">
        <v>5</v>
      </c>
      <c r="C457" t="s">
        <v>462</v>
      </c>
      <c r="D457" s="7" t="s">
        <v>1034</v>
      </c>
      <c r="E457" s="7" t="s">
        <v>1149</v>
      </c>
      <c r="F457" t="s">
        <v>1606</v>
      </c>
      <c r="G457" s="7" t="s">
        <v>1726</v>
      </c>
      <c r="H457" t="s">
        <v>1739</v>
      </c>
      <c r="I457" t="s">
        <v>1744</v>
      </c>
      <c r="J457" t="s">
        <v>1786</v>
      </c>
      <c r="K457" s="2" t="str">
        <f t="shared" si="15"/>
        <v>1456,'LICENCIATURA','sofia.barajasramirez','112270','TOMAR DEL SND','BARAJAS RAMIREZ SOFIA','PSICOLOGIA','3ro','FEMENINO','ACTIVO','',0,0,'','ALUMNO'</v>
      </c>
      <c r="L457" s="10" t="str">
        <f t="shared" si="14"/>
        <v>INSERT INTO participantes (id,nivel,correo,matricula,clave,nombre,carrera,grado,sexo,situacion,evaluados,num_evaluados,total_evaluaciones,ultimo_acceso,nivel_acceso) VALUES (1456,'LICENCIATURA','sofia.barajasramirez','112270','TOMAR DEL SND','BARAJAS RAMIREZ SOFIA','PSICOLOGIA','3ro','FEMENINO','ACTIVO','',0,0,'','ALUMNO');</v>
      </c>
    </row>
    <row r="458" spans="1:12" ht="130.5" x14ac:dyDescent="0.35">
      <c r="A458" s="7">
        <v>1457</v>
      </c>
      <c r="B458" s="6" t="s">
        <v>5</v>
      </c>
      <c r="C458" t="s">
        <v>463</v>
      </c>
      <c r="D458" s="7" t="s">
        <v>1035</v>
      </c>
      <c r="E458" s="7" t="s">
        <v>1149</v>
      </c>
      <c r="F458" t="s">
        <v>1607</v>
      </c>
      <c r="G458" s="7" t="s">
        <v>1727</v>
      </c>
      <c r="H458" t="s">
        <v>1739</v>
      </c>
      <c r="I458" t="s">
        <v>1744</v>
      </c>
      <c r="J458" t="s">
        <v>1786</v>
      </c>
      <c r="K458" s="2" t="str">
        <f t="shared" si="15"/>
        <v>1457,'LICENCIATURA','julianavalentina.lozanorios','112271','TOMAR DEL SND','LOZANO RIOS JULIANA VALENTINA','ADMINISTRACION Y DIRECCION DE NEGOCIOS','3ro','FEMENINO','ACTIVO','',0,0,'','ALUMNO'</v>
      </c>
      <c r="L458" s="10" t="str">
        <f t="shared" si="14"/>
        <v>INSERT INTO participantes (id,nivel,correo,matricula,clave,nombre,carrera,grado,sexo,situacion,evaluados,num_evaluados,total_evaluaciones,ultimo_acceso,nivel_acceso) VALUES (1457,'LICENCIATURA','julianavalentina.lozanorios','112271','TOMAR DEL SND','LOZANO RIOS JULIANA VALENTINA','ADMINISTRACION Y DIRECCION DE NEGOCIOS','3ro','FEMENINO','ACTIVO','',0,0,'','ALUMNO');</v>
      </c>
    </row>
    <row r="459" spans="1:12" ht="130.5" x14ac:dyDescent="0.35">
      <c r="A459" s="7">
        <v>1458</v>
      </c>
      <c r="B459" s="6" t="s">
        <v>5</v>
      </c>
      <c r="C459" t="s">
        <v>464</v>
      </c>
      <c r="D459" s="7" t="s">
        <v>1036</v>
      </c>
      <c r="E459" s="7" t="s">
        <v>1149</v>
      </c>
      <c r="F459" t="s">
        <v>1608</v>
      </c>
      <c r="G459" s="7" t="s">
        <v>1731</v>
      </c>
      <c r="H459" t="s">
        <v>1739</v>
      </c>
      <c r="I459" t="s">
        <v>1743</v>
      </c>
      <c r="J459" t="s">
        <v>1786</v>
      </c>
      <c r="K459" s="2" t="str">
        <f t="shared" si="15"/>
        <v>1458,'LICENCIATURA','rafaelvalentin.lara','112272','TOMAR DEL SND','LARA RAFAEL VALENTIN','INGENIERÍA AUTOMOTRIZ','3ro','MASCULINO','ACTIVO','',0,0,'','ALUMNO'</v>
      </c>
      <c r="L459" s="10" t="str">
        <f t="shared" si="14"/>
        <v>INSERT INTO participantes (id,nivel,correo,matricula,clave,nombre,carrera,grado,sexo,situacion,evaluados,num_evaluados,total_evaluaciones,ultimo_acceso,nivel_acceso) VALUES (1458,'LICENCIATURA','rafaelvalentin.lara','112272','TOMAR DEL SND','LARA RAFAEL VALENTIN','INGENIERÍA AUTOMOTRIZ','3ro','MASCULINO','ACTIVO','',0,0,'','ALUMNO');</v>
      </c>
    </row>
    <row r="460" spans="1:12" ht="130.5" x14ac:dyDescent="0.35">
      <c r="A460" s="7">
        <v>1459</v>
      </c>
      <c r="B460" s="6" t="s">
        <v>5</v>
      </c>
      <c r="C460" t="s">
        <v>465</v>
      </c>
      <c r="D460" s="7" t="s">
        <v>1037</v>
      </c>
      <c r="E460" s="7" t="s">
        <v>1149</v>
      </c>
      <c r="F460" t="s">
        <v>1609</v>
      </c>
      <c r="G460" s="7" t="s">
        <v>1726</v>
      </c>
      <c r="H460" t="s">
        <v>1739</v>
      </c>
      <c r="I460" t="s">
        <v>1743</v>
      </c>
      <c r="J460" t="s">
        <v>1786</v>
      </c>
      <c r="K460" s="2" t="str">
        <f t="shared" si="15"/>
        <v>1459,'LICENCIATURA','diegoalberto.alvarezdeltoro','112275','TOMAR DEL SND','ALVAREZ DEL TORO DIEGO ALBERTO','PSICOLOGIA','3ro','MASCULINO','ACTIVO','',0,0,'','ALUMNO'</v>
      </c>
      <c r="L460" s="10" t="str">
        <f t="shared" si="14"/>
        <v>INSERT INTO participantes (id,nivel,correo,matricula,clave,nombre,carrera,grado,sexo,situacion,evaluados,num_evaluados,total_evaluaciones,ultimo_acceso,nivel_acceso) VALUES (1459,'LICENCIATURA','diegoalberto.alvarezdeltoro','112275','TOMAR DEL SND','ALVAREZ DEL TORO DIEGO ALBERTO','PSICOLOGIA','3ro','MASCULINO','ACTIVO','',0,0,'','ALUMNO');</v>
      </c>
    </row>
    <row r="461" spans="1:12" ht="130.5" x14ac:dyDescent="0.35">
      <c r="A461" s="7">
        <v>1460</v>
      </c>
      <c r="B461" s="6" t="s">
        <v>5</v>
      </c>
      <c r="C461" t="s">
        <v>466</v>
      </c>
      <c r="D461" s="7" t="s">
        <v>1038</v>
      </c>
      <c r="E461" s="7" t="s">
        <v>1149</v>
      </c>
      <c r="F461" t="s">
        <v>1610</v>
      </c>
      <c r="G461" s="7" t="s">
        <v>1725</v>
      </c>
      <c r="H461" t="s">
        <v>1739</v>
      </c>
      <c r="I461" t="s">
        <v>1743</v>
      </c>
      <c r="J461" t="s">
        <v>1786</v>
      </c>
      <c r="K461" s="2" t="str">
        <f t="shared" si="15"/>
        <v>1460,'LICENCIATURA','andres.antunezbracho','112277','TOMAR DEL SND','ANTUNEZ BRACHO ANDRES','INGENIERIA AEROESPACIAL','3ro','MASCULINO','ACTIVO','',0,0,'','ALUMNO'</v>
      </c>
      <c r="L461" s="10" t="str">
        <f t="shared" si="14"/>
        <v>INSERT INTO participantes (id,nivel,correo,matricula,clave,nombre,carrera,grado,sexo,situacion,evaluados,num_evaluados,total_evaluaciones,ultimo_acceso,nivel_acceso) VALUES (1460,'LICENCIATURA','andres.antunezbracho','112277','TOMAR DEL SND','ANTUNEZ BRACHO ANDRES','INGENIERIA AEROESPACIAL','3ro','MASCULINO','ACTIVO','',0,0,'','ALUMNO');</v>
      </c>
    </row>
    <row r="462" spans="1:12" ht="130.5" x14ac:dyDescent="0.35">
      <c r="A462" s="7">
        <v>1461</v>
      </c>
      <c r="B462" s="6" t="s">
        <v>5</v>
      </c>
      <c r="C462" t="s">
        <v>467</v>
      </c>
      <c r="D462" s="7" t="s">
        <v>1039</v>
      </c>
      <c r="E462" s="7" t="s">
        <v>1149</v>
      </c>
      <c r="F462" t="s">
        <v>1611</v>
      </c>
      <c r="G462" s="7" t="s">
        <v>1731</v>
      </c>
      <c r="H462" t="s">
        <v>1739</v>
      </c>
      <c r="I462" t="s">
        <v>1743</v>
      </c>
      <c r="J462" t="s">
        <v>1786</v>
      </c>
      <c r="K462" s="2" t="str">
        <f t="shared" si="15"/>
        <v>1461,'LICENCIATURA','diegoalberto.serranovarela','112278','TOMAR DEL SND','SERRANO VARELA DIEGO ALBERTO','INGENIERÍA AUTOMOTRIZ','3ro','MASCULINO','ACTIVO','',0,0,'','ALUMNO'</v>
      </c>
      <c r="L462" s="10" t="str">
        <f t="shared" si="14"/>
        <v>INSERT INTO participantes (id,nivel,correo,matricula,clave,nombre,carrera,grado,sexo,situacion,evaluados,num_evaluados,total_evaluaciones,ultimo_acceso,nivel_acceso) VALUES (1461,'LICENCIATURA','diegoalberto.serranovarela','112278','TOMAR DEL SND','SERRANO VARELA DIEGO ALBERTO','INGENIERÍA AUTOMOTRIZ','3ro','MASCULINO','ACTIVO','',0,0,'','ALUMNO');</v>
      </c>
    </row>
    <row r="463" spans="1:12" ht="130.5" x14ac:dyDescent="0.35">
      <c r="A463" s="7">
        <v>1462</v>
      </c>
      <c r="B463" s="6" t="s">
        <v>5</v>
      </c>
      <c r="C463" t="s">
        <v>468</v>
      </c>
      <c r="D463" s="7" t="s">
        <v>1040</v>
      </c>
      <c r="E463" s="7" t="s">
        <v>1149</v>
      </c>
      <c r="F463" t="s">
        <v>1612</v>
      </c>
      <c r="G463" s="7" t="s">
        <v>1725</v>
      </c>
      <c r="H463" t="s">
        <v>1739</v>
      </c>
      <c r="I463" t="s">
        <v>1743</v>
      </c>
      <c r="J463" t="s">
        <v>1786</v>
      </c>
      <c r="K463" s="2" t="str">
        <f t="shared" si="15"/>
        <v>1462,'LICENCIATURA','kevinmatthew.vazquezecheagaray','112280','TOMAR DEL SND','VAZQUEZ ECHEAGARAY KEVIN MATTHEW','INGENIERIA AEROESPACIAL','3ro','MASCULINO','ACTIVO','',0,0,'','ALUMNO'</v>
      </c>
      <c r="L463" s="10" t="str">
        <f t="shared" si="14"/>
        <v>INSERT INTO participantes (id,nivel,correo,matricula,clave,nombre,carrera,grado,sexo,situacion,evaluados,num_evaluados,total_evaluaciones,ultimo_acceso,nivel_acceso) VALUES (1462,'LICENCIATURA','kevinmatthew.vazquezecheagaray','112280','TOMAR DEL SND','VAZQUEZ ECHEAGARAY KEVIN MATTHEW','INGENIERIA AEROESPACIAL','3ro','MASCULINO','ACTIVO','',0,0,'','ALUMNO');</v>
      </c>
    </row>
    <row r="464" spans="1:12" ht="130.5" x14ac:dyDescent="0.35">
      <c r="A464" s="7">
        <v>1463</v>
      </c>
      <c r="B464" s="6" t="s">
        <v>5</v>
      </c>
      <c r="C464" t="s">
        <v>469</v>
      </c>
      <c r="D464" s="7" t="s">
        <v>1041</v>
      </c>
      <c r="E464" s="7" t="s">
        <v>1149</v>
      </c>
      <c r="F464" t="s">
        <v>1613</v>
      </c>
      <c r="G464" s="7" t="s">
        <v>1729</v>
      </c>
      <c r="H464" t="s">
        <v>1739</v>
      </c>
      <c r="I464" t="s">
        <v>1744</v>
      </c>
      <c r="J464" t="s">
        <v>1786</v>
      </c>
      <c r="K464" s="2" t="str">
        <f t="shared" si="15"/>
        <v>1463,'LICENCIATURA','karenalejandra.gonzalezaguayo','112282','TOMAR DEL SND','GONZALEZ AGUAYO KAREN ALEJANDRA','ARQUITECTURA','3ro','FEMENINO','ACTIVO','',0,0,'','ALUMNO'</v>
      </c>
      <c r="L464" s="10" t="str">
        <f t="shared" si="14"/>
        <v>INSERT INTO participantes (id,nivel,correo,matricula,clave,nombre,carrera,grado,sexo,situacion,evaluados,num_evaluados,total_evaluaciones,ultimo_acceso,nivel_acceso) VALUES (1463,'LICENCIATURA','karenalejandra.gonzalezaguayo','112282','TOMAR DEL SND','GONZALEZ AGUAYO KAREN ALEJANDRA','ARQUITECTURA','3ro','FEMENINO','ACTIVO','',0,0,'','ALUMNO');</v>
      </c>
    </row>
    <row r="465" spans="1:12" ht="130.5" x14ac:dyDescent="0.35">
      <c r="A465" s="7">
        <v>1464</v>
      </c>
      <c r="B465" s="6" t="s">
        <v>5</v>
      </c>
      <c r="C465" t="s">
        <v>470</v>
      </c>
      <c r="D465" s="7" t="s">
        <v>1042</v>
      </c>
      <c r="E465" s="7" t="s">
        <v>1149</v>
      </c>
      <c r="F465" t="s">
        <v>1614</v>
      </c>
      <c r="G465" s="7" t="s">
        <v>1727</v>
      </c>
      <c r="H465" t="s">
        <v>1739</v>
      </c>
      <c r="I465" t="s">
        <v>1743</v>
      </c>
      <c r="J465" t="s">
        <v>1786</v>
      </c>
      <c r="K465" s="2" t="str">
        <f t="shared" si="15"/>
        <v>1464,'LICENCIATURA','oscarhiram.olivarodriguez','112283','TOMAR DEL SND','OLIVA RODRIGUEZ OSCAR HIRAM','ADMINISTRACION Y DIRECCION DE NEGOCIOS','3ro','MASCULINO','ACTIVO','',0,0,'','ALUMNO'</v>
      </c>
      <c r="L465" s="10" t="str">
        <f t="shared" si="14"/>
        <v>INSERT INTO participantes (id,nivel,correo,matricula,clave,nombre,carrera,grado,sexo,situacion,evaluados,num_evaluados,total_evaluaciones,ultimo_acceso,nivel_acceso) VALUES (1464,'LICENCIATURA','oscarhiram.olivarodriguez','112283','TOMAR DEL SND','OLIVA RODRIGUEZ OSCAR HIRAM','ADMINISTRACION Y DIRECCION DE NEGOCIOS','3ro','MASCULINO','ACTIVO','',0,0,'','ALUMNO');</v>
      </c>
    </row>
    <row r="466" spans="1:12" ht="130.5" x14ac:dyDescent="0.35">
      <c r="A466" s="7">
        <v>1465</v>
      </c>
      <c r="B466" s="6" t="s">
        <v>5</v>
      </c>
      <c r="C466" t="s">
        <v>471</v>
      </c>
      <c r="D466" s="7" t="s">
        <v>1043</v>
      </c>
      <c r="E466" s="7" t="s">
        <v>1149</v>
      </c>
      <c r="F466" t="s">
        <v>1615</v>
      </c>
      <c r="G466" s="7" t="s">
        <v>1731</v>
      </c>
      <c r="H466" t="s">
        <v>1739</v>
      </c>
      <c r="I466" t="s">
        <v>1743</v>
      </c>
      <c r="J466" t="s">
        <v>1786</v>
      </c>
      <c r="K466" s="2" t="str">
        <f t="shared" si="15"/>
        <v>1465,'LICENCIATURA','diego.deandamonzon','112286','TOMAR DEL SND','DE ANDA MONZON DIEGO','INGENIERÍA AUTOMOTRIZ','3ro','MASCULINO','ACTIVO','',0,0,'','ALUMNO'</v>
      </c>
      <c r="L466" s="10" t="str">
        <f t="shared" si="14"/>
        <v>INSERT INTO participantes (id,nivel,correo,matricula,clave,nombre,carrera,grado,sexo,situacion,evaluados,num_evaluados,total_evaluaciones,ultimo_acceso,nivel_acceso) VALUES (1465,'LICENCIATURA','diego.deandamonzon','112286','TOMAR DEL SND','DE ANDA MONZON DIEGO','INGENIERÍA AUTOMOTRIZ','3ro','MASCULINO','ACTIVO','',0,0,'','ALUMNO');</v>
      </c>
    </row>
    <row r="467" spans="1:12" ht="130.5" x14ac:dyDescent="0.35">
      <c r="A467" s="7">
        <v>1466</v>
      </c>
      <c r="B467" s="6" t="s">
        <v>5</v>
      </c>
      <c r="C467" t="s">
        <v>472</v>
      </c>
      <c r="D467" s="7" t="s">
        <v>1044</v>
      </c>
      <c r="E467" s="7" t="s">
        <v>1149</v>
      </c>
      <c r="F467" t="s">
        <v>1616</v>
      </c>
      <c r="G467" s="7" t="s">
        <v>1731</v>
      </c>
      <c r="H467" t="s">
        <v>1739</v>
      </c>
      <c r="I467" t="s">
        <v>1743</v>
      </c>
      <c r="J467" t="s">
        <v>1786</v>
      </c>
      <c r="K467" s="2" t="str">
        <f t="shared" si="15"/>
        <v>1466,'LICENCIATURA','karolnicolas.mejiagarcia','112292','TOMAR DEL SND','MEJIA GARCIA KAROL NICOLAS','INGENIERÍA AUTOMOTRIZ','3ro','MASCULINO','ACTIVO','',0,0,'','ALUMNO'</v>
      </c>
      <c r="L467" s="10" t="str">
        <f t="shared" si="14"/>
        <v>INSERT INTO participantes (id,nivel,correo,matricula,clave,nombre,carrera,grado,sexo,situacion,evaluados,num_evaluados,total_evaluaciones,ultimo_acceso,nivel_acceso) VALUES (1466,'LICENCIATURA','karolnicolas.mejiagarcia','112292','TOMAR DEL SND','MEJIA GARCIA KAROL NICOLAS','INGENIERÍA AUTOMOTRIZ','3ro','MASCULINO','ACTIVO','',0,0,'','ALUMNO');</v>
      </c>
    </row>
    <row r="468" spans="1:12" ht="130.5" x14ac:dyDescent="0.35">
      <c r="A468" s="7">
        <v>1467</v>
      </c>
      <c r="B468" s="6" t="s">
        <v>5</v>
      </c>
      <c r="C468" t="s">
        <v>473</v>
      </c>
      <c r="D468" s="7" t="s">
        <v>1045</v>
      </c>
      <c r="E468" s="7" t="s">
        <v>1149</v>
      </c>
      <c r="F468" t="s">
        <v>1617</v>
      </c>
      <c r="G468" s="7" t="s">
        <v>1727</v>
      </c>
      <c r="H468" t="s">
        <v>1739</v>
      </c>
      <c r="I468" t="s">
        <v>1744</v>
      </c>
      <c r="J468" t="s">
        <v>1786</v>
      </c>
      <c r="K468" s="2" t="str">
        <f t="shared" si="15"/>
        <v>1467,'LICENCIATURA','analucia.enriquezperez','112293','TOMAR DEL SND','ENRIQUEZ PEREZ ANA LUCIA','ADMINISTRACION Y DIRECCION DE NEGOCIOS','3ro','FEMENINO','ACTIVO','',0,0,'','ALUMNO'</v>
      </c>
      <c r="L468" s="10" t="str">
        <f t="shared" si="14"/>
        <v>INSERT INTO participantes (id,nivel,correo,matricula,clave,nombre,carrera,grado,sexo,situacion,evaluados,num_evaluados,total_evaluaciones,ultimo_acceso,nivel_acceso) VALUES (1467,'LICENCIATURA','analucia.enriquezperez','112293','TOMAR DEL SND','ENRIQUEZ PEREZ ANA LUCIA','ADMINISTRACION Y DIRECCION DE NEGOCIOS','3ro','FEMENINO','ACTIVO','',0,0,'','ALUMNO');</v>
      </c>
    </row>
    <row r="469" spans="1:12" ht="130.5" x14ac:dyDescent="0.35">
      <c r="A469" s="7">
        <v>1468</v>
      </c>
      <c r="B469" s="6" t="s">
        <v>5</v>
      </c>
      <c r="C469" t="s">
        <v>474</v>
      </c>
      <c r="D469" s="7" t="s">
        <v>1046</v>
      </c>
      <c r="E469" s="7" t="s">
        <v>1149</v>
      </c>
      <c r="F469" t="s">
        <v>1618</v>
      </c>
      <c r="G469" s="7" t="s">
        <v>1725</v>
      </c>
      <c r="H469" t="s">
        <v>1739</v>
      </c>
      <c r="I469" t="s">
        <v>1743</v>
      </c>
      <c r="J469" t="s">
        <v>1786</v>
      </c>
      <c r="K469" s="2" t="str">
        <f t="shared" si="15"/>
        <v>1468,'LICENCIATURA','diego.ruizallar','112296','TOMAR DEL SND','RUIZ ALLAR DIEGO','INGENIERIA AEROESPACIAL','3ro','MASCULINO','ACTIVO','',0,0,'','ALUMNO'</v>
      </c>
      <c r="L469" s="10" t="str">
        <f t="shared" si="14"/>
        <v>INSERT INTO participantes (id,nivel,correo,matricula,clave,nombre,carrera,grado,sexo,situacion,evaluados,num_evaluados,total_evaluaciones,ultimo_acceso,nivel_acceso) VALUES (1468,'LICENCIATURA','diego.ruizallar','112296','TOMAR DEL SND','RUIZ ALLAR DIEGO','INGENIERIA AEROESPACIAL','3ro','MASCULINO','ACTIVO','',0,0,'','ALUMNO');</v>
      </c>
    </row>
    <row r="470" spans="1:12" ht="130.5" x14ac:dyDescent="0.35">
      <c r="A470" s="7">
        <v>1469</v>
      </c>
      <c r="B470" s="6" t="s">
        <v>5</v>
      </c>
      <c r="C470" t="s">
        <v>475</v>
      </c>
      <c r="D470" s="7" t="s">
        <v>1047</v>
      </c>
      <c r="E470" s="7" t="s">
        <v>1149</v>
      </c>
      <c r="F470" t="s">
        <v>1619</v>
      </c>
      <c r="G470" s="7" t="s">
        <v>1730</v>
      </c>
      <c r="H470" t="s">
        <v>1739</v>
      </c>
      <c r="I470" t="s">
        <v>1743</v>
      </c>
      <c r="J470" t="s">
        <v>1786</v>
      </c>
      <c r="K470" s="2" t="str">
        <f t="shared" si="15"/>
        <v>1469,'LICENCIATURA','davidricardo.monterojaramillo','112298','TOMAR DEL SND','MONTERO JARAMILLO DAVID RICARDO','ANIMACION DIGITAL Y VIDEOJUEGOS','3ro','MASCULINO','ACTIVO','',0,0,'','ALUMNO'</v>
      </c>
      <c r="L470" s="10" t="str">
        <f t="shared" si="14"/>
        <v>INSERT INTO participantes (id,nivel,correo,matricula,clave,nombre,carrera,grado,sexo,situacion,evaluados,num_evaluados,total_evaluaciones,ultimo_acceso,nivel_acceso) VALUES (1469,'LICENCIATURA','davidricardo.monterojaramillo','112298','TOMAR DEL SND','MONTERO JARAMILLO DAVID RICARDO','ANIMACION DIGITAL Y VIDEOJUEGOS','3ro','MASCULINO','ACTIVO','',0,0,'','ALUMNO');</v>
      </c>
    </row>
    <row r="471" spans="1:12" ht="130.5" x14ac:dyDescent="0.35">
      <c r="A471" s="7">
        <v>1470</v>
      </c>
      <c r="B471" s="6" t="s">
        <v>5</v>
      </c>
      <c r="C471" t="s">
        <v>476</v>
      </c>
      <c r="D471" s="7" t="s">
        <v>1048</v>
      </c>
      <c r="E471" s="7" t="s">
        <v>1149</v>
      </c>
      <c r="F471" t="s">
        <v>1620</v>
      </c>
      <c r="G471" s="7" t="s">
        <v>1725</v>
      </c>
      <c r="H471" t="s">
        <v>1739</v>
      </c>
      <c r="I471" t="s">
        <v>1743</v>
      </c>
      <c r="J471" t="s">
        <v>1786</v>
      </c>
      <c r="K471" s="2" t="str">
        <f t="shared" si="15"/>
        <v>1470,'LICENCIATURA','edwinelias.sanchezgonzalez','112299','TOMAR DEL SND','SANCHEZ GONZALEZ EDWIN ELIAS','INGENIERIA AEROESPACIAL','3ro','MASCULINO','ACTIVO','',0,0,'','ALUMNO'</v>
      </c>
      <c r="L471" s="10" t="str">
        <f t="shared" si="14"/>
        <v>INSERT INTO participantes (id,nivel,correo,matricula,clave,nombre,carrera,grado,sexo,situacion,evaluados,num_evaluados,total_evaluaciones,ultimo_acceso,nivel_acceso) VALUES (1470,'LICENCIATURA','edwinelias.sanchezgonzalez','112299','TOMAR DEL SND','SANCHEZ GONZALEZ EDWIN ELIAS','INGENIERIA AEROESPACIAL','3ro','MASCULINO','ACTIVO','',0,0,'','ALUMNO');</v>
      </c>
    </row>
    <row r="472" spans="1:12" ht="130.5" x14ac:dyDescent="0.35">
      <c r="A472" s="7">
        <v>1471</v>
      </c>
      <c r="B472" s="6" t="s">
        <v>5</v>
      </c>
      <c r="C472" t="s">
        <v>477</v>
      </c>
      <c r="D472" s="7" t="s">
        <v>1049</v>
      </c>
      <c r="E472" s="7" t="s">
        <v>1149</v>
      </c>
      <c r="F472" t="s">
        <v>1621</v>
      </c>
      <c r="G472" s="7" t="s">
        <v>1725</v>
      </c>
      <c r="H472" t="s">
        <v>1739</v>
      </c>
      <c r="I472" t="s">
        <v>1743</v>
      </c>
      <c r="J472" t="s">
        <v>1786</v>
      </c>
      <c r="K472" s="2" t="str">
        <f t="shared" si="15"/>
        <v>1471,'LICENCIATURA','josemauricio.olivastorres','112300','TOMAR DEL SND','OLIVAS TORRES JOSE MAURICIO','INGENIERIA AEROESPACIAL','3ro','MASCULINO','ACTIVO','',0,0,'','ALUMNO'</v>
      </c>
      <c r="L472" s="10" t="str">
        <f t="shared" si="14"/>
        <v>INSERT INTO participantes (id,nivel,correo,matricula,clave,nombre,carrera,grado,sexo,situacion,evaluados,num_evaluados,total_evaluaciones,ultimo_acceso,nivel_acceso) VALUES (1471,'LICENCIATURA','josemauricio.olivastorres','112300','TOMAR DEL SND','OLIVAS TORRES JOSE MAURICIO','INGENIERIA AEROESPACIAL','3ro','MASCULINO','ACTIVO','',0,0,'','ALUMNO');</v>
      </c>
    </row>
    <row r="473" spans="1:12" ht="130.5" x14ac:dyDescent="0.35">
      <c r="A473" s="7">
        <v>1472</v>
      </c>
      <c r="B473" s="6" t="s">
        <v>5</v>
      </c>
      <c r="C473" t="s">
        <v>478</v>
      </c>
      <c r="D473" s="7" t="s">
        <v>1050</v>
      </c>
      <c r="E473" s="7" t="s">
        <v>1149</v>
      </c>
      <c r="F473" t="s">
        <v>1622</v>
      </c>
      <c r="G473" s="7" t="s">
        <v>1726</v>
      </c>
      <c r="H473" t="s">
        <v>1739</v>
      </c>
      <c r="I473" t="s">
        <v>1744</v>
      </c>
      <c r="J473" t="s">
        <v>1786</v>
      </c>
      <c r="K473" s="2" t="str">
        <f t="shared" si="15"/>
        <v>1472,'LICENCIATURA','ximenasofia.rodriguezcisneros','112301','TOMAR DEL SND','RODRIGUEZ CISNEROS XIMENA SOFIA','PSICOLOGIA','3ro','FEMENINO','ACTIVO','',0,0,'','ALUMNO'</v>
      </c>
      <c r="L473" s="10" t="str">
        <f t="shared" si="14"/>
        <v>INSERT INTO participantes (id,nivel,correo,matricula,clave,nombre,carrera,grado,sexo,situacion,evaluados,num_evaluados,total_evaluaciones,ultimo_acceso,nivel_acceso) VALUES (1472,'LICENCIATURA','ximenasofia.rodriguezcisneros','112301','TOMAR DEL SND','RODRIGUEZ CISNEROS XIMENA SOFIA','PSICOLOGIA','3ro','FEMENINO','ACTIVO','',0,0,'','ALUMNO');</v>
      </c>
    </row>
    <row r="474" spans="1:12" ht="130.5" x14ac:dyDescent="0.35">
      <c r="A474" s="7">
        <v>1473</v>
      </c>
      <c r="B474" s="6" t="s">
        <v>5</v>
      </c>
      <c r="C474" t="s">
        <v>479</v>
      </c>
      <c r="D474" s="7" t="s">
        <v>1051</v>
      </c>
      <c r="E474" s="7" t="s">
        <v>1149</v>
      </c>
      <c r="F474" t="s">
        <v>1623</v>
      </c>
      <c r="G474" s="7" t="s">
        <v>1725</v>
      </c>
      <c r="H474" t="s">
        <v>1739</v>
      </c>
      <c r="I474" t="s">
        <v>1743</v>
      </c>
      <c r="J474" t="s">
        <v>1786</v>
      </c>
      <c r="K474" s="2" t="str">
        <f t="shared" si="15"/>
        <v>1473,'LICENCIATURA','jaredesau.valladolidgarcia','112302','TOMAR DEL SND','VALLADOLID GARCIA JARED ESAU','INGENIERIA AEROESPACIAL','3ro','MASCULINO','ACTIVO','',0,0,'','ALUMNO'</v>
      </c>
      <c r="L474" s="10" t="str">
        <f t="shared" si="14"/>
        <v>INSERT INTO participantes (id,nivel,correo,matricula,clave,nombre,carrera,grado,sexo,situacion,evaluados,num_evaluados,total_evaluaciones,ultimo_acceso,nivel_acceso) VALUES (1473,'LICENCIATURA','jaredesau.valladolidgarcia','112302','TOMAR DEL SND','VALLADOLID GARCIA JARED ESAU','INGENIERIA AEROESPACIAL','3ro','MASCULINO','ACTIVO','',0,0,'','ALUMNO');</v>
      </c>
    </row>
    <row r="475" spans="1:12" ht="130.5" x14ac:dyDescent="0.35">
      <c r="A475" s="7">
        <v>1474</v>
      </c>
      <c r="B475" s="6" t="s">
        <v>5</v>
      </c>
      <c r="C475" t="s">
        <v>480</v>
      </c>
      <c r="D475" s="7" t="s">
        <v>1052</v>
      </c>
      <c r="E475" s="7" t="s">
        <v>1149</v>
      </c>
      <c r="F475" t="s">
        <v>1624</v>
      </c>
      <c r="G475" s="7" t="s">
        <v>1725</v>
      </c>
      <c r="H475" t="s">
        <v>1739</v>
      </c>
      <c r="I475" t="s">
        <v>1743</v>
      </c>
      <c r="J475" t="s">
        <v>1786</v>
      </c>
      <c r="K475" s="2" t="str">
        <f t="shared" si="15"/>
        <v>1474,'LICENCIATURA','daniel.mosqueirayañez','112306','TOMAR DEL SND','MOSQUEIRA YAÑEZ DANIEL','INGENIERIA AEROESPACIAL','3ro','MASCULINO','ACTIVO','',0,0,'','ALUMNO'</v>
      </c>
      <c r="L475" s="10" t="str">
        <f t="shared" si="14"/>
        <v>INSERT INTO participantes (id,nivel,correo,matricula,clave,nombre,carrera,grado,sexo,situacion,evaluados,num_evaluados,total_evaluaciones,ultimo_acceso,nivel_acceso) VALUES (1474,'LICENCIATURA','daniel.mosqueirayañez','112306','TOMAR DEL SND','MOSQUEIRA YAÑEZ DANIEL','INGENIERIA AEROESPACIAL','3ro','MASCULINO','ACTIVO','',0,0,'','ALUMNO');</v>
      </c>
    </row>
    <row r="476" spans="1:12" ht="130.5" x14ac:dyDescent="0.35">
      <c r="A476" s="7">
        <v>1475</v>
      </c>
      <c r="B476" s="6" t="s">
        <v>5</v>
      </c>
      <c r="C476" t="s">
        <v>481</v>
      </c>
      <c r="D476" s="7" t="s">
        <v>1053</v>
      </c>
      <c r="E476" s="7" t="s">
        <v>1149</v>
      </c>
      <c r="F476" t="s">
        <v>1625</v>
      </c>
      <c r="G476" s="7" t="s">
        <v>1730</v>
      </c>
      <c r="H476" t="s">
        <v>1739</v>
      </c>
      <c r="I476" t="s">
        <v>1744</v>
      </c>
      <c r="J476" t="s">
        <v>1786</v>
      </c>
      <c r="K476" s="2" t="str">
        <f t="shared" si="15"/>
        <v>1475,'LICENCIATURA','natalia.narvaezlozano','112307','TOMAR DEL SND','NARVAEZ LOZANO NATALIA','ANIMACION DIGITAL Y VIDEOJUEGOS','3ro','FEMENINO','ACTIVO','',0,0,'','ALUMNO'</v>
      </c>
      <c r="L476" s="10" t="str">
        <f t="shared" si="14"/>
        <v>INSERT INTO participantes (id,nivel,correo,matricula,clave,nombre,carrera,grado,sexo,situacion,evaluados,num_evaluados,total_evaluaciones,ultimo_acceso,nivel_acceso) VALUES (1475,'LICENCIATURA','natalia.narvaezlozano','112307','TOMAR DEL SND','NARVAEZ LOZANO NATALIA','ANIMACION DIGITAL Y VIDEOJUEGOS','3ro','FEMENINO','ACTIVO','',0,0,'','ALUMNO');</v>
      </c>
    </row>
    <row r="477" spans="1:12" ht="130.5" x14ac:dyDescent="0.35">
      <c r="A477" s="7">
        <v>1476</v>
      </c>
      <c r="B477" s="6" t="s">
        <v>5</v>
      </c>
      <c r="C477" t="s">
        <v>482</v>
      </c>
      <c r="D477" s="7" t="s">
        <v>1054</v>
      </c>
      <c r="E477" s="7" t="s">
        <v>1149</v>
      </c>
      <c r="F477" t="s">
        <v>1626</v>
      </c>
      <c r="G477" s="7" t="s">
        <v>1726</v>
      </c>
      <c r="H477" t="s">
        <v>1739</v>
      </c>
      <c r="I477" t="s">
        <v>1744</v>
      </c>
      <c r="J477" t="s">
        <v>1786</v>
      </c>
      <c r="K477" s="2" t="str">
        <f t="shared" si="15"/>
        <v>1476,'LICENCIATURA','valeria.hernandezgomez','112308','TOMAR DEL SND','HERNANDEZ GOMEZ VALERIA','PSICOLOGIA','3ro','FEMENINO','ACTIVO','',0,0,'','ALUMNO'</v>
      </c>
      <c r="L477" s="10" t="str">
        <f t="shared" si="14"/>
        <v>INSERT INTO participantes (id,nivel,correo,matricula,clave,nombre,carrera,grado,sexo,situacion,evaluados,num_evaluados,total_evaluaciones,ultimo_acceso,nivel_acceso) VALUES (1476,'LICENCIATURA','valeria.hernandezgomez','112308','TOMAR DEL SND','HERNANDEZ GOMEZ VALERIA','PSICOLOGIA','3ro','FEMENINO','ACTIVO','',0,0,'','ALUMNO');</v>
      </c>
    </row>
    <row r="478" spans="1:12" ht="130.5" x14ac:dyDescent="0.35">
      <c r="A478" s="7">
        <v>1477</v>
      </c>
      <c r="B478" s="6" t="s">
        <v>5</v>
      </c>
      <c r="C478" t="s">
        <v>483</v>
      </c>
      <c r="D478" s="7" t="s">
        <v>1055</v>
      </c>
      <c r="E478" s="7" t="s">
        <v>1149</v>
      </c>
      <c r="F478" t="s">
        <v>1627</v>
      </c>
      <c r="G478" s="7" t="s">
        <v>1729</v>
      </c>
      <c r="H478" t="s">
        <v>1739</v>
      </c>
      <c r="I478" t="s">
        <v>1743</v>
      </c>
      <c r="J478" t="s">
        <v>1786</v>
      </c>
      <c r="K478" s="2" t="str">
        <f t="shared" si="15"/>
        <v>1477,'LICENCIATURA','gael.delgadillobautista','112309','TOMAR DEL SND','DELGADILLO BAUTISTA GAEL','ARQUITECTURA','3ro','MASCULINO','ACTIVO','',0,0,'','ALUMNO'</v>
      </c>
      <c r="L478" s="10" t="str">
        <f t="shared" si="14"/>
        <v>INSERT INTO participantes (id,nivel,correo,matricula,clave,nombre,carrera,grado,sexo,situacion,evaluados,num_evaluados,total_evaluaciones,ultimo_acceso,nivel_acceso) VALUES (1477,'LICENCIATURA','gael.delgadillobautista','112309','TOMAR DEL SND','DELGADILLO BAUTISTA GAEL','ARQUITECTURA','3ro','MASCULINO','ACTIVO','',0,0,'','ALUMNO');</v>
      </c>
    </row>
    <row r="479" spans="1:12" ht="130.5" x14ac:dyDescent="0.35">
      <c r="A479" s="7">
        <v>1478</v>
      </c>
      <c r="B479" s="6" t="s">
        <v>5</v>
      </c>
      <c r="C479" t="s">
        <v>484</v>
      </c>
      <c r="D479" s="7" t="s">
        <v>1056</v>
      </c>
      <c r="E479" s="7" t="s">
        <v>1149</v>
      </c>
      <c r="F479" t="s">
        <v>1628</v>
      </c>
      <c r="G479" s="7" t="s">
        <v>1726</v>
      </c>
      <c r="H479" t="s">
        <v>1739</v>
      </c>
      <c r="I479" t="s">
        <v>1743</v>
      </c>
      <c r="J479" t="s">
        <v>1786</v>
      </c>
      <c r="K479" s="2" t="str">
        <f t="shared" si="15"/>
        <v>1478,'LICENCIATURA','oscaralfredo.ramirezramos','112316','TOMAR DEL SND','RAMIREZ RAMOS OSCAR ALFREDO','PSICOLOGIA','3ro','MASCULINO','ACTIVO','',0,0,'','ALUMNO'</v>
      </c>
      <c r="L479" s="10" t="str">
        <f t="shared" si="14"/>
        <v>INSERT INTO participantes (id,nivel,correo,matricula,clave,nombre,carrera,grado,sexo,situacion,evaluados,num_evaluados,total_evaluaciones,ultimo_acceso,nivel_acceso) VALUES (1478,'LICENCIATURA','oscaralfredo.ramirezramos','112316','TOMAR DEL SND','RAMIREZ RAMOS OSCAR ALFREDO','PSICOLOGIA','3ro','MASCULINO','ACTIVO','',0,0,'','ALUMNO');</v>
      </c>
    </row>
    <row r="480" spans="1:12" ht="130.5" x14ac:dyDescent="0.35">
      <c r="A480" s="7">
        <v>1479</v>
      </c>
      <c r="B480" s="6" t="s">
        <v>5</v>
      </c>
      <c r="C480" t="s">
        <v>485</v>
      </c>
      <c r="D480" s="7" t="s">
        <v>1057</v>
      </c>
      <c r="E480" s="7" t="s">
        <v>1149</v>
      </c>
      <c r="F480" t="s">
        <v>1629</v>
      </c>
      <c r="G480" s="7" t="s">
        <v>1731</v>
      </c>
      <c r="H480" t="s">
        <v>1739</v>
      </c>
      <c r="I480" t="s">
        <v>1743</v>
      </c>
      <c r="J480" t="s">
        <v>1786</v>
      </c>
      <c r="K480" s="2" t="str">
        <f t="shared" si="15"/>
        <v>1479,'LICENCIATURA','denzzel.delossantosdominguez','112318','TOMAR DEL SND','DE LOS SANTOS DOMINGUEZ DENZZEL','INGENIERÍA AUTOMOTRIZ','3ro','MASCULINO','ACTIVO','',0,0,'','ALUMNO'</v>
      </c>
      <c r="L480" s="10" t="str">
        <f t="shared" si="14"/>
        <v>INSERT INTO participantes (id,nivel,correo,matricula,clave,nombre,carrera,grado,sexo,situacion,evaluados,num_evaluados,total_evaluaciones,ultimo_acceso,nivel_acceso) VALUES (1479,'LICENCIATURA','denzzel.delossantosdominguez','112318','TOMAR DEL SND','DE LOS SANTOS DOMINGUEZ DENZZEL','INGENIERÍA AUTOMOTRIZ','3ro','MASCULINO','ACTIVO','',0,0,'','ALUMNO');</v>
      </c>
    </row>
    <row r="481" spans="1:12" ht="130.5" x14ac:dyDescent="0.35">
      <c r="A481" s="7">
        <v>1480</v>
      </c>
      <c r="B481" s="6" t="s">
        <v>5</v>
      </c>
      <c r="C481" t="s">
        <v>486</v>
      </c>
      <c r="D481" s="7" t="s">
        <v>1058</v>
      </c>
      <c r="E481" s="7" t="s">
        <v>1149</v>
      </c>
      <c r="F481" t="s">
        <v>1630</v>
      </c>
      <c r="G481" s="7" t="s">
        <v>1729</v>
      </c>
      <c r="H481" t="s">
        <v>1739</v>
      </c>
      <c r="I481" t="s">
        <v>1743</v>
      </c>
      <c r="J481" t="s">
        <v>1786</v>
      </c>
      <c r="K481" s="2" t="str">
        <f t="shared" si="15"/>
        <v>1480,'LICENCIATURA','carlosernesto.navarrolespron','112346','TOMAR DEL SND','NAVARRO LESPRON CARLOS ERNESTO','ARQUITECTURA','3ro','MASCULINO','ACTIVO','',0,0,'','ALUMNO'</v>
      </c>
      <c r="L481" s="10" t="str">
        <f t="shared" si="14"/>
        <v>INSERT INTO participantes (id,nivel,correo,matricula,clave,nombre,carrera,grado,sexo,situacion,evaluados,num_evaluados,total_evaluaciones,ultimo_acceso,nivel_acceso) VALUES (1480,'LICENCIATURA','carlosernesto.navarrolespron','112346','TOMAR DEL SND','NAVARRO LESPRON CARLOS ERNESTO','ARQUITECTURA','3ro','MASCULINO','ACTIVO','',0,0,'','ALUMNO');</v>
      </c>
    </row>
    <row r="482" spans="1:12" ht="130.5" x14ac:dyDescent="0.35">
      <c r="A482" s="7">
        <v>1481</v>
      </c>
      <c r="B482" s="6" t="s">
        <v>5</v>
      </c>
      <c r="C482" t="s">
        <v>487</v>
      </c>
      <c r="D482" s="7" t="s">
        <v>1059</v>
      </c>
      <c r="E482" s="7" t="s">
        <v>1149</v>
      </c>
      <c r="F482" t="s">
        <v>1631</v>
      </c>
      <c r="G482" s="7" t="s">
        <v>1731</v>
      </c>
      <c r="H482" t="s">
        <v>1739</v>
      </c>
      <c r="I482" t="s">
        <v>1743</v>
      </c>
      <c r="J482" t="s">
        <v>1786</v>
      </c>
      <c r="K482" s="2" t="str">
        <f t="shared" si="15"/>
        <v>1481,'LICENCIATURA','oswaldo.alvarezcruz','112353','TOMAR DEL SND','ALVAREZ CRUZ OSWALDO','INGENIERÍA AUTOMOTRIZ','3ro','MASCULINO','ACTIVO','',0,0,'','ALUMNO'</v>
      </c>
      <c r="L482" s="10" t="str">
        <f t="shared" si="14"/>
        <v>INSERT INTO participantes (id,nivel,correo,matricula,clave,nombre,carrera,grado,sexo,situacion,evaluados,num_evaluados,total_evaluaciones,ultimo_acceso,nivel_acceso) VALUES (1481,'LICENCIATURA','oswaldo.alvarezcruz','112353','TOMAR DEL SND','ALVAREZ CRUZ OSWALDO','INGENIERÍA AUTOMOTRIZ','3ro','MASCULINO','ACTIVO','',0,0,'','ALUMNO');</v>
      </c>
    </row>
    <row r="483" spans="1:12" ht="130.5" x14ac:dyDescent="0.35">
      <c r="A483" s="7">
        <v>1482</v>
      </c>
      <c r="B483" s="6" t="s">
        <v>5</v>
      </c>
      <c r="C483" t="s">
        <v>488</v>
      </c>
      <c r="D483" s="7" t="s">
        <v>1060</v>
      </c>
      <c r="E483" s="7" t="s">
        <v>1149</v>
      </c>
      <c r="F483" t="s">
        <v>1632</v>
      </c>
      <c r="G483" s="7" t="s">
        <v>1731</v>
      </c>
      <c r="H483" t="s">
        <v>1739</v>
      </c>
      <c r="I483" t="s">
        <v>1743</v>
      </c>
      <c r="J483" t="s">
        <v>1786</v>
      </c>
      <c r="K483" s="2" t="str">
        <f t="shared" si="15"/>
        <v>1482,'LICENCIATURA','arturoalejandro.gutierreztorres','112358','TOMAR DEL SND','GUTIERREZ TORRES ARTURO ALEJANDRO','INGENIERÍA AUTOMOTRIZ','3ro','MASCULINO','ACTIVO','',0,0,'','ALUMNO'</v>
      </c>
      <c r="L483" s="10" t="str">
        <f t="shared" si="14"/>
        <v>INSERT INTO participantes (id,nivel,correo,matricula,clave,nombre,carrera,grado,sexo,situacion,evaluados,num_evaluados,total_evaluaciones,ultimo_acceso,nivel_acceso) VALUES (1482,'LICENCIATURA','arturoalejandro.gutierreztorres','112358','TOMAR DEL SND','GUTIERREZ TORRES ARTURO ALEJANDRO','INGENIERÍA AUTOMOTRIZ','3ro','MASCULINO','ACTIVO','',0,0,'','ALUMNO');</v>
      </c>
    </row>
    <row r="484" spans="1:12" ht="130.5" x14ac:dyDescent="0.35">
      <c r="A484" s="7">
        <v>1483</v>
      </c>
      <c r="B484" s="6" t="s">
        <v>5</v>
      </c>
      <c r="C484" t="s">
        <v>489</v>
      </c>
      <c r="D484" s="7" t="s">
        <v>1061</v>
      </c>
      <c r="E484" s="7" t="s">
        <v>1149</v>
      </c>
      <c r="F484" t="s">
        <v>1633</v>
      </c>
      <c r="G484" s="7" t="s">
        <v>1729</v>
      </c>
      <c r="H484" t="s">
        <v>1739</v>
      </c>
      <c r="I484" t="s">
        <v>1743</v>
      </c>
      <c r="J484" t="s">
        <v>1786</v>
      </c>
      <c r="K484" s="2" t="str">
        <f t="shared" si="15"/>
        <v>1483,'LICENCIATURA','luisdaniel.garciafernandez','112362','TOMAR DEL SND','GARCIA FERNANDEZ LUIS DANIEL','ARQUITECTURA','3ro','MASCULINO','ACTIVO','',0,0,'','ALUMNO'</v>
      </c>
      <c r="L484" s="10" t="str">
        <f t="shared" si="14"/>
        <v>INSERT INTO participantes (id,nivel,correo,matricula,clave,nombre,carrera,grado,sexo,situacion,evaluados,num_evaluados,total_evaluaciones,ultimo_acceso,nivel_acceso) VALUES (1483,'LICENCIATURA','luisdaniel.garciafernandez','112362','TOMAR DEL SND','GARCIA FERNANDEZ LUIS DANIEL','ARQUITECTURA','3ro','MASCULINO','ACTIVO','',0,0,'','ALUMNO');</v>
      </c>
    </row>
    <row r="485" spans="1:12" ht="130.5" x14ac:dyDescent="0.35">
      <c r="A485" s="7">
        <v>1484</v>
      </c>
      <c r="B485" s="6" t="s">
        <v>5</v>
      </c>
      <c r="C485" t="s">
        <v>490</v>
      </c>
      <c r="D485" s="7" t="s">
        <v>1062</v>
      </c>
      <c r="E485" s="7" t="s">
        <v>1149</v>
      </c>
      <c r="F485" t="s">
        <v>1634</v>
      </c>
      <c r="G485" s="7" t="s">
        <v>1725</v>
      </c>
      <c r="H485" t="s">
        <v>1740</v>
      </c>
      <c r="I485" t="s">
        <v>1743</v>
      </c>
      <c r="J485" t="s">
        <v>1786</v>
      </c>
      <c r="K485" s="2" t="str">
        <f t="shared" si="15"/>
        <v>1484,'LICENCIATURA','cristianyael.oñateramirez','112465','TOMAR DEL SND','OÑATE RAMIREZ CRISTIAN YAEL','INGENIERIA AEROESPACIAL','1ro','MASCULINO','ACTIVO','',0,0,'','ALUMNO'</v>
      </c>
      <c r="L485" s="10" t="str">
        <f t="shared" si="14"/>
        <v>INSERT INTO participantes (id,nivel,correo,matricula,clave,nombre,carrera,grado,sexo,situacion,evaluados,num_evaluados,total_evaluaciones,ultimo_acceso,nivel_acceso) VALUES (1484,'LICENCIATURA','cristianyael.oñateramirez','112465','TOMAR DEL SND','OÑATE RAMIREZ CRISTIAN YAEL','INGENIERIA AEROESPACIAL','1ro','MASCULINO','ACTIVO','',0,0,'','ALUMNO');</v>
      </c>
    </row>
    <row r="486" spans="1:12" ht="130.5" x14ac:dyDescent="0.35">
      <c r="A486" s="7">
        <v>1485</v>
      </c>
      <c r="B486" s="6" t="s">
        <v>5</v>
      </c>
      <c r="C486" t="s">
        <v>491</v>
      </c>
      <c r="D486" s="7" t="s">
        <v>1063</v>
      </c>
      <c r="E486" s="7" t="s">
        <v>1149</v>
      </c>
      <c r="F486" t="s">
        <v>1635</v>
      </c>
      <c r="G486" s="7" t="s">
        <v>1731</v>
      </c>
      <c r="H486" t="s">
        <v>1740</v>
      </c>
      <c r="I486" t="s">
        <v>1743</v>
      </c>
      <c r="J486" t="s">
        <v>1786</v>
      </c>
      <c r="K486" s="2" t="str">
        <f t="shared" si="15"/>
        <v>1485,'LICENCIATURA','efren.noriegaorozco','112466','TOMAR DEL SND','NORIEGA OROZCO EFREN','INGENIERÍA AUTOMOTRIZ','1ro','MASCULINO','ACTIVO','',0,0,'','ALUMNO'</v>
      </c>
      <c r="L486" s="10" t="str">
        <f t="shared" si="14"/>
        <v>INSERT INTO participantes (id,nivel,correo,matricula,clave,nombre,carrera,grado,sexo,situacion,evaluados,num_evaluados,total_evaluaciones,ultimo_acceso,nivel_acceso) VALUES (1485,'LICENCIATURA','efren.noriegaorozco','112466','TOMAR DEL SND','NORIEGA OROZCO EFREN','INGENIERÍA AUTOMOTRIZ','1ro','MASCULINO','ACTIVO','',0,0,'','ALUMNO');</v>
      </c>
    </row>
    <row r="487" spans="1:12" ht="130.5" x14ac:dyDescent="0.35">
      <c r="A487" s="7">
        <v>1486</v>
      </c>
      <c r="B487" s="6" t="s">
        <v>5</v>
      </c>
      <c r="C487" t="s">
        <v>492</v>
      </c>
      <c r="D487" s="7" t="s">
        <v>1064</v>
      </c>
      <c r="E487" s="7" t="s">
        <v>1149</v>
      </c>
      <c r="F487" t="s">
        <v>1636</v>
      </c>
      <c r="G487" s="7" t="s">
        <v>1731</v>
      </c>
      <c r="H487" t="s">
        <v>1740</v>
      </c>
      <c r="I487" t="s">
        <v>1743</v>
      </c>
      <c r="J487" t="s">
        <v>1786</v>
      </c>
      <c r="K487" s="2" t="str">
        <f t="shared" si="15"/>
        <v>1486,'LICENCIATURA','luisangel.martinezflores','112467','TOMAR DEL SND','MARTINEZ FLORES LUIS ANGEL','INGENIERÍA AUTOMOTRIZ','1ro','MASCULINO','ACTIVO','',0,0,'','ALUMNO'</v>
      </c>
      <c r="L487" s="10" t="str">
        <f t="shared" si="14"/>
        <v>INSERT INTO participantes (id,nivel,correo,matricula,clave,nombre,carrera,grado,sexo,situacion,evaluados,num_evaluados,total_evaluaciones,ultimo_acceso,nivel_acceso) VALUES (1486,'LICENCIATURA','luisangel.martinezflores','112467','TOMAR DEL SND','MARTINEZ FLORES LUIS ANGEL','INGENIERÍA AUTOMOTRIZ','1ro','MASCULINO','ACTIVO','',0,0,'','ALUMNO');</v>
      </c>
    </row>
    <row r="488" spans="1:12" ht="130.5" x14ac:dyDescent="0.35">
      <c r="A488" s="7">
        <v>1487</v>
      </c>
      <c r="B488" s="6" t="s">
        <v>5</v>
      </c>
      <c r="C488" t="s">
        <v>493</v>
      </c>
      <c r="D488" s="7" t="s">
        <v>1065</v>
      </c>
      <c r="E488" s="7" t="s">
        <v>1149</v>
      </c>
      <c r="F488" t="s">
        <v>1637</v>
      </c>
      <c r="G488" s="7" t="s">
        <v>1731</v>
      </c>
      <c r="H488" t="s">
        <v>1740</v>
      </c>
      <c r="I488" t="s">
        <v>1743</v>
      </c>
      <c r="J488" t="s">
        <v>1786</v>
      </c>
      <c r="K488" s="2" t="str">
        <f t="shared" si="15"/>
        <v>1487,'LICENCIATURA','alfonso.durazoespinoza','112468','TOMAR DEL SND','DURAZO ESPINOZA ALFONSO','INGENIERÍA AUTOMOTRIZ','1ro','MASCULINO','ACTIVO','',0,0,'','ALUMNO'</v>
      </c>
      <c r="L488" s="10" t="str">
        <f t="shared" si="14"/>
        <v>INSERT INTO participantes (id,nivel,correo,matricula,clave,nombre,carrera,grado,sexo,situacion,evaluados,num_evaluados,total_evaluaciones,ultimo_acceso,nivel_acceso) VALUES (1487,'LICENCIATURA','alfonso.durazoespinoza','112468','TOMAR DEL SND','DURAZO ESPINOZA ALFONSO','INGENIERÍA AUTOMOTRIZ','1ro','MASCULINO','ACTIVO','',0,0,'','ALUMNO');</v>
      </c>
    </row>
    <row r="489" spans="1:12" ht="130.5" x14ac:dyDescent="0.35">
      <c r="A489" s="7">
        <v>1488</v>
      </c>
      <c r="B489" s="6" t="s">
        <v>5</v>
      </c>
      <c r="C489" t="s">
        <v>494</v>
      </c>
      <c r="D489" s="7" t="s">
        <v>1066</v>
      </c>
      <c r="E489" s="7" t="s">
        <v>1149</v>
      </c>
      <c r="F489" t="s">
        <v>1638</v>
      </c>
      <c r="G489" s="7" t="s">
        <v>1731</v>
      </c>
      <c r="H489" t="s">
        <v>1740</v>
      </c>
      <c r="I489" t="s">
        <v>1743</v>
      </c>
      <c r="J489" t="s">
        <v>1786</v>
      </c>
      <c r="K489" s="2" t="str">
        <f t="shared" si="15"/>
        <v>1488,'LICENCIATURA','gabrielandre.molinareyes','112469','TOMAR DEL SND','MOLINA REYES GABRIEL ANDRE','INGENIERÍA AUTOMOTRIZ','1ro','MASCULINO','ACTIVO','',0,0,'','ALUMNO'</v>
      </c>
      <c r="L489" s="10" t="str">
        <f t="shared" si="14"/>
        <v>INSERT INTO participantes (id,nivel,correo,matricula,clave,nombre,carrera,grado,sexo,situacion,evaluados,num_evaluados,total_evaluaciones,ultimo_acceso,nivel_acceso) VALUES (1488,'LICENCIATURA','gabrielandre.molinareyes','112469','TOMAR DEL SND','MOLINA REYES GABRIEL ANDRE','INGENIERÍA AUTOMOTRIZ','1ro','MASCULINO','ACTIVO','',0,0,'','ALUMNO');</v>
      </c>
    </row>
    <row r="490" spans="1:12" ht="130.5" x14ac:dyDescent="0.35">
      <c r="A490" s="7">
        <v>1489</v>
      </c>
      <c r="B490" s="6" t="s">
        <v>5</v>
      </c>
      <c r="C490" t="s">
        <v>495</v>
      </c>
      <c r="D490" s="7" t="s">
        <v>1067</v>
      </c>
      <c r="E490" s="7" t="s">
        <v>1149</v>
      </c>
      <c r="F490" t="s">
        <v>1639</v>
      </c>
      <c r="G490" s="7" t="s">
        <v>1731</v>
      </c>
      <c r="H490" t="s">
        <v>1740</v>
      </c>
      <c r="I490" t="s">
        <v>1743</v>
      </c>
      <c r="J490" t="s">
        <v>1786</v>
      </c>
      <c r="K490" s="2" t="str">
        <f t="shared" si="15"/>
        <v>1489,'LICENCIATURA','saul.ramosvazquez','112470','TOMAR DEL SND','RAMOS VAZQUEZ SAUL','INGENIERÍA AUTOMOTRIZ','1ro','MASCULINO','ACTIVO','',0,0,'','ALUMNO'</v>
      </c>
      <c r="L490" s="10" t="str">
        <f t="shared" si="14"/>
        <v>INSERT INTO participantes (id,nivel,correo,matricula,clave,nombre,carrera,grado,sexo,situacion,evaluados,num_evaluados,total_evaluaciones,ultimo_acceso,nivel_acceso) VALUES (1489,'LICENCIATURA','saul.ramosvazquez','112470','TOMAR DEL SND','RAMOS VAZQUEZ SAUL','INGENIERÍA AUTOMOTRIZ','1ro','MASCULINO','ACTIVO','',0,0,'','ALUMNO');</v>
      </c>
    </row>
    <row r="491" spans="1:12" ht="130.5" x14ac:dyDescent="0.35">
      <c r="A491" s="7">
        <v>1490</v>
      </c>
      <c r="B491" s="6" t="s">
        <v>5</v>
      </c>
      <c r="C491" t="s">
        <v>496</v>
      </c>
      <c r="D491" s="7" t="s">
        <v>1068</v>
      </c>
      <c r="E491" s="7" t="s">
        <v>1149</v>
      </c>
      <c r="F491" t="s">
        <v>1640</v>
      </c>
      <c r="G491" s="7" t="s">
        <v>1731</v>
      </c>
      <c r="H491" t="s">
        <v>1740</v>
      </c>
      <c r="I491" t="s">
        <v>1743</v>
      </c>
      <c r="J491" t="s">
        <v>1786</v>
      </c>
      <c r="K491" s="2" t="str">
        <f t="shared" si="15"/>
        <v>1490,'LICENCIATURA','victormiguel.lemusvillalvazo','112471','TOMAR DEL SND','LEMUS VILLALVAZO VICTOR MIGUEL','INGENIERÍA AUTOMOTRIZ','1ro','MASCULINO','ACTIVO','',0,0,'','ALUMNO'</v>
      </c>
      <c r="L491" s="10" t="str">
        <f t="shared" si="14"/>
        <v>INSERT INTO participantes (id,nivel,correo,matricula,clave,nombre,carrera,grado,sexo,situacion,evaluados,num_evaluados,total_evaluaciones,ultimo_acceso,nivel_acceso) VALUES (1490,'LICENCIATURA','victormiguel.lemusvillalvazo','112471','TOMAR DEL SND','LEMUS VILLALVAZO VICTOR MIGUEL','INGENIERÍA AUTOMOTRIZ','1ro','MASCULINO','ACTIVO','',0,0,'','ALUMNO');</v>
      </c>
    </row>
    <row r="492" spans="1:12" ht="130.5" x14ac:dyDescent="0.35">
      <c r="A492" s="7">
        <v>1491</v>
      </c>
      <c r="B492" s="6" t="s">
        <v>5</v>
      </c>
      <c r="C492" t="s">
        <v>497</v>
      </c>
      <c r="D492" s="7" t="s">
        <v>1069</v>
      </c>
      <c r="E492" s="7" t="s">
        <v>1149</v>
      </c>
      <c r="F492" t="s">
        <v>1641</v>
      </c>
      <c r="G492" s="7" t="s">
        <v>1731</v>
      </c>
      <c r="H492" t="s">
        <v>1740</v>
      </c>
      <c r="I492" t="s">
        <v>1743</v>
      </c>
      <c r="J492" t="s">
        <v>1786</v>
      </c>
      <c r="K492" s="2" t="str">
        <f t="shared" si="15"/>
        <v>1491,'LICENCIATURA','diegomoises.dealbazuñiga','112472','TOMAR DEL SND','DE ALBA ZUÑIGA DIEGO MOISES','INGENIERÍA AUTOMOTRIZ','1ro','MASCULINO','ACTIVO','',0,0,'','ALUMNO'</v>
      </c>
      <c r="L492" s="10" t="str">
        <f t="shared" si="14"/>
        <v>INSERT INTO participantes (id,nivel,correo,matricula,clave,nombre,carrera,grado,sexo,situacion,evaluados,num_evaluados,total_evaluaciones,ultimo_acceso,nivel_acceso) VALUES (1491,'LICENCIATURA','diegomoises.dealbazuñiga','112472','TOMAR DEL SND','DE ALBA ZUÑIGA DIEGO MOISES','INGENIERÍA AUTOMOTRIZ','1ro','MASCULINO','ACTIVO','',0,0,'','ALUMNO');</v>
      </c>
    </row>
    <row r="493" spans="1:12" ht="130.5" x14ac:dyDescent="0.35">
      <c r="A493" s="7">
        <v>1492</v>
      </c>
      <c r="B493" s="6" t="s">
        <v>5</v>
      </c>
      <c r="C493" t="s">
        <v>498</v>
      </c>
      <c r="D493" s="7" t="s">
        <v>1070</v>
      </c>
      <c r="E493" s="7" t="s">
        <v>1149</v>
      </c>
      <c r="F493" t="s">
        <v>1642</v>
      </c>
      <c r="G493" s="7" t="s">
        <v>1731</v>
      </c>
      <c r="H493" t="s">
        <v>1740</v>
      </c>
      <c r="I493" t="s">
        <v>1744</v>
      </c>
      <c r="J493" t="s">
        <v>1786</v>
      </c>
      <c r="K493" s="2" t="str">
        <f t="shared" si="15"/>
        <v>1492,'LICENCIATURA','fernandaaide.lomelialcantara','112473','TOMAR DEL SND','LOMELI ALCANTARA FERNANDA AIDE','INGENIERÍA AUTOMOTRIZ','1ro','FEMENINO','ACTIVO','',0,0,'','ALUMNO'</v>
      </c>
      <c r="L493" s="10" t="str">
        <f t="shared" si="14"/>
        <v>INSERT INTO participantes (id,nivel,correo,matricula,clave,nombre,carrera,grado,sexo,situacion,evaluados,num_evaluados,total_evaluaciones,ultimo_acceso,nivel_acceso) VALUES (1492,'LICENCIATURA','fernandaaide.lomelialcantara','112473','TOMAR DEL SND','LOMELI ALCANTARA FERNANDA AIDE','INGENIERÍA AUTOMOTRIZ','1ro','FEMENINO','ACTIVO','',0,0,'','ALUMNO');</v>
      </c>
    </row>
    <row r="494" spans="1:12" ht="130.5" x14ac:dyDescent="0.35">
      <c r="A494" s="7">
        <v>1493</v>
      </c>
      <c r="B494" s="6" t="s">
        <v>5</v>
      </c>
      <c r="C494" t="s">
        <v>499</v>
      </c>
      <c r="D494" s="7" t="s">
        <v>1071</v>
      </c>
      <c r="E494" s="7" t="s">
        <v>1149</v>
      </c>
      <c r="F494" t="s">
        <v>1643</v>
      </c>
      <c r="G494" s="7" t="s">
        <v>1731</v>
      </c>
      <c r="H494" t="s">
        <v>1740</v>
      </c>
      <c r="I494" t="s">
        <v>1743</v>
      </c>
      <c r="J494" t="s">
        <v>1786</v>
      </c>
      <c r="K494" s="2" t="str">
        <f t="shared" si="15"/>
        <v>1493,'LICENCIATURA','vladimir.romorodriguez','112474','TOMAR DEL SND','ROMO RODRIGUEZ VLADIMIR','INGENIERÍA AUTOMOTRIZ','1ro','MASCULINO','ACTIVO','',0,0,'','ALUMNO'</v>
      </c>
      <c r="L494" s="10" t="str">
        <f t="shared" si="14"/>
        <v>INSERT INTO participantes (id,nivel,correo,matricula,clave,nombre,carrera,grado,sexo,situacion,evaluados,num_evaluados,total_evaluaciones,ultimo_acceso,nivel_acceso) VALUES (1493,'LICENCIATURA','vladimir.romorodriguez','112474','TOMAR DEL SND','ROMO RODRIGUEZ VLADIMIR','INGENIERÍA AUTOMOTRIZ','1ro','MASCULINO','ACTIVO','',0,0,'','ALUMNO');</v>
      </c>
    </row>
    <row r="495" spans="1:12" ht="130.5" x14ac:dyDescent="0.35">
      <c r="A495" s="7">
        <v>1494</v>
      </c>
      <c r="B495" s="6" t="s">
        <v>5</v>
      </c>
      <c r="C495" t="s">
        <v>500</v>
      </c>
      <c r="D495" s="7" t="s">
        <v>1072</v>
      </c>
      <c r="E495" s="7" t="s">
        <v>1149</v>
      </c>
      <c r="F495" t="s">
        <v>1644</v>
      </c>
      <c r="G495" s="7" t="s">
        <v>1731</v>
      </c>
      <c r="H495" t="s">
        <v>1740</v>
      </c>
      <c r="I495" t="s">
        <v>1743</v>
      </c>
      <c r="J495" t="s">
        <v>1786</v>
      </c>
      <c r="K495" s="2" t="str">
        <f t="shared" si="15"/>
        <v>1494,'LICENCIATURA','luisvirgilio.gomezmadero','112475','TOMAR DEL SND','GOMEZ MADERO LUIS VIRGILIO','INGENIERÍA AUTOMOTRIZ','1ro','MASCULINO','ACTIVO','',0,0,'','ALUMNO'</v>
      </c>
      <c r="L495" s="10" t="str">
        <f t="shared" si="14"/>
        <v>INSERT INTO participantes (id,nivel,correo,matricula,clave,nombre,carrera,grado,sexo,situacion,evaluados,num_evaluados,total_evaluaciones,ultimo_acceso,nivel_acceso) VALUES (1494,'LICENCIATURA','luisvirgilio.gomezmadero','112475','TOMAR DEL SND','GOMEZ MADERO LUIS VIRGILIO','INGENIERÍA AUTOMOTRIZ','1ro','MASCULINO','ACTIVO','',0,0,'','ALUMNO');</v>
      </c>
    </row>
    <row r="496" spans="1:12" ht="130.5" x14ac:dyDescent="0.35">
      <c r="A496" s="7">
        <v>1495</v>
      </c>
      <c r="B496" s="6" t="s">
        <v>5</v>
      </c>
      <c r="C496" t="s">
        <v>501</v>
      </c>
      <c r="D496" s="7" t="s">
        <v>1073</v>
      </c>
      <c r="E496" s="7" t="s">
        <v>1149</v>
      </c>
      <c r="F496" t="s">
        <v>1645</v>
      </c>
      <c r="G496" s="7" t="s">
        <v>1731</v>
      </c>
      <c r="H496" t="s">
        <v>1740</v>
      </c>
      <c r="I496" t="s">
        <v>1743</v>
      </c>
      <c r="J496" t="s">
        <v>1786</v>
      </c>
      <c r="K496" s="2" t="str">
        <f t="shared" si="15"/>
        <v>1495,'LICENCIATURA','juanpablo.hernandezrodriguez','112476','TOMAR DEL SND','HERNANDEZ RODRIGUEZ JUAN PABLO','INGENIERÍA AUTOMOTRIZ','1ro','MASCULINO','ACTIVO','',0,0,'','ALUMNO'</v>
      </c>
      <c r="L496" s="10" t="str">
        <f t="shared" si="14"/>
        <v>INSERT INTO participantes (id,nivel,correo,matricula,clave,nombre,carrera,grado,sexo,situacion,evaluados,num_evaluados,total_evaluaciones,ultimo_acceso,nivel_acceso) VALUES (1495,'LICENCIATURA','juanpablo.hernandezrodriguez','112476','TOMAR DEL SND','HERNANDEZ RODRIGUEZ JUAN PABLO','INGENIERÍA AUTOMOTRIZ','1ro','MASCULINO','ACTIVO','',0,0,'','ALUMNO');</v>
      </c>
    </row>
    <row r="497" spans="1:12" ht="130.5" x14ac:dyDescent="0.35">
      <c r="A497" s="7">
        <v>1496</v>
      </c>
      <c r="B497" s="6" t="s">
        <v>5</v>
      </c>
      <c r="C497" t="s">
        <v>502</v>
      </c>
      <c r="D497" s="7" t="s">
        <v>1074</v>
      </c>
      <c r="E497" s="7" t="s">
        <v>1149</v>
      </c>
      <c r="F497" t="s">
        <v>1646</v>
      </c>
      <c r="G497" s="7" t="s">
        <v>1725</v>
      </c>
      <c r="H497" t="s">
        <v>1740</v>
      </c>
      <c r="I497" t="s">
        <v>1743</v>
      </c>
      <c r="J497" t="s">
        <v>1786</v>
      </c>
      <c r="K497" s="2" t="str">
        <f t="shared" si="15"/>
        <v>1496,'LICENCIATURA','david.rodrigueztreviño','112477','TOMAR DEL SND','RODRIGUEZ TREVIÑO DAVID','INGENIERIA AEROESPACIAL','1ro','MASCULINO','ACTIVO','',0,0,'','ALUMNO'</v>
      </c>
      <c r="L497" s="10" t="str">
        <f t="shared" si="14"/>
        <v>INSERT INTO participantes (id,nivel,correo,matricula,clave,nombre,carrera,grado,sexo,situacion,evaluados,num_evaluados,total_evaluaciones,ultimo_acceso,nivel_acceso) VALUES (1496,'LICENCIATURA','david.rodrigueztreviño','112477','TOMAR DEL SND','RODRIGUEZ TREVIÑO DAVID','INGENIERIA AEROESPACIAL','1ro','MASCULINO','ACTIVO','',0,0,'','ALUMNO');</v>
      </c>
    </row>
    <row r="498" spans="1:12" ht="130.5" x14ac:dyDescent="0.35">
      <c r="A498" s="7">
        <v>1497</v>
      </c>
      <c r="B498" s="6" t="s">
        <v>5</v>
      </c>
      <c r="C498" t="s">
        <v>503</v>
      </c>
      <c r="D498" s="7" t="s">
        <v>1075</v>
      </c>
      <c r="E498" s="7" t="s">
        <v>1149</v>
      </c>
      <c r="F498" t="s">
        <v>1647</v>
      </c>
      <c r="G498" s="7" t="s">
        <v>1725</v>
      </c>
      <c r="H498" t="s">
        <v>1740</v>
      </c>
      <c r="I498" t="s">
        <v>1743</v>
      </c>
      <c r="J498" t="s">
        <v>1786</v>
      </c>
      <c r="K498" s="2" t="str">
        <f t="shared" si="15"/>
        <v>1497,'LICENCIATURA','eriksantiago.ramirezortega','112478','TOMAR DEL SND','RAMIREZ ORTEGA ERIK SANTIAGO','INGENIERIA AEROESPACIAL','1ro','MASCULINO','ACTIVO','',0,0,'','ALUMNO'</v>
      </c>
      <c r="L498" s="10" t="str">
        <f t="shared" si="14"/>
        <v>INSERT INTO participantes (id,nivel,correo,matricula,clave,nombre,carrera,grado,sexo,situacion,evaluados,num_evaluados,total_evaluaciones,ultimo_acceso,nivel_acceso) VALUES (1497,'LICENCIATURA','eriksantiago.ramirezortega','112478','TOMAR DEL SND','RAMIREZ ORTEGA ERIK SANTIAGO','INGENIERIA AEROESPACIAL','1ro','MASCULINO','ACTIVO','',0,0,'','ALUMNO');</v>
      </c>
    </row>
    <row r="499" spans="1:12" ht="130.5" x14ac:dyDescent="0.35">
      <c r="A499" s="7">
        <v>1498</v>
      </c>
      <c r="B499" s="6" t="s">
        <v>5</v>
      </c>
      <c r="C499" t="s">
        <v>504</v>
      </c>
      <c r="D499" s="7" t="s">
        <v>1076</v>
      </c>
      <c r="E499" s="7" t="s">
        <v>1149</v>
      </c>
      <c r="F499" t="s">
        <v>1648</v>
      </c>
      <c r="G499" s="7" t="s">
        <v>1725</v>
      </c>
      <c r="H499" t="s">
        <v>1740</v>
      </c>
      <c r="I499" t="s">
        <v>1743</v>
      </c>
      <c r="J499" t="s">
        <v>1786</v>
      </c>
      <c r="K499" s="2" t="str">
        <f t="shared" si="15"/>
        <v>1498,'LICENCIATURA','carlosalberto.martinezcortes','112479','TOMAR DEL SND','MARTINEZ CORTES CARLOS ALBERTO','INGENIERIA AEROESPACIAL','1ro','MASCULINO','ACTIVO','',0,0,'','ALUMNO'</v>
      </c>
      <c r="L499" s="10" t="str">
        <f t="shared" si="14"/>
        <v>INSERT INTO participantes (id,nivel,correo,matricula,clave,nombre,carrera,grado,sexo,situacion,evaluados,num_evaluados,total_evaluaciones,ultimo_acceso,nivel_acceso) VALUES (1498,'LICENCIATURA','carlosalberto.martinezcortes','112479','TOMAR DEL SND','MARTINEZ CORTES CARLOS ALBERTO','INGENIERIA AEROESPACIAL','1ro','MASCULINO','ACTIVO','',0,0,'','ALUMNO');</v>
      </c>
    </row>
    <row r="500" spans="1:12" ht="130.5" x14ac:dyDescent="0.35">
      <c r="A500" s="7">
        <v>1499</v>
      </c>
      <c r="B500" s="6" t="s">
        <v>5</v>
      </c>
      <c r="C500" t="s">
        <v>505</v>
      </c>
      <c r="D500" s="7" t="s">
        <v>1077</v>
      </c>
      <c r="E500" s="7" t="s">
        <v>1149</v>
      </c>
      <c r="F500" t="s">
        <v>1649</v>
      </c>
      <c r="G500" s="7" t="s">
        <v>1725</v>
      </c>
      <c r="H500" t="s">
        <v>1740</v>
      </c>
      <c r="I500" t="s">
        <v>1743</v>
      </c>
      <c r="J500" t="s">
        <v>1786</v>
      </c>
      <c r="K500" s="2" t="str">
        <f t="shared" si="15"/>
        <v>1499,'LICENCIATURA','danteemiliano.ferragutmiranda','112480','TOMAR DEL SND','FERRAGUT MIRANDA DANTE EMILIANO','INGENIERIA AEROESPACIAL','1ro','MASCULINO','ACTIVO','',0,0,'','ALUMNO'</v>
      </c>
      <c r="L500" s="10" t="str">
        <f t="shared" si="14"/>
        <v>INSERT INTO participantes (id,nivel,correo,matricula,clave,nombre,carrera,grado,sexo,situacion,evaluados,num_evaluados,total_evaluaciones,ultimo_acceso,nivel_acceso) VALUES (1499,'LICENCIATURA','danteemiliano.ferragutmiranda','112480','TOMAR DEL SND','FERRAGUT MIRANDA DANTE EMILIANO','INGENIERIA AEROESPACIAL','1ro','MASCULINO','ACTIVO','',0,0,'','ALUMNO');</v>
      </c>
    </row>
    <row r="501" spans="1:12" ht="130.5" x14ac:dyDescent="0.35">
      <c r="A501" s="7">
        <v>1500</v>
      </c>
      <c r="B501" s="6" t="s">
        <v>5</v>
      </c>
      <c r="C501" t="s">
        <v>506</v>
      </c>
      <c r="D501" s="7" t="s">
        <v>1078</v>
      </c>
      <c r="E501" s="7" t="s">
        <v>1149</v>
      </c>
      <c r="F501" t="s">
        <v>1650</v>
      </c>
      <c r="G501" s="7" t="s">
        <v>1725</v>
      </c>
      <c r="H501" t="s">
        <v>1740</v>
      </c>
      <c r="I501" t="s">
        <v>1743</v>
      </c>
      <c r="J501" t="s">
        <v>1786</v>
      </c>
      <c r="K501" s="2" t="str">
        <f t="shared" si="15"/>
        <v>1500,'LICENCIATURA','rodrigojosue.andradepalacios','112481','TOMAR DEL SND','ANDRADE PALACIOS RODRIGO JOSUE','INGENIERIA AEROESPACIAL','1ro','MASCULINO','ACTIVO','',0,0,'','ALUMNO'</v>
      </c>
      <c r="L501" s="10" t="str">
        <f t="shared" si="14"/>
        <v>INSERT INTO participantes (id,nivel,correo,matricula,clave,nombre,carrera,grado,sexo,situacion,evaluados,num_evaluados,total_evaluaciones,ultimo_acceso,nivel_acceso) VALUES (1500,'LICENCIATURA','rodrigojosue.andradepalacios','112481','TOMAR DEL SND','ANDRADE PALACIOS RODRIGO JOSUE','INGENIERIA AEROESPACIAL','1ro','MASCULINO','ACTIVO','',0,0,'','ALUMNO');</v>
      </c>
    </row>
    <row r="502" spans="1:12" ht="130.5" x14ac:dyDescent="0.35">
      <c r="A502" s="7">
        <v>1501</v>
      </c>
      <c r="B502" s="6" t="s">
        <v>5</v>
      </c>
      <c r="C502" t="s">
        <v>507</v>
      </c>
      <c r="D502" s="7" t="s">
        <v>1079</v>
      </c>
      <c r="E502" s="7" t="s">
        <v>1149</v>
      </c>
      <c r="F502" t="s">
        <v>1651</v>
      </c>
      <c r="G502" s="7" t="s">
        <v>1725</v>
      </c>
      <c r="H502" t="s">
        <v>1740</v>
      </c>
      <c r="I502" t="s">
        <v>1743</v>
      </c>
      <c r="J502" t="s">
        <v>1786</v>
      </c>
      <c r="K502" s="2" t="str">
        <f t="shared" si="15"/>
        <v>1501,'LICENCIATURA','danielantonio.perezcardoso','112482','TOMAR DEL SND','PEREZ CARDOSO DANIEL ANTONIO','INGENIERIA AEROESPACIAL','1ro','MASCULINO','ACTIVO','',0,0,'','ALUMNO'</v>
      </c>
      <c r="L502" s="10" t="str">
        <f t="shared" si="14"/>
        <v>INSERT INTO participantes (id,nivel,correo,matricula,clave,nombre,carrera,grado,sexo,situacion,evaluados,num_evaluados,total_evaluaciones,ultimo_acceso,nivel_acceso) VALUES (1501,'LICENCIATURA','danielantonio.perezcardoso','112482','TOMAR DEL SND','PEREZ CARDOSO DANIEL ANTONIO','INGENIERIA AEROESPACIAL','1ro','MASCULINO','ACTIVO','',0,0,'','ALUMNO');</v>
      </c>
    </row>
    <row r="503" spans="1:12" ht="130.5" x14ac:dyDescent="0.35">
      <c r="A503" s="7">
        <v>1502</v>
      </c>
      <c r="B503" s="6" t="s">
        <v>5</v>
      </c>
      <c r="C503" t="s">
        <v>508</v>
      </c>
      <c r="D503" s="7" t="s">
        <v>1080</v>
      </c>
      <c r="E503" s="7" t="s">
        <v>1149</v>
      </c>
      <c r="F503" t="s">
        <v>1652</v>
      </c>
      <c r="G503" s="7" t="s">
        <v>1725</v>
      </c>
      <c r="H503" t="s">
        <v>1740</v>
      </c>
      <c r="I503" t="s">
        <v>1743</v>
      </c>
      <c r="J503" t="s">
        <v>1786</v>
      </c>
      <c r="K503" s="2" t="str">
        <f t="shared" si="15"/>
        <v>1502,'LICENCIATURA','hectoralejandro.alvarezmata','112483','TOMAR DEL SND','ALVAREZ MATA HECTOR ALEJANDRO','INGENIERIA AEROESPACIAL','1ro','MASCULINO','ACTIVO','',0,0,'','ALUMNO'</v>
      </c>
      <c r="L503" s="10" t="str">
        <f t="shared" si="14"/>
        <v>INSERT INTO participantes (id,nivel,correo,matricula,clave,nombre,carrera,grado,sexo,situacion,evaluados,num_evaluados,total_evaluaciones,ultimo_acceso,nivel_acceso) VALUES (1502,'LICENCIATURA','hectoralejandro.alvarezmata','112483','TOMAR DEL SND','ALVAREZ MATA HECTOR ALEJANDRO','INGENIERIA AEROESPACIAL','1ro','MASCULINO','ACTIVO','',0,0,'','ALUMNO');</v>
      </c>
    </row>
    <row r="504" spans="1:12" ht="130.5" x14ac:dyDescent="0.35">
      <c r="A504" s="7">
        <v>1503</v>
      </c>
      <c r="B504" s="6" t="s">
        <v>5</v>
      </c>
      <c r="C504" t="s">
        <v>509</v>
      </c>
      <c r="D504" s="7" t="s">
        <v>1081</v>
      </c>
      <c r="E504" s="7" t="s">
        <v>1149</v>
      </c>
      <c r="F504" t="s">
        <v>1653</v>
      </c>
      <c r="G504" s="7" t="s">
        <v>1725</v>
      </c>
      <c r="H504" t="s">
        <v>1740</v>
      </c>
      <c r="I504" t="s">
        <v>1743</v>
      </c>
      <c r="J504" t="s">
        <v>1786</v>
      </c>
      <c r="K504" s="2" t="str">
        <f t="shared" si="15"/>
        <v>1503,'LICENCIATURA','ikermatias.prezasuarez','112484','TOMAR DEL SND','PREZA SUAREZ IKER MATIAS','INGENIERIA AEROESPACIAL','1ro','MASCULINO','ACTIVO','',0,0,'','ALUMNO'</v>
      </c>
      <c r="L504" s="10" t="str">
        <f t="shared" si="14"/>
        <v>INSERT INTO participantes (id,nivel,correo,matricula,clave,nombre,carrera,grado,sexo,situacion,evaluados,num_evaluados,total_evaluaciones,ultimo_acceso,nivel_acceso) VALUES (1503,'LICENCIATURA','ikermatias.prezasuarez','112484','TOMAR DEL SND','PREZA SUAREZ IKER MATIAS','INGENIERIA AEROESPACIAL','1ro','MASCULINO','ACTIVO','',0,0,'','ALUMNO');</v>
      </c>
    </row>
    <row r="505" spans="1:12" ht="130.5" x14ac:dyDescent="0.35">
      <c r="A505" s="7">
        <v>1504</v>
      </c>
      <c r="B505" s="6" t="s">
        <v>5</v>
      </c>
      <c r="C505" t="s">
        <v>510</v>
      </c>
      <c r="D505" s="7" t="s">
        <v>1082</v>
      </c>
      <c r="E505" s="7" t="s">
        <v>1149</v>
      </c>
      <c r="F505" t="s">
        <v>1654</v>
      </c>
      <c r="G505" s="7" t="s">
        <v>1725</v>
      </c>
      <c r="H505" t="s">
        <v>1740</v>
      </c>
      <c r="I505" t="s">
        <v>1744</v>
      </c>
      <c r="J505" t="s">
        <v>1786</v>
      </c>
      <c r="K505" s="2" t="str">
        <f t="shared" si="15"/>
        <v>1504,'LICENCIATURA','zuamalinali.perezmartinez','112485','TOMAR DEL SND','PEREZ MARTINEZ ZUA MALINALI','INGENIERIA AEROESPACIAL','1ro','FEMENINO','ACTIVO','',0,0,'','ALUMNO'</v>
      </c>
      <c r="L505" s="10" t="str">
        <f t="shared" si="14"/>
        <v>INSERT INTO participantes (id,nivel,correo,matricula,clave,nombre,carrera,grado,sexo,situacion,evaluados,num_evaluados,total_evaluaciones,ultimo_acceso,nivel_acceso) VALUES (1504,'LICENCIATURA','zuamalinali.perezmartinez','112485','TOMAR DEL SND','PEREZ MARTINEZ ZUA MALINALI','INGENIERIA AEROESPACIAL','1ro','FEMENINO','ACTIVO','',0,0,'','ALUMNO');</v>
      </c>
    </row>
    <row r="506" spans="1:12" ht="130.5" x14ac:dyDescent="0.35">
      <c r="A506" s="7">
        <v>1505</v>
      </c>
      <c r="B506" s="6" t="s">
        <v>5</v>
      </c>
      <c r="C506" t="s">
        <v>511</v>
      </c>
      <c r="D506" s="7" t="s">
        <v>1083</v>
      </c>
      <c r="E506" s="7" t="s">
        <v>1149</v>
      </c>
      <c r="F506" t="s">
        <v>1655</v>
      </c>
      <c r="G506" s="7" t="s">
        <v>1725</v>
      </c>
      <c r="H506" t="s">
        <v>1740</v>
      </c>
      <c r="I506" t="s">
        <v>1744</v>
      </c>
      <c r="J506" t="s">
        <v>1786</v>
      </c>
      <c r="K506" s="2" t="str">
        <f t="shared" si="15"/>
        <v>1505,'LICENCIATURA','maraisabella.mendezjauregui','112486','TOMAR DEL SND','MENDEZ JAUREGUI MARA ISABELLA','INGENIERIA AEROESPACIAL','1ro','FEMENINO','ACTIVO','',0,0,'','ALUMNO'</v>
      </c>
      <c r="L506" s="10" t="str">
        <f t="shared" si="14"/>
        <v>INSERT INTO participantes (id,nivel,correo,matricula,clave,nombre,carrera,grado,sexo,situacion,evaluados,num_evaluados,total_evaluaciones,ultimo_acceso,nivel_acceso) VALUES (1505,'LICENCIATURA','maraisabella.mendezjauregui','112486','TOMAR DEL SND','MENDEZ JAUREGUI MARA ISABELLA','INGENIERIA AEROESPACIAL','1ro','FEMENINO','ACTIVO','',0,0,'','ALUMNO');</v>
      </c>
    </row>
    <row r="507" spans="1:12" ht="130.5" x14ac:dyDescent="0.35">
      <c r="A507" s="7">
        <v>1506</v>
      </c>
      <c r="B507" s="6" t="s">
        <v>5</v>
      </c>
      <c r="C507" t="s">
        <v>512</v>
      </c>
      <c r="D507" s="7" t="s">
        <v>1084</v>
      </c>
      <c r="E507" s="7" t="s">
        <v>1149</v>
      </c>
      <c r="F507" t="s">
        <v>1656</v>
      </c>
      <c r="G507" s="7" t="s">
        <v>1726</v>
      </c>
      <c r="H507" t="s">
        <v>1740</v>
      </c>
      <c r="I507" t="s">
        <v>1743</v>
      </c>
      <c r="J507" t="s">
        <v>1786</v>
      </c>
      <c r="K507" s="2" t="str">
        <f t="shared" si="15"/>
        <v>1506,'LICENCIATURA','hectorociel.garciacastellanos','112488','TOMAR DEL SND','GARCIA CASTELLANOS HECTOR OCIEL','PSICOLOGIA','1ro','MASCULINO','ACTIVO','',0,0,'','ALUMNO'</v>
      </c>
      <c r="L507" s="10" t="str">
        <f t="shared" si="14"/>
        <v>INSERT INTO participantes (id,nivel,correo,matricula,clave,nombre,carrera,grado,sexo,situacion,evaluados,num_evaluados,total_evaluaciones,ultimo_acceso,nivel_acceso) VALUES (1506,'LICENCIATURA','hectorociel.garciacastellanos','112488','TOMAR DEL SND','GARCIA CASTELLANOS HECTOR OCIEL','PSICOLOGIA','1ro','MASCULINO','ACTIVO','',0,0,'','ALUMNO');</v>
      </c>
    </row>
    <row r="508" spans="1:12" ht="130.5" x14ac:dyDescent="0.35">
      <c r="A508" s="7">
        <v>1507</v>
      </c>
      <c r="B508" s="6" t="s">
        <v>5</v>
      </c>
      <c r="C508" t="s">
        <v>513</v>
      </c>
      <c r="D508" s="7" t="s">
        <v>1085</v>
      </c>
      <c r="E508" s="7" t="s">
        <v>1149</v>
      </c>
      <c r="F508" t="s">
        <v>1657</v>
      </c>
      <c r="G508" s="7" t="s">
        <v>1726</v>
      </c>
      <c r="H508" t="s">
        <v>1740</v>
      </c>
      <c r="I508" t="s">
        <v>1743</v>
      </c>
      <c r="J508" t="s">
        <v>1786</v>
      </c>
      <c r="K508" s="2" t="str">
        <f t="shared" si="15"/>
        <v>1507,'LICENCIATURA','carlosisaias.roblesrivera','112489','TOMAR DEL SND','ROBLES RIVERA CARLOS ISAIAS','PSICOLOGIA','1ro','MASCULINO','ACTIVO','',0,0,'','ALUMNO'</v>
      </c>
      <c r="L508" s="10" t="str">
        <f t="shared" si="14"/>
        <v>INSERT INTO participantes (id,nivel,correo,matricula,clave,nombre,carrera,grado,sexo,situacion,evaluados,num_evaluados,total_evaluaciones,ultimo_acceso,nivel_acceso) VALUES (1507,'LICENCIATURA','carlosisaias.roblesrivera','112489','TOMAR DEL SND','ROBLES RIVERA CARLOS ISAIAS','PSICOLOGIA','1ro','MASCULINO','ACTIVO','',0,0,'','ALUMNO');</v>
      </c>
    </row>
    <row r="509" spans="1:12" ht="130.5" x14ac:dyDescent="0.35">
      <c r="A509" s="7">
        <v>1508</v>
      </c>
      <c r="B509" s="6" t="s">
        <v>5</v>
      </c>
      <c r="C509" t="s">
        <v>514</v>
      </c>
      <c r="D509" s="7" t="s">
        <v>1086</v>
      </c>
      <c r="E509" s="7" t="s">
        <v>1149</v>
      </c>
      <c r="F509" t="s">
        <v>1658</v>
      </c>
      <c r="G509" s="7" t="s">
        <v>1726</v>
      </c>
      <c r="H509" t="s">
        <v>1740</v>
      </c>
      <c r="I509" t="s">
        <v>1744</v>
      </c>
      <c r="J509" t="s">
        <v>1786</v>
      </c>
      <c r="K509" s="2" t="str">
        <f t="shared" si="15"/>
        <v>1508,'LICENCIATURA','marisela.pachecosalas','112490','TOMAR DEL SND','PACHECO SALAS MARISELA','PSICOLOGIA','1ro','FEMENINO','ACTIVO','',0,0,'','ALUMNO'</v>
      </c>
      <c r="L509" s="10" t="str">
        <f t="shared" si="14"/>
        <v>INSERT INTO participantes (id,nivel,correo,matricula,clave,nombre,carrera,grado,sexo,situacion,evaluados,num_evaluados,total_evaluaciones,ultimo_acceso,nivel_acceso) VALUES (1508,'LICENCIATURA','marisela.pachecosalas','112490','TOMAR DEL SND','PACHECO SALAS MARISELA','PSICOLOGIA','1ro','FEMENINO','ACTIVO','',0,0,'','ALUMNO');</v>
      </c>
    </row>
    <row r="510" spans="1:12" ht="130.5" x14ac:dyDescent="0.35">
      <c r="A510" s="7">
        <v>1509</v>
      </c>
      <c r="B510" s="6" t="s">
        <v>5</v>
      </c>
      <c r="C510" t="s">
        <v>515</v>
      </c>
      <c r="D510" s="7" t="s">
        <v>1087</v>
      </c>
      <c r="E510" s="7" t="s">
        <v>1149</v>
      </c>
      <c r="F510" t="s">
        <v>1659</v>
      </c>
      <c r="G510" s="7" t="s">
        <v>1726</v>
      </c>
      <c r="H510" t="s">
        <v>1740</v>
      </c>
      <c r="I510" t="s">
        <v>1744</v>
      </c>
      <c r="J510" t="s">
        <v>1786</v>
      </c>
      <c r="K510" s="2" t="str">
        <f t="shared" si="15"/>
        <v>1509,'LICENCIATURA','andreaanahi.esquivelochoa','112491','TOMAR DEL SND','ESQUIVEL OCHOA ANDREA ANAHI','PSICOLOGIA','1ro','FEMENINO','ACTIVO','',0,0,'','ALUMNO'</v>
      </c>
      <c r="L510" s="10" t="str">
        <f t="shared" si="14"/>
        <v>INSERT INTO participantes (id,nivel,correo,matricula,clave,nombre,carrera,grado,sexo,situacion,evaluados,num_evaluados,total_evaluaciones,ultimo_acceso,nivel_acceso) VALUES (1509,'LICENCIATURA','andreaanahi.esquivelochoa','112491','TOMAR DEL SND','ESQUIVEL OCHOA ANDREA ANAHI','PSICOLOGIA','1ro','FEMENINO','ACTIVO','',0,0,'','ALUMNO');</v>
      </c>
    </row>
    <row r="511" spans="1:12" ht="130.5" x14ac:dyDescent="0.35">
      <c r="A511" s="7">
        <v>1510</v>
      </c>
      <c r="B511" s="6" t="s">
        <v>5</v>
      </c>
      <c r="C511" t="s">
        <v>516</v>
      </c>
      <c r="D511" s="7" t="s">
        <v>1088</v>
      </c>
      <c r="E511" s="7" t="s">
        <v>1149</v>
      </c>
      <c r="F511" t="s">
        <v>1660</v>
      </c>
      <c r="G511" s="7" t="s">
        <v>1729</v>
      </c>
      <c r="H511" t="s">
        <v>1740</v>
      </c>
      <c r="I511" t="s">
        <v>1744</v>
      </c>
      <c r="J511" t="s">
        <v>1786</v>
      </c>
      <c r="K511" s="2" t="str">
        <f t="shared" si="15"/>
        <v>1510,'LICENCIATURA','mariajose.leyvacedillo','112492','TOMAR DEL SND','LEYVA CEDILLO MARIA JOSE','ARQUITECTURA','1ro','FEMENINO','ACTIVO','',0,0,'','ALUMNO'</v>
      </c>
      <c r="L511" s="10" t="str">
        <f t="shared" si="14"/>
        <v>INSERT INTO participantes (id,nivel,correo,matricula,clave,nombre,carrera,grado,sexo,situacion,evaluados,num_evaluados,total_evaluaciones,ultimo_acceso,nivel_acceso) VALUES (1510,'LICENCIATURA','mariajose.leyvacedillo','112492','TOMAR DEL SND','LEYVA CEDILLO MARIA JOSE','ARQUITECTURA','1ro','FEMENINO','ACTIVO','',0,0,'','ALUMNO');</v>
      </c>
    </row>
    <row r="512" spans="1:12" ht="130.5" x14ac:dyDescent="0.35">
      <c r="A512" s="7">
        <v>1511</v>
      </c>
      <c r="B512" s="6" t="s">
        <v>5</v>
      </c>
      <c r="C512" t="s">
        <v>517</v>
      </c>
      <c r="D512" s="7" t="s">
        <v>1089</v>
      </c>
      <c r="E512" s="7" t="s">
        <v>1149</v>
      </c>
      <c r="F512" t="s">
        <v>1661</v>
      </c>
      <c r="G512" s="7" t="s">
        <v>1731</v>
      </c>
      <c r="H512" t="s">
        <v>1740</v>
      </c>
      <c r="I512" t="s">
        <v>1744</v>
      </c>
      <c r="J512" t="s">
        <v>1786</v>
      </c>
      <c r="K512" s="2" t="str">
        <f t="shared" si="15"/>
        <v>1511,'LICENCIATURA','aisha.delozasanchez','112493','TOMAR DEL SND','DE LOZA SANCHEZ AISHA','INGENIERÍA AUTOMOTRIZ','1ro','FEMENINO','ACTIVO','',0,0,'','ALUMNO'</v>
      </c>
      <c r="L512" s="10" t="str">
        <f t="shared" si="14"/>
        <v>INSERT INTO participantes (id,nivel,correo,matricula,clave,nombre,carrera,grado,sexo,situacion,evaluados,num_evaluados,total_evaluaciones,ultimo_acceso,nivel_acceso) VALUES (1511,'LICENCIATURA','aisha.delozasanchez','112493','TOMAR DEL SND','DE LOZA SANCHEZ AISHA','INGENIERÍA AUTOMOTRIZ','1ro','FEMENINO','ACTIVO','',0,0,'','ALUMNO');</v>
      </c>
    </row>
    <row r="513" spans="1:12" ht="130.5" x14ac:dyDescent="0.35">
      <c r="A513" s="7">
        <v>1512</v>
      </c>
      <c r="B513" s="6" t="s">
        <v>5</v>
      </c>
      <c r="C513" t="s">
        <v>518</v>
      </c>
      <c r="D513" s="7" t="s">
        <v>1090</v>
      </c>
      <c r="E513" s="7" t="s">
        <v>1149</v>
      </c>
      <c r="F513" t="s">
        <v>1662</v>
      </c>
      <c r="G513" s="7" t="s">
        <v>1731</v>
      </c>
      <c r="H513" t="s">
        <v>1740</v>
      </c>
      <c r="I513" t="s">
        <v>1744</v>
      </c>
      <c r="J513" t="s">
        <v>1786</v>
      </c>
      <c r="K513" s="2" t="str">
        <f t="shared" si="15"/>
        <v>1512,'LICENCIATURA','andrea.mendozacontreras','112494','TOMAR DEL SND','MENDOZA CONTRERAS ANDREA','INGENIERÍA AUTOMOTRIZ','1ro','FEMENINO','ACTIVO','',0,0,'','ALUMNO'</v>
      </c>
      <c r="L513" s="10" t="str">
        <f t="shared" si="14"/>
        <v>INSERT INTO participantes (id,nivel,correo,matricula,clave,nombre,carrera,grado,sexo,situacion,evaluados,num_evaluados,total_evaluaciones,ultimo_acceso,nivel_acceso) VALUES (1512,'LICENCIATURA','andrea.mendozacontreras','112494','TOMAR DEL SND','MENDOZA CONTRERAS ANDREA','INGENIERÍA AUTOMOTRIZ','1ro','FEMENINO','ACTIVO','',0,0,'','ALUMNO');</v>
      </c>
    </row>
    <row r="514" spans="1:12" ht="130.5" x14ac:dyDescent="0.35">
      <c r="A514" s="7">
        <v>1513</v>
      </c>
      <c r="B514" s="6" t="s">
        <v>5</v>
      </c>
      <c r="C514" t="s">
        <v>519</v>
      </c>
      <c r="D514" s="7" t="s">
        <v>1091</v>
      </c>
      <c r="E514" s="7" t="s">
        <v>1149</v>
      </c>
      <c r="F514" t="s">
        <v>1663</v>
      </c>
      <c r="G514" s="7" t="s">
        <v>1725</v>
      </c>
      <c r="H514" t="s">
        <v>1740</v>
      </c>
      <c r="I514" t="s">
        <v>1743</v>
      </c>
      <c r="J514" t="s">
        <v>1786</v>
      </c>
      <c r="K514" s="2" t="str">
        <f t="shared" si="15"/>
        <v>1513,'LICENCIATURA','carlosisaac.perezhermosillo','112495','TOMAR DEL SND','PEREZ HERMOSILLO CARLOS ISAAC','INGENIERIA AEROESPACIAL','1ro','MASCULINO','ACTIVO','',0,0,'','ALUMNO'</v>
      </c>
      <c r="L514" s="10" t="str">
        <f t="shared" ref="L514:L572" si="16">CONCATENATE($K$1,K514,");")</f>
        <v>INSERT INTO participantes (id,nivel,correo,matricula,clave,nombre,carrera,grado,sexo,situacion,evaluados,num_evaluados,total_evaluaciones,ultimo_acceso,nivel_acceso) VALUES (1513,'LICENCIATURA','carlosisaac.perezhermosillo','112495','TOMAR DEL SND','PEREZ HERMOSILLO CARLOS ISAAC','INGENIERIA AEROESPACIAL','1ro','MASCULINO','ACTIVO','',0,0,'','ALUMNO');</v>
      </c>
    </row>
    <row r="515" spans="1:12" ht="130.5" x14ac:dyDescent="0.35">
      <c r="A515" s="7">
        <v>1514</v>
      </c>
      <c r="B515" s="6" t="s">
        <v>5</v>
      </c>
      <c r="C515" t="s">
        <v>520</v>
      </c>
      <c r="D515" s="7" t="s">
        <v>1092</v>
      </c>
      <c r="E515" s="7" t="s">
        <v>1149</v>
      </c>
      <c r="F515" t="s">
        <v>1664</v>
      </c>
      <c r="G515" s="7" t="s">
        <v>1731</v>
      </c>
      <c r="H515" t="s">
        <v>1740</v>
      </c>
      <c r="I515" t="s">
        <v>1743</v>
      </c>
      <c r="J515" t="s">
        <v>1786</v>
      </c>
      <c r="K515" s="2" t="str">
        <f t="shared" ref="K515:K572" si="17">CONCATENATE(A515,",'",B515,"','",C515,"','",D515,"','",E515,"','",F515,"','",G515,"','",H515,"','",UPPER(I515),"','",UPPER(J515),"','',0,0,'','ALUMNO'")</f>
        <v>1514,'LICENCIATURA','yancarlogiovany.cuevascerero','112496','TOMAR DEL SND','CUEVAS CERERO YAN CARLO GIOVANY','INGENIERÍA AUTOMOTRIZ','1ro','MASCULINO','ACTIVO','',0,0,'','ALUMNO'</v>
      </c>
      <c r="L515" s="10" t="str">
        <f t="shared" si="16"/>
        <v>INSERT INTO participantes (id,nivel,correo,matricula,clave,nombre,carrera,grado,sexo,situacion,evaluados,num_evaluados,total_evaluaciones,ultimo_acceso,nivel_acceso) VALUES (1514,'LICENCIATURA','yancarlogiovany.cuevascerero','112496','TOMAR DEL SND','CUEVAS CERERO YAN CARLO GIOVANY','INGENIERÍA AUTOMOTRIZ','1ro','MASCULINO','ACTIVO','',0,0,'','ALUMNO');</v>
      </c>
    </row>
    <row r="516" spans="1:12" ht="130.5" x14ac:dyDescent="0.35">
      <c r="A516" s="7">
        <v>1515</v>
      </c>
      <c r="B516" s="6" t="s">
        <v>5</v>
      </c>
      <c r="C516" t="s">
        <v>521</v>
      </c>
      <c r="D516" s="7" t="s">
        <v>1093</v>
      </c>
      <c r="E516" s="7" t="s">
        <v>1149</v>
      </c>
      <c r="F516" t="s">
        <v>1665</v>
      </c>
      <c r="G516" s="7" t="s">
        <v>1725</v>
      </c>
      <c r="H516" t="s">
        <v>1740</v>
      </c>
      <c r="I516" t="s">
        <v>1744</v>
      </c>
      <c r="J516" t="s">
        <v>1786</v>
      </c>
      <c r="K516" s="2" t="str">
        <f t="shared" si="17"/>
        <v>1515,'LICENCIATURA','camila.olmedocasillas','112497','TOMAR DEL SND','OLMEDO CASILLAS CAMILA','INGENIERIA AEROESPACIAL','1ro','FEMENINO','ACTIVO','',0,0,'','ALUMNO'</v>
      </c>
      <c r="L516" s="10" t="str">
        <f t="shared" si="16"/>
        <v>INSERT INTO participantes (id,nivel,correo,matricula,clave,nombre,carrera,grado,sexo,situacion,evaluados,num_evaluados,total_evaluaciones,ultimo_acceso,nivel_acceso) VALUES (1515,'LICENCIATURA','camila.olmedocasillas','112497','TOMAR DEL SND','OLMEDO CASILLAS CAMILA','INGENIERIA AEROESPACIAL','1ro','FEMENINO','ACTIVO','',0,0,'','ALUMNO');</v>
      </c>
    </row>
    <row r="517" spans="1:12" ht="130.5" x14ac:dyDescent="0.35">
      <c r="A517" s="7">
        <v>1516</v>
      </c>
      <c r="B517" s="6" t="s">
        <v>5</v>
      </c>
      <c r="C517" t="s">
        <v>522</v>
      </c>
      <c r="D517" s="7" t="s">
        <v>1094</v>
      </c>
      <c r="E517" s="7" t="s">
        <v>1149</v>
      </c>
      <c r="F517" t="s">
        <v>1666</v>
      </c>
      <c r="G517" s="7" t="s">
        <v>1729</v>
      </c>
      <c r="H517" t="s">
        <v>1740</v>
      </c>
      <c r="I517" t="s">
        <v>1744</v>
      </c>
      <c r="J517" t="s">
        <v>1786</v>
      </c>
      <c r="K517" s="2" t="str">
        <f t="shared" si="17"/>
        <v>1516,'LICENCIATURA','mariajose.vasquezvillalobos','112498','TOMAR DEL SND','VASQUEZ VILLALOBOS MARIA JOSE','ARQUITECTURA','1ro','FEMENINO','ACTIVO','',0,0,'','ALUMNO'</v>
      </c>
      <c r="L517" s="10" t="str">
        <f t="shared" si="16"/>
        <v>INSERT INTO participantes (id,nivel,correo,matricula,clave,nombre,carrera,grado,sexo,situacion,evaluados,num_evaluados,total_evaluaciones,ultimo_acceso,nivel_acceso) VALUES (1516,'LICENCIATURA','mariajose.vasquezvillalobos','112498','TOMAR DEL SND','VASQUEZ VILLALOBOS MARIA JOSE','ARQUITECTURA','1ro','FEMENINO','ACTIVO','',0,0,'','ALUMNO');</v>
      </c>
    </row>
    <row r="518" spans="1:12" ht="130.5" x14ac:dyDescent="0.35">
      <c r="A518" s="7">
        <v>1517</v>
      </c>
      <c r="B518" s="6" t="s">
        <v>5</v>
      </c>
      <c r="C518" t="s">
        <v>523</v>
      </c>
      <c r="D518" s="7" t="s">
        <v>1095</v>
      </c>
      <c r="E518" s="7" t="s">
        <v>1149</v>
      </c>
      <c r="F518" t="s">
        <v>1667</v>
      </c>
      <c r="G518" s="7" t="s">
        <v>1731</v>
      </c>
      <c r="H518" t="s">
        <v>1740</v>
      </c>
      <c r="I518" t="s">
        <v>1743</v>
      </c>
      <c r="J518" t="s">
        <v>1786</v>
      </c>
      <c r="K518" s="2" t="str">
        <f t="shared" si="17"/>
        <v>1517,'LICENCIATURA','luisgerardo.quirozavila','112499','TOMAR DEL SND','QUIROZ AVILA LUIS GERARDO','INGENIERÍA AUTOMOTRIZ','1ro','MASCULINO','ACTIVO','',0,0,'','ALUMNO'</v>
      </c>
      <c r="L518" s="10" t="str">
        <f t="shared" si="16"/>
        <v>INSERT INTO participantes (id,nivel,correo,matricula,clave,nombre,carrera,grado,sexo,situacion,evaluados,num_evaluados,total_evaluaciones,ultimo_acceso,nivel_acceso) VALUES (1517,'LICENCIATURA','luisgerardo.quirozavila','112499','TOMAR DEL SND','QUIROZ AVILA LUIS GERARDO','INGENIERÍA AUTOMOTRIZ','1ro','MASCULINO','ACTIVO','',0,0,'','ALUMNO');</v>
      </c>
    </row>
    <row r="519" spans="1:12" ht="130.5" x14ac:dyDescent="0.35">
      <c r="A519" s="7">
        <v>1518</v>
      </c>
      <c r="B519" s="6" t="s">
        <v>5</v>
      </c>
      <c r="C519" t="s">
        <v>524</v>
      </c>
      <c r="D519" s="7" t="s">
        <v>1096</v>
      </c>
      <c r="E519" s="7" t="s">
        <v>1149</v>
      </c>
      <c r="F519" t="s">
        <v>1668</v>
      </c>
      <c r="G519" s="7" t="s">
        <v>1726</v>
      </c>
      <c r="H519" t="s">
        <v>1740</v>
      </c>
      <c r="I519" t="s">
        <v>1744</v>
      </c>
      <c r="J519" t="s">
        <v>1786</v>
      </c>
      <c r="K519" s="2" t="str">
        <f t="shared" si="17"/>
        <v>1518,'LICENCIATURA','analucia.jimenezayala','112500','TOMAR DEL SND','JIMENEZ AYALA ANA LUCIA','PSICOLOGIA','1ro','FEMENINO','ACTIVO','',0,0,'','ALUMNO'</v>
      </c>
      <c r="L519" s="10" t="str">
        <f t="shared" si="16"/>
        <v>INSERT INTO participantes (id,nivel,correo,matricula,clave,nombre,carrera,grado,sexo,situacion,evaluados,num_evaluados,total_evaluaciones,ultimo_acceso,nivel_acceso) VALUES (1518,'LICENCIATURA','analucia.jimenezayala','112500','TOMAR DEL SND','JIMENEZ AYALA ANA LUCIA','PSICOLOGIA','1ro','FEMENINO','ACTIVO','',0,0,'','ALUMNO');</v>
      </c>
    </row>
    <row r="520" spans="1:12" ht="130.5" x14ac:dyDescent="0.35">
      <c r="A520" s="7">
        <v>1519</v>
      </c>
      <c r="B520" s="6" t="s">
        <v>5</v>
      </c>
      <c r="C520" t="s">
        <v>525</v>
      </c>
      <c r="D520" s="7" t="s">
        <v>1097</v>
      </c>
      <c r="E520" s="7" t="s">
        <v>1149</v>
      </c>
      <c r="F520" t="s">
        <v>1669</v>
      </c>
      <c r="G520" s="7" t="s">
        <v>1725</v>
      </c>
      <c r="H520" t="s">
        <v>1740</v>
      </c>
      <c r="I520" t="s">
        <v>1744</v>
      </c>
      <c r="J520" t="s">
        <v>1786</v>
      </c>
      <c r="K520" s="2" t="str">
        <f t="shared" si="17"/>
        <v>1519,'LICENCIATURA','luzcecilia.villagomez','112501','TOMAR DEL SND','VILLA GOMEZ LUZ CECILIA','INGENIERIA AEROESPACIAL','1ro','FEMENINO','ACTIVO','',0,0,'','ALUMNO'</v>
      </c>
      <c r="L520" s="10" t="str">
        <f t="shared" si="16"/>
        <v>INSERT INTO participantes (id,nivel,correo,matricula,clave,nombre,carrera,grado,sexo,situacion,evaluados,num_evaluados,total_evaluaciones,ultimo_acceso,nivel_acceso) VALUES (1519,'LICENCIATURA','luzcecilia.villagomez','112501','TOMAR DEL SND','VILLA GOMEZ LUZ CECILIA','INGENIERIA AEROESPACIAL','1ro','FEMENINO','ACTIVO','',0,0,'','ALUMNO');</v>
      </c>
    </row>
    <row r="521" spans="1:12" ht="130.5" x14ac:dyDescent="0.35">
      <c r="A521" s="7">
        <v>1520</v>
      </c>
      <c r="B521" s="6" t="s">
        <v>5</v>
      </c>
      <c r="C521" t="s">
        <v>526</v>
      </c>
      <c r="D521" s="7" t="s">
        <v>1098</v>
      </c>
      <c r="E521" s="7" t="s">
        <v>1149</v>
      </c>
      <c r="F521" t="s">
        <v>1670</v>
      </c>
      <c r="G521" s="7" t="s">
        <v>1729</v>
      </c>
      <c r="H521" t="s">
        <v>1740</v>
      </c>
      <c r="I521" t="s">
        <v>1743</v>
      </c>
      <c r="J521" t="s">
        <v>1786</v>
      </c>
      <c r="K521" s="2" t="str">
        <f t="shared" si="17"/>
        <v>1520,'LICENCIATURA','santiago.roblesflores','112502','TOMAR DEL SND','ROBLES FLORES SANTIAGO','ARQUITECTURA','1ro','MASCULINO','ACTIVO','',0,0,'','ALUMNO'</v>
      </c>
      <c r="L521" s="10" t="str">
        <f t="shared" si="16"/>
        <v>INSERT INTO participantes (id,nivel,correo,matricula,clave,nombre,carrera,grado,sexo,situacion,evaluados,num_evaluados,total_evaluaciones,ultimo_acceso,nivel_acceso) VALUES (1520,'LICENCIATURA','santiago.roblesflores','112502','TOMAR DEL SND','ROBLES FLORES SANTIAGO','ARQUITECTURA','1ro','MASCULINO','ACTIVO','',0,0,'','ALUMNO');</v>
      </c>
    </row>
    <row r="522" spans="1:12" ht="130.5" x14ac:dyDescent="0.35">
      <c r="A522" s="7">
        <v>1521</v>
      </c>
      <c r="B522" s="6" t="s">
        <v>5</v>
      </c>
      <c r="C522" t="s">
        <v>527</v>
      </c>
      <c r="D522" s="7" t="s">
        <v>1099</v>
      </c>
      <c r="E522" s="7" t="s">
        <v>1149</v>
      </c>
      <c r="F522" t="s">
        <v>1671</v>
      </c>
      <c r="G522" s="7" t="s">
        <v>1725</v>
      </c>
      <c r="H522" t="s">
        <v>1740</v>
      </c>
      <c r="I522" t="s">
        <v>1744</v>
      </c>
      <c r="J522" t="s">
        <v>1786</v>
      </c>
      <c r="K522" s="2" t="str">
        <f t="shared" si="17"/>
        <v>1521,'LICENCIATURA','yuritzielizabeth.leongarcia','112503','TOMAR DEL SND','LEON GARCIA YURITZI ELIZABETH','INGENIERIA AEROESPACIAL','1ro','FEMENINO','ACTIVO','',0,0,'','ALUMNO'</v>
      </c>
      <c r="L522" s="10" t="str">
        <f t="shared" si="16"/>
        <v>INSERT INTO participantes (id,nivel,correo,matricula,clave,nombre,carrera,grado,sexo,situacion,evaluados,num_evaluados,total_evaluaciones,ultimo_acceso,nivel_acceso) VALUES (1521,'LICENCIATURA','yuritzielizabeth.leongarcia','112503','TOMAR DEL SND','LEON GARCIA YURITZI ELIZABETH','INGENIERIA AEROESPACIAL','1ro','FEMENINO','ACTIVO','',0,0,'','ALUMNO');</v>
      </c>
    </row>
    <row r="523" spans="1:12" ht="130.5" x14ac:dyDescent="0.35">
      <c r="A523" s="7">
        <v>1522</v>
      </c>
      <c r="B523" s="6" t="s">
        <v>5</v>
      </c>
      <c r="C523" t="s">
        <v>528</v>
      </c>
      <c r="D523" s="7" t="s">
        <v>1100</v>
      </c>
      <c r="E523" s="7" t="s">
        <v>1149</v>
      </c>
      <c r="F523" t="s">
        <v>1672</v>
      </c>
      <c r="G523" s="7" t="s">
        <v>1729</v>
      </c>
      <c r="H523" t="s">
        <v>1740</v>
      </c>
      <c r="I523" t="s">
        <v>1744</v>
      </c>
      <c r="J523" t="s">
        <v>1786</v>
      </c>
      <c r="K523" s="2" t="str">
        <f t="shared" si="17"/>
        <v>1522,'LICENCIATURA','anapaola.hernandezcuadra','112504','TOMAR DEL SND','HERNANDEZ CUADRA ANA PAOLA','ARQUITECTURA','1ro','FEMENINO','ACTIVO','',0,0,'','ALUMNO'</v>
      </c>
      <c r="L523" s="10" t="str">
        <f t="shared" si="16"/>
        <v>INSERT INTO participantes (id,nivel,correo,matricula,clave,nombre,carrera,grado,sexo,situacion,evaluados,num_evaluados,total_evaluaciones,ultimo_acceso,nivel_acceso) VALUES (1522,'LICENCIATURA','anapaola.hernandezcuadra','112504','TOMAR DEL SND','HERNANDEZ CUADRA ANA PAOLA','ARQUITECTURA','1ro','FEMENINO','ACTIVO','',0,0,'','ALUMNO');</v>
      </c>
    </row>
    <row r="524" spans="1:12" ht="130.5" x14ac:dyDescent="0.35">
      <c r="A524" s="7">
        <v>1523</v>
      </c>
      <c r="B524" s="6" t="s">
        <v>5</v>
      </c>
      <c r="C524" t="s">
        <v>529</v>
      </c>
      <c r="D524" s="7" t="s">
        <v>1101</v>
      </c>
      <c r="E524" s="7" t="s">
        <v>1149</v>
      </c>
      <c r="F524" t="s">
        <v>1673</v>
      </c>
      <c r="G524" s="7" t="s">
        <v>1729</v>
      </c>
      <c r="H524" t="s">
        <v>1740</v>
      </c>
      <c r="I524" t="s">
        <v>1744</v>
      </c>
      <c r="J524" t="s">
        <v>1786</v>
      </c>
      <c r="K524" s="2" t="str">
        <f t="shared" si="17"/>
        <v>1523,'LICENCIATURA','camila.vallesperez','112505','TOMAR DEL SND','VALLES PEREZ CAMILA','ARQUITECTURA','1ro','FEMENINO','ACTIVO','',0,0,'','ALUMNO'</v>
      </c>
      <c r="L524" s="10" t="str">
        <f t="shared" si="16"/>
        <v>INSERT INTO participantes (id,nivel,correo,matricula,clave,nombre,carrera,grado,sexo,situacion,evaluados,num_evaluados,total_evaluaciones,ultimo_acceso,nivel_acceso) VALUES (1523,'LICENCIATURA','camila.vallesperez','112505','TOMAR DEL SND','VALLES PEREZ CAMILA','ARQUITECTURA','1ro','FEMENINO','ACTIVO','',0,0,'','ALUMNO');</v>
      </c>
    </row>
    <row r="525" spans="1:12" ht="130.5" x14ac:dyDescent="0.35">
      <c r="A525" s="7">
        <v>1524</v>
      </c>
      <c r="B525" s="6" t="s">
        <v>5</v>
      </c>
      <c r="C525" t="s">
        <v>530</v>
      </c>
      <c r="D525" s="7" t="s">
        <v>1102</v>
      </c>
      <c r="E525" s="7" t="s">
        <v>1149</v>
      </c>
      <c r="F525" t="s">
        <v>1674</v>
      </c>
      <c r="G525" s="7" t="s">
        <v>1725</v>
      </c>
      <c r="H525" t="s">
        <v>1740</v>
      </c>
      <c r="I525" t="s">
        <v>1743</v>
      </c>
      <c r="J525" t="s">
        <v>1786</v>
      </c>
      <c r="K525" s="2" t="str">
        <f t="shared" si="17"/>
        <v>1524,'LICENCIATURA','andregael.monterorivas','112506','TOMAR DEL SND','MONTERO RIVAS ANDRE GAEL','INGENIERIA AEROESPACIAL','1ro','MASCULINO','ACTIVO','',0,0,'','ALUMNO'</v>
      </c>
      <c r="L525" s="10" t="str">
        <f t="shared" si="16"/>
        <v>INSERT INTO participantes (id,nivel,correo,matricula,clave,nombre,carrera,grado,sexo,situacion,evaluados,num_evaluados,total_evaluaciones,ultimo_acceso,nivel_acceso) VALUES (1524,'LICENCIATURA','andregael.monterorivas','112506','TOMAR DEL SND','MONTERO RIVAS ANDRE GAEL','INGENIERIA AEROESPACIAL','1ro','MASCULINO','ACTIVO','',0,0,'','ALUMNO');</v>
      </c>
    </row>
    <row r="526" spans="1:12" ht="130.5" x14ac:dyDescent="0.35">
      <c r="A526" s="7">
        <v>1525</v>
      </c>
      <c r="B526" s="6" t="s">
        <v>5</v>
      </c>
      <c r="C526" t="s">
        <v>531</v>
      </c>
      <c r="D526" s="7" t="s">
        <v>1103</v>
      </c>
      <c r="E526" s="7" t="s">
        <v>1149</v>
      </c>
      <c r="F526" t="s">
        <v>1675</v>
      </c>
      <c r="G526" s="7" t="s">
        <v>1731</v>
      </c>
      <c r="H526" t="s">
        <v>1740</v>
      </c>
      <c r="I526" t="s">
        <v>1743</v>
      </c>
      <c r="J526" t="s">
        <v>1786</v>
      </c>
      <c r="K526" s="2" t="str">
        <f t="shared" si="17"/>
        <v>1525,'LICENCIATURA','danielsebastian.madrigalvelazquez','112507','TOMAR DEL SND','MADRIGAL VELAZQUEZ DANIEL SEBASTIAN','INGENIERÍA AUTOMOTRIZ','1ro','MASCULINO','ACTIVO','',0,0,'','ALUMNO'</v>
      </c>
      <c r="L526" s="10" t="str">
        <f t="shared" si="16"/>
        <v>INSERT INTO participantes (id,nivel,correo,matricula,clave,nombre,carrera,grado,sexo,situacion,evaluados,num_evaluados,total_evaluaciones,ultimo_acceso,nivel_acceso) VALUES (1525,'LICENCIATURA','danielsebastian.madrigalvelazquez','112507','TOMAR DEL SND','MADRIGAL VELAZQUEZ DANIEL SEBASTIAN','INGENIERÍA AUTOMOTRIZ','1ro','MASCULINO','ACTIVO','',0,0,'','ALUMNO');</v>
      </c>
    </row>
    <row r="527" spans="1:12" ht="130.5" x14ac:dyDescent="0.35">
      <c r="A527" s="7">
        <v>1526</v>
      </c>
      <c r="B527" s="6" t="s">
        <v>5</v>
      </c>
      <c r="C527" t="s">
        <v>532</v>
      </c>
      <c r="D527" s="7" t="s">
        <v>1104</v>
      </c>
      <c r="E527" s="7" t="s">
        <v>1149</v>
      </c>
      <c r="F527" t="s">
        <v>1676</v>
      </c>
      <c r="G527" s="7" t="s">
        <v>1729</v>
      </c>
      <c r="H527" t="s">
        <v>1740</v>
      </c>
      <c r="I527" t="s">
        <v>1744</v>
      </c>
      <c r="J527" t="s">
        <v>1786</v>
      </c>
      <c r="K527" s="2" t="str">
        <f t="shared" si="17"/>
        <v>1526,'LICENCIATURA','dafneanely.hernandezvega','112508','TOMAR DEL SND','HERNANDEZ VEGA DAFNE ANELY','ARQUITECTURA','1ro','FEMENINO','ACTIVO','',0,0,'','ALUMNO'</v>
      </c>
      <c r="L527" s="10" t="str">
        <f t="shared" si="16"/>
        <v>INSERT INTO participantes (id,nivel,correo,matricula,clave,nombre,carrera,grado,sexo,situacion,evaluados,num_evaluados,total_evaluaciones,ultimo_acceso,nivel_acceso) VALUES (1526,'LICENCIATURA','dafneanely.hernandezvega','112508','TOMAR DEL SND','HERNANDEZ VEGA DAFNE ANELY','ARQUITECTURA','1ro','FEMENINO','ACTIVO','',0,0,'','ALUMNO');</v>
      </c>
    </row>
    <row r="528" spans="1:12" ht="130.5" x14ac:dyDescent="0.35">
      <c r="A528" s="7">
        <v>1527</v>
      </c>
      <c r="B528" s="6" t="s">
        <v>5</v>
      </c>
      <c r="C528" t="s">
        <v>533</v>
      </c>
      <c r="D528" s="7" t="s">
        <v>1105</v>
      </c>
      <c r="E528" s="7" t="s">
        <v>1149</v>
      </c>
      <c r="F528" t="s">
        <v>1677</v>
      </c>
      <c r="G528" s="7" t="s">
        <v>1726</v>
      </c>
      <c r="H528" t="s">
        <v>1740</v>
      </c>
      <c r="I528" t="s">
        <v>1743</v>
      </c>
      <c r="J528" t="s">
        <v>1786</v>
      </c>
      <c r="K528" s="2" t="str">
        <f t="shared" si="17"/>
        <v>1527,'LICENCIATURA','jorge.pachecosostenes','112509','TOMAR DEL SND','PACHECO SOSTENES JORGE','PSICOLOGIA','1ro','MASCULINO','ACTIVO','',0,0,'','ALUMNO'</v>
      </c>
      <c r="L528" s="10" t="str">
        <f t="shared" si="16"/>
        <v>INSERT INTO participantes (id,nivel,correo,matricula,clave,nombre,carrera,grado,sexo,situacion,evaluados,num_evaluados,total_evaluaciones,ultimo_acceso,nivel_acceso) VALUES (1527,'LICENCIATURA','jorge.pachecosostenes','112509','TOMAR DEL SND','PACHECO SOSTENES JORGE','PSICOLOGIA','1ro','MASCULINO','ACTIVO','',0,0,'','ALUMNO');</v>
      </c>
    </row>
    <row r="529" spans="1:12" ht="130.5" x14ac:dyDescent="0.35">
      <c r="A529" s="7">
        <v>1528</v>
      </c>
      <c r="B529" s="6" t="s">
        <v>5</v>
      </c>
      <c r="C529" t="s">
        <v>534</v>
      </c>
      <c r="D529" s="7" t="s">
        <v>1106</v>
      </c>
      <c r="E529" s="7" t="s">
        <v>1149</v>
      </c>
      <c r="F529" t="s">
        <v>1678</v>
      </c>
      <c r="G529" s="7" t="s">
        <v>1731</v>
      </c>
      <c r="H529" t="s">
        <v>1740</v>
      </c>
      <c r="I529" t="s">
        <v>1743</v>
      </c>
      <c r="J529" t="s">
        <v>1786</v>
      </c>
      <c r="K529" s="2" t="str">
        <f t="shared" si="17"/>
        <v>1528,'LICENCIATURA','juanpablo.guerrerocruz','112510','TOMAR DEL SND','GUERRERO CRUZ JUAN PABLO','INGENIERÍA AUTOMOTRIZ','1ro','MASCULINO','ACTIVO','',0,0,'','ALUMNO'</v>
      </c>
      <c r="L529" s="10" t="str">
        <f t="shared" si="16"/>
        <v>INSERT INTO participantes (id,nivel,correo,matricula,clave,nombre,carrera,grado,sexo,situacion,evaluados,num_evaluados,total_evaluaciones,ultimo_acceso,nivel_acceso) VALUES (1528,'LICENCIATURA','juanpablo.guerrerocruz','112510','TOMAR DEL SND','GUERRERO CRUZ JUAN PABLO','INGENIERÍA AUTOMOTRIZ','1ro','MASCULINO','ACTIVO','',0,0,'','ALUMNO');</v>
      </c>
    </row>
    <row r="530" spans="1:12" ht="130.5" x14ac:dyDescent="0.35">
      <c r="A530" s="7">
        <v>1529</v>
      </c>
      <c r="B530" s="6" t="s">
        <v>5</v>
      </c>
      <c r="C530" t="s">
        <v>535</v>
      </c>
      <c r="D530" s="7" t="s">
        <v>1107</v>
      </c>
      <c r="E530" s="7" t="s">
        <v>1149</v>
      </c>
      <c r="F530" t="s">
        <v>1679</v>
      </c>
      <c r="G530" s="7" t="s">
        <v>1731</v>
      </c>
      <c r="H530" t="s">
        <v>1740</v>
      </c>
      <c r="I530" t="s">
        <v>1743</v>
      </c>
      <c r="J530" t="s">
        <v>1786</v>
      </c>
      <c r="K530" s="2" t="str">
        <f t="shared" si="17"/>
        <v>1529,'LICENCIATURA','diegoosmar.barbatorres','112511','TOMAR DEL SND','BARBA TORRES DIEGO OSMAR','INGENIERÍA AUTOMOTRIZ','1ro','MASCULINO','ACTIVO','',0,0,'','ALUMNO'</v>
      </c>
      <c r="L530" s="10" t="str">
        <f t="shared" si="16"/>
        <v>INSERT INTO participantes (id,nivel,correo,matricula,clave,nombre,carrera,grado,sexo,situacion,evaluados,num_evaluados,total_evaluaciones,ultimo_acceso,nivel_acceso) VALUES (1529,'LICENCIATURA','diegoosmar.barbatorres','112511','TOMAR DEL SND','BARBA TORRES DIEGO OSMAR','INGENIERÍA AUTOMOTRIZ','1ro','MASCULINO','ACTIVO','',0,0,'','ALUMNO');</v>
      </c>
    </row>
    <row r="531" spans="1:12" ht="130.5" x14ac:dyDescent="0.35">
      <c r="A531" s="7">
        <v>1530</v>
      </c>
      <c r="B531" s="6" t="s">
        <v>5</v>
      </c>
      <c r="C531" t="s">
        <v>536</v>
      </c>
      <c r="D531" s="7" t="s">
        <v>1108</v>
      </c>
      <c r="E531" s="7" t="s">
        <v>1149</v>
      </c>
      <c r="F531" t="s">
        <v>1680</v>
      </c>
      <c r="G531" s="7" t="s">
        <v>1731</v>
      </c>
      <c r="H531" t="s">
        <v>1740</v>
      </c>
      <c r="I531" t="s">
        <v>1743</v>
      </c>
      <c r="J531" t="s">
        <v>1786</v>
      </c>
      <c r="K531" s="2" t="str">
        <f t="shared" si="17"/>
        <v>1530,'LICENCIATURA','rafaelalejandro.rodriguezgomez','112512','TOMAR DEL SND','RODRIGUEZ GOMEZ RAFAEL ALEJANDRO','INGENIERÍA AUTOMOTRIZ','1ro','MASCULINO','ACTIVO','',0,0,'','ALUMNO'</v>
      </c>
      <c r="L531" s="10" t="str">
        <f t="shared" si="16"/>
        <v>INSERT INTO participantes (id,nivel,correo,matricula,clave,nombre,carrera,grado,sexo,situacion,evaluados,num_evaluados,total_evaluaciones,ultimo_acceso,nivel_acceso) VALUES (1530,'LICENCIATURA','rafaelalejandro.rodriguezgomez','112512','TOMAR DEL SND','RODRIGUEZ GOMEZ RAFAEL ALEJANDRO','INGENIERÍA AUTOMOTRIZ','1ro','MASCULINO','ACTIVO','',0,0,'','ALUMNO');</v>
      </c>
    </row>
    <row r="532" spans="1:12" ht="130.5" x14ac:dyDescent="0.35">
      <c r="A532" s="7">
        <v>1531</v>
      </c>
      <c r="B532" s="6" t="s">
        <v>5</v>
      </c>
      <c r="C532" t="s">
        <v>537</v>
      </c>
      <c r="D532" s="7" t="s">
        <v>1109</v>
      </c>
      <c r="E532" s="7" t="s">
        <v>1149</v>
      </c>
      <c r="F532" t="s">
        <v>1681</v>
      </c>
      <c r="G532" s="7" t="s">
        <v>1725</v>
      </c>
      <c r="H532" t="s">
        <v>1740</v>
      </c>
      <c r="I532" t="s">
        <v>1744</v>
      </c>
      <c r="J532" t="s">
        <v>1786</v>
      </c>
      <c r="K532" s="2" t="str">
        <f t="shared" si="17"/>
        <v>1531,'LICENCIATURA','swahilysofia.pulidoonofre','112513','TOMAR DEL SND','PULIDO ONOFRE SWAHILY SOFIA','INGENIERIA AEROESPACIAL','1ro','FEMENINO','ACTIVO','',0,0,'','ALUMNO'</v>
      </c>
      <c r="L532" s="10" t="str">
        <f t="shared" si="16"/>
        <v>INSERT INTO participantes (id,nivel,correo,matricula,clave,nombre,carrera,grado,sexo,situacion,evaluados,num_evaluados,total_evaluaciones,ultimo_acceso,nivel_acceso) VALUES (1531,'LICENCIATURA','swahilysofia.pulidoonofre','112513','TOMAR DEL SND','PULIDO ONOFRE SWAHILY SOFIA','INGENIERIA AEROESPACIAL','1ro','FEMENINO','ACTIVO','',0,0,'','ALUMNO');</v>
      </c>
    </row>
    <row r="533" spans="1:12" ht="130.5" x14ac:dyDescent="0.35">
      <c r="A533" s="7">
        <v>1532</v>
      </c>
      <c r="B533" s="6" t="s">
        <v>5</v>
      </c>
      <c r="C533" t="s">
        <v>538</v>
      </c>
      <c r="D533" s="7" t="s">
        <v>1110</v>
      </c>
      <c r="E533" s="7" t="s">
        <v>1149</v>
      </c>
      <c r="F533" t="s">
        <v>1682</v>
      </c>
      <c r="G533" s="7" t="s">
        <v>1725</v>
      </c>
      <c r="H533" t="s">
        <v>1740</v>
      </c>
      <c r="I533" t="s">
        <v>1743</v>
      </c>
      <c r="J533" t="s">
        <v>1786</v>
      </c>
      <c r="K533" s="2" t="str">
        <f t="shared" si="17"/>
        <v>1532,'LICENCIATURA','ephram.rodriguezesquivias','112514','TOMAR DEL SND','RODRIGUEZ ESQUIVIAS EPHRAM','INGENIERIA AEROESPACIAL','1ro','MASCULINO','ACTIVO','',0,0,'','ALUMNO'</v>
      </c>
      <c r="L533" s="10" t="str">
        <f t="shared" si="16"/>
        <v>INSERT INTO participantes (id,nivel,correo,matricula,clave,nombre,carrera,grado,sexo,situacion,evaluados,num_evaluados,total_evaluaciones,ultimo_acceso,nivel_acceso) VALUES (1532,'LICENCIATURA','ephram.rodriguezesquivias','112514','TOMAR DEL SND','RODRIGUEZ ESQUIVIAS EPHRAM','INGENIERIA AEROESPACIAL','1ro','MASCULINO','ACTIVO','',0,0,'','ALUMNO');</v>
      </c>
    </row>
    <row r="534" spans="1:12" ht="130.5" x14ac:dyDescent="0.35">
      <c r="A534" s="7">
        <v>1533</v>
      </c>
      <c r="B534" s="6" t="s">
        <v>5</v>
      </c>
      <c r="C534" t="s">
        <v>539</v>
      </c>
      <c r="D534" s="7" t="s">
        <v>1111</v>
      </c>
      <c r="E534" s="7" t="s">
        <v>1149</v>
      </c>
      <c r="F534" t="s">
        <v>1683</v>
      </c>
      <c r="G534" s="7" t="s">
        <v>1731</v>
      </c>
      <c r="H534" t="s">
        <v>1740</v>
      </c>
      <c r="I534" t="s">
        <v>1743</v>
      </c>
      <c r="J534" t="s">
        <v>1786</v>
      </c>
      <c r="K534" s="2" t="str">
        <f t="shared" si="17"/>
        <v>1533,'LICENCIATURA','angelisrael.alvaradoalvarado','112515','TOMAR DEL SND','ALVARADO ALVARADO ANGEL ISRAEL','INGENIERÍA AUTOMOTRIZ','1ro','MASCULINO','ACTIVO','',0,0,'','ALUMNO'</v>
      </c>
      <c r="L534" s="10" t="str">
        <f t="shared" si="16"/>
        <v>INSERT INTO participantes (id,nivel,correo,matricula,clave,nombre,carrera,grado,sexo,situacion,evaluados,num_evaluados,total_evaluaciones,ultimo_acceso,nivel_acceso) VALUES (1533,'LICENCIATURA','angelisrael.alvaradoalvarado','112515','TOMAR DEL SND','ALVARADO ALVARADO ANGEL ISRAEL','INGENIERÍA AUTOMOTRIZ','1ro','MASCULINO','ACTIVO','',0,0,'','ALUMNO');</v>
      </c>
    </row>
    <row r="535" spans="1:12" ht="130.5" x14ac:dyDescent="0.35">
      <c r="A535" s="7">
        <v>1534</v>
      </c>
      <c r="B535" s="6" t="s">
        <v>5</v>
      </c>
      <c r="C535" t="s">
        <v>540</v>
      </c>
      <c r="D535" s="7" t="s">
        <v>1112</v>
      </c>
      <c r="E535" s="7" t="s">
        <v>1149</v>
      </c>
      <c r="F535" t="s">
        <v>1684</v>
      </c>
      <c r="G535" s="7" t="s">
        <v>1731</v>
      </c>
      <c r="H535" t="s">
        <v>1740</v>
      </c>
      <c r="I535" t="s">
        <v>1743</v>
      </c>
      <c r="J535" t="s">
        <v>1786</v>
      </c>
      <c r="K535" s="2" t="str">
        <f t="shared" si="17"/>
        <v>1534,'LICENCIATURA','shalimvalentino.ramosmartinez','112516','TOMAR DEL SND','RAMOS MARTINEZ SHALIM VALENTINO','INGENIERÍA AUTOMOTRIZ','1ro','MASCULINO','ACTIVO','',0,0,'','ALUMNO'</v>
      </c>
      <c r="L535" s="10" t="str">
        <f t="shared" si="16"/>
        <v>INSERT INTO participantes (id,nivel,correo,matricula,clave,nombre,carrera,grado,sexo,situacion,evaluados,num_evaluados,total_evaluaciones,ultimo_acceso,nivel_acceso) VALUES (1534,'LICENCIATURA','shalimvalentino.ramosmartinez','112516','TOMAR DEL SND','RAMOS MARTINEZ SHALIM VALENTINO','INGENIERÍA AUTOMOTRIZ','1ro','MASCULINO','ACTIVO','',0,0,'','ALUMNO');</v>
      </c>
    </row>
    <row r="536" spans="1:12" ht="130.5" x14ac:dyDescent="0.35">
      <c r="A536" s="7">
        <v>1535</v>
      </c>
      <c r="B536" s="6" t="s">
        <v>5</v>
      </c>
      <c r="C536" t="s">
        <v>541</v>
      </c>
      <c r="D536" s="7" t="s">
        <v>1113</v>
      </c>
      <c r="E536" s="7" t="s">
        <v>1149</v>
      </c>
      <c r="F536" t="s">
        <v>1685</v>
      </c>
      <c r="G536" s="7" t="s">
        <v>1725</v>
      </c>
      <c r="H536" t="s">
        <v>1740</v>
      </c>
      <c r="I536" t="s">
        <v>1744</v>
      </c>
      <c r="J536" t="s">
        <v>1786</v>
      </c>
      <c r="K536" s="2" t="str">
        <f t="shared" si="17"/>
        <v>1535,'LICENCIATURA','alejandra.hernandezalarcon','112517','TOMAR DEL SND','HERNANDEZ ALARCON ALEJANDRA','INGENIERIA AEROESPACIAL','1ro','FEMENINO','ACTIVO','',0,0,'','ALUMNO'</v>
      </c>
      <c r="L536" s="10" t="str">
        <f t="shared" si="16"/>
        <v>INSERT INTO participantes (id,nivel,correo,matricula,clave,nombre,carrera,grado,sexo,situacion,evaluados,num_evaluados,total_evaluaciones,ultimo_acceso,nivel_acceso) VALUES (1535,'LICENCIATURA','alejandra.hernandezalarcon','112517','TOMAR DEL SND','HERNANDEZ ALARCON ALEJANDRA','INGENIERIA AEROESPACIAL','1ro','FEMENINO','ACTIVO','',0,0,'','ALUMNO');</v>
      </c>
    </row>
    <row r="537" spans="1:12" ht="130.5" x14ac:dyDescent="0.35">
      <c r="A537" s="7">
        <v>1536</v>
      </c>
      <c r="B537" s="6" t="s">
        <v>5</v>
      </c>
      <c r="C537" t="s">
        <v>542</v>
      </c>
      <c r="D537" s="7" t="s">
        <v>1114</v>
      </c>
      <c r="E537" s="7" t="s">
        <v>1149</v>
      </c>
      <c r="F537" t="s">
        <v>1686</v>
      </c>
      <c r="G537" s="7" t="s">
        <v>1729</v>
      </c>
      <c r="H537" t="s">
        <v>1740</v>
      </c>
      <c r="I537" t="s">
        <v>1743</v>
      </c>
      <c r="J537" t="s">
        <v>1786</v>
      </c>
      <c r="K537" s="2" t="str">
        <f t="shared" si="17"/>
        <v>1536,'LICENCIATURA','dominickmarcelo.blancosolorzano','112518','TOMAR DEL SND','BLANCO SOLORZANO DOMINICK MARCELO','ARQUITECTURA','1ro','MASCULINO','ACTIVO','',0,0,'','ALUMNO'</v>
      </c>
      <c r="L537" s="10" t="str">
        <f t="shared" si="16"/>
        <v>INSERT INTO participantes (id,nivel,correo,matricula,clave,nombre,carrera,grado,sexo,situacion,evaluados,num_evaluados,total_evaluaciones,ultimo_acceso,nivel_acceso) VALUES (1536,'LICENCIATURA','dominickmarcelo.blancosolorzano','112518','TOMAR DEL SND','BLANCO SOLORZANO DOMINICK MARCELO','ARQUITECTURA','1ro','MASCULINO','ACTIVO','',0,0,'','ALUMNO');</v>
      </c>
    </row>
    <row r="538" spans="1:12" ht="130.5" x14ac:dyDescent="0.35">
      <c r="A538" s="7">
        <v>1537</v>
      </c>
      <c r="B538" s="6" t="s">
        <v>5</v>
      </c>
      <c r="C538" t="s">
        <v>543</v>
      </c>
      <c r="D538" s="7" t="s">
        <v>1115</v>
      </c>
      <c r="E538" s="7" t="s">
        <v>1149</v>
      </c>
      <c r="F538" t="s">
        <v>1687</v>
      </c>
      <c r="G538" s="7" t="s">
        <v>1729</v>
      </c>
      <c r="H538" t="s">
        <v>1740</v>
      </c>
      <c r="I538" t="s">
        <v>1743</v>
      </c>
      <c r="J538" t="s">
        <v>1786</v>
      </c>
      <c r="K538" s="2" t="str">
        <f t="shared" si="17"/>
        <v>1537,'LICENCIATURA','santiago.capetilloruiz','112520','TOMAR DEL SND','CAPETILLO RUIZ SANTIAGO','ARQUITECTURA','1ro','MASCULINO','ACTIVO','',0,0,'','ALUMNO'</v>
      </c>
      <c r="L538" s="10" t="str">
        <f t="shared" si="16"/>
        <v>INSERT INTO participantes (id,nivel,correo,matricula,clave,nombre,carrera,grado,sexo,situacion,evaluados,num_evaluados,total_evaluaciones,ultimo_acceso,nivel_acceso) VALUES (1537,'LICENCIATURA','santiago.capetilloruiz','112520','TOMAR DEL SND','CAPETILLO RUIZ SANTIAGO','ARQUITECTURA','1ro','MASCULINO','ACTIVO','',0,0,'','ALUMNO');</v>
      </c>
    </row>
    <row r="539" spans="1:12" ht="130.5" x14ac:dyDescent="0.35">
      <c r="A539" s="7">
        <v>1538</v>
      </c>
      <c r="B539" s="6" t="s">
        <v>5</v>
      </c>
      <c r="C539" t="s">
        <v>544</v>
      </c>
      <c r="D539" s="7" t="s">
        <v>1116</v>
      </c>
      <c r="E539" s="7" t="s">
        <v>1149</v>
      </c>
      <c r="F539" t="s">
        <v>1688</v>
      </c>
      <c r="G539" s="7" t="s">
        <v>1729</v>
      </c>
      <c r="H539" t="s">
        <v>1740</v>
      </c>
      <c r="I539" t="s">
        <v>1744</v>
      </c>
      <c r="J539" t="s">
        <v>1786</v>
      </c>
      <c r="K539" s="2" t="str">
        <f t="shared" si="17"/>
        <v>1538,'LICENCIATURA','zurisadai.velazquezjimenez','112521','TOMAR DEL SND','VELAZQUEZ JIMENEZ ZURISADAI','ARQUITECTURA','1ro','FEMENINO','ACTIVO','',0,0,'','ALUMNO'</v>
      </c>
      <c r="L539" s="10" t="str">
        <f t="shared" si="16"/>
        <v>INSERT INTO participantes (id,nivel,correo,matricula,clave,nombre,carrera,grado,sexo,situacion,evaluados,num_evaluados,total_evaluaciones,ultimo_acceso,nivel_acceso) VALUES (1538,'LICENCIATURA','zurisadai.velazquezjimenez','112521','TOMAR DEL SND','VELAZQUEZ JIMENEZ ZURISADAI','ARQUITECTURA','1ro','FEMENINO','ACTIVO','',0,0,'','ALUMNO');</v>
      </c>
    </row>
    <row r="540" spans="1:12" ht="130.5" x14ac:dyDescent="0.35">
      <c r="A540" s="7">
        <v>1539</v>
      </c>
      <c r="B540" s="6" t="s">
        <v>5</v>
      </c>
      <c r="C540" t="s">
        <v>545</v>
      </c>
      <c r="D540" s="7" t="s">
        <v>1117</v>
      </c>
      <c r="E540" s="7" t="s">
        <v>1149</v>
      </c>
      <c r="F540" t="s">
        <v>1689</v>
      </c>
      <c r="G540" s="7" t="s">
        <v>1726</v>
      </c>
      <c r="H540" t="s">
        <v>1740</v>
      </c>
      <c r="I540" t="s">
        <v>1743</v>
      </c>
      <c r="J540" t="s">
        <v>1786</v>
      </c>
      <c r="K540" s="2" t="str">
        <f t="shared" si="17"/>
        <v>1539,'LICENCIATURA','jordan.gaunagalvan','112522','TOMAR DEL SND','GAUNA GALVAN JORDAN','PSICOLOGIA','1ro','MASCULINO','ACTIVO','',0,0,'','ALUMNO'</v>
      </c>
      <c r="L540" s="10" t="str">
        <f t="shared" si="16"/>
        <v>INSERT INTO participantes (id,nivel,correo,matricula,clave,nombre,carrera,grado,sexo,situacion,evaluados,num_evaluados,total_evaluaciones,ultimo_acceso,nivel_acceso) VALUES (1539,'LICENCIATURA','jordan.gaunagalvan','112522','TOMAR DEL SND','GAUNA GALVAN JORDAN','PSICOLOGIA','1ro','MASCULINO','ACTIVO','',0,0,'','ALUMNO');</v>
      </c>
    </row>
    <row r="541" spans="1:12" ht="130.5" x14ac:dyDescent="0.35">
      <c r="A541" s="7">
        <v>1540</v>
      </c>
      <c r="B541" s="6" t="s">
        <v>5</v>
      </c>
      <c r="C541" t="s">
        <v>546</v>
      </c>
      <c r="D541" s="7" t="s">
        <v>1118</v>
      </c>
      <c r="E541" s="7" t="s">
        <v>1149</v>
      </c>
      <c r="F541" t="s">
        <v>1690</v>
      </c>
      <c r="G541" s="7" t="s">
        <v>1729</v>
      </c>
      <c r="H541" t="s">
        <v>1740</v>
      </c>
      <c r="I541" t="s">
        <v>1744</v>
      </c>
      <c r="J541" t="s">
        <v>1786</v>
      </c>
      <c r="K541" s="2" t="str">
        <f t="shared" si="17"/>
        <v>1540,'LICENCIATURA','mariafernanda.hernandezgarcia','112523','TOMAR DEL SND','HERNANDEZ GARCIA MARIA FERNANDA','ARQUITECTURA','1ro','FEMENINO','ACTIVO','',0,0,'','ALUMNO'</v>
      </c>
      <c r="L541" s="10" t="str">
        <f t="shared" si="16"/>
        <v>INSERT INTO participantes (id,nivel,correo,matricula,clave,nombre,carrera,grado,sexo,situacion,evaluados,num_evaluados,total_evaluaciones,ultimo_acceso,nivel_acceso) VALUES (1540,'LICENCIATURA','mariafernanda.hernandezgarcia','112523','TOMAR DEL SND','HERNANDEZ GARCIA MARIA FERNANDA','ARQUITECTURA','1ro','FEMENINO','ACTIVO','',0,0,'','ALUMNO');</v>
      </c>
    </row>
    <row r="542" spans="1:12" ht="130.5" x14ac:dyDescent="0.35">
      <c r="A542" s="7">
        <v>1541</v>
      </c>
      <c r="B542" s="6" t="s">
        <v>5</v>
      </c>
      <c r="C542" t="s">
        <v>547</v>
      </c>
      <c r="D542" s="7" t="s">
        <v>1119</v>
      </c>
      <c r="E542" s="7" t="s">
        <v>1149</v>
      </c>
      <c r="F542" t="s">
        <v>1691</v>
      </c>
      <c r="G542" s="7" t="s">
        <v>1729</v>
      </c>
      <c r="H542" t="s">
        <v>1740</v>
      </c>
      <c r="I542" t="s">
        <v>1744</v>
      </c>
      <c r="J542" t="s">
        <v>1786</v>
      </c>
      <c r="K542" s="2" t="str">
        <f t="shared" si="17"/>
        <v>1541,'LICENCIATURA','brisayaretzi.villarejopalma','112524','TOMAR DEL SND','VILLAREJO PALMA BRISA YARETZI','ARQUITECTURA','1ro','FEMENINO','ACTIVO','',0,0,'','ALUMNO'</v>
      </c>
      <c r="L542" s="10" t="str">
        <f t="shared" si="16"/>
        <v>INSERT INTO participantes (id,nivel,correo,matricula,clave,nombre,carrera,grado,sexo,situacion,evaluados,num_evaluados,total_evaluaciones,ultimo_acceso,nivel_acceso) VALUES (1541,'LICENCIATURA','brisayaretzi.villarejopalma','112524','TOMAR DEL SND','VILLAREJO PALMA BRISA YARETZI','ARQUITECTURA','1ro','FEMENINO','ACTIVO','',0,0,'','ALUMNO');</v>
      </c>
    </row>
    <row r="543" spans="1:12" ht="130.5" x14ac:dyDescent="0.35">
      <c r="A543" s="7">
        <v>1542</v>
      </c>
      <c r="B543" s="6" t="s">
        <v>5</v>
      </c>
      <c r="C543" t="s">
        <v>548</v>
      </c>
      <c r="D543" s="7" t="s">
        <v>1120</v>
      </c>
      <c r="E543" s="7" t="s">
        <v>1149</v>
      </c>
      <c r="F543" t="s">
        <v>1692</v>
      </c>
      <c r="G543" s="7" t="s">
        <v>1731</v>
      </c>
      <c r="H543" t="s">
        <v>1740</v>
      </c>
      <c r="I543" t="s">
        <v>1743</v>
      </c>
      <c r="J543" t="s">
        <v>1786</v>
      </c>
      <c r="K543" s="2" t="str">
        <f t="shared" si="17"/>
        <v>1542,'LICENCIATURA','danielalexander.parraazocar','112525','TOMAR DEL SND','PARRA AZOCAR DANIEL ALEXANDER','INGENIERÍA AUTOMOTRIZ','1ro','MASCULINO','ACTIVO','',0,0,'','ALUMNO'</v>
      </c>
      <c r="L543" s="10" t="str">
        <f t="shared" si="16"/>
        <v>INSERT INTO participantes (id,nivel,correo,matricula,clave,nombre,carrera,grado,sexo,situacion,evaluados,num_evaluados,total_evaluaciones,ultimo_acceso,nivel_acceso) VALUES (1542,'LICENCIATURA','danielalexander.parraazocar','112525','TOMAR DEL SND','PARRA AZOCAR DANIEL ALEXANDER','INGENIERÍA AUTOMOTRIZ','1ro','MASCULINO','ACTIVO','',0,0,'','ALUMNO');</v>
      </c>
    </row>
    <row r="544" spans="1:12" ht="130.5" x14ac:dyDescent="0.35">
      <c r="A544" s="7">
        <v>1543</v>
      </c>
      <c r="B544" s="6" t="s">
        <v>5</v>
      </c>
      <c r="C544" t="s">
        <v>549</v>
      </c>
      <c r="D544" s="7" t="s">
        <v>1121</v>
      </c>
      <c r="E544" s="7" t="s">
        <v>1149</v>
      </c>
      <c r="F544" t="s">
        <v>1693</v>
      </c>
      <c r="G544" s="7" t="s">
        <v>1725</v>
      </c>
      <c r="H544" t="s">
        <v>1740</v>
      </c>
      <c r="I544" t="s">
        <v>1743</v>
      </c>
      <c r="J544" t="s">
        <v>1786</v>
      </c>
      <c r="K544" s="2" t="str">
        <f t="shared" si="17"/>
        <v>1543,'LICENCIATURA','angeldavid.adrianrodriguez','112526','TOMAR DEL SND','ADRIAN RODRIGUEZ ANGEL DAVID','INGENIERIA AEROESPACIAL','1ro','MASCULINO','ACTIVO','',0,0,'','ALUMNO'</v>
      </c>
      <c r="L544" s="10" t="str">
        <f t="shared" si="16"/>
        <v>INSERT INTO participantes (id,nivel,correo,matricula,clave,nombre,carrera,grado,sexo,situacion,evaluados,num_evaluados,total_evaluaciones,ultimo_acceso,nivel_acceso) VALUES (1543,'LICENCIATURA','angeldavid.adrianrodriguez','112526','TOMAR DEL SND','ADRIAN RODRIGUEZ ANGEL DAVID','INGENIERIA AEROESPACIAL','1ro','MASCULINO','ACTIVO','',0,0,'','ALUMNO');</v>
      </c>
    </row>
    <row r="545" spans="1:12" ht="130.5" x14ac:dyDescent="0.35">
      <c r="A545" s="7">
        <v>1544</v>
      </c>
      <c r="B545" s="6" t="s">
        <v>5</v>
      </c>
      <c r="C545" t="s">
        <v>550</v>
      </c>
      <c r="D545" s="7" t="s">
        <v>1122</v>
      </c>
      <c r="E545" s="7" t="s">
        <v>1149</v>
      </c>
      <c r="F545" t="s">
        <v>1694</v>
      </c>
      <c r="G545" s="7" t="s">
        <v>1731</v>
      </c>
      <c r="H545" t="s">
        <v>1740</v>
      </c>
      <c r="I545" t="s">
        <v>1743</v>
      </c>
      <c r="J545" t="s">
        <v>1786</v>
      </c>
      <c r="K545" s="2" t="str">
        <f t="shared" si="17"/>
        <v>1544,'LICENCIATURA','carlosdaniel.ruvalcabavillanueva','112527','TOMAR DEL SND','RUVALCABA VILLANUEVA CARLOS DANIEL','INGENIERÍA AUTOMOTRIZ','1ro','MASCULINO','ACTIVO','',0,0,'','ALUMNO'</v>
      </c>
      <c r="L545" s="10" t="str">
        <f t="shared" si="16"/>
        <v>INSERT INTO participantes (id,nivel,correo,matricula,clave,nombre,carrera,grado,sexo,situacion,evaluados,num_evaluados,total_evaluaciones,ultimo_acceso,nivel_acceso) VALUES (1544,'LICENCIATURA','carlosdaniel.ruvalcabavillanueva','112527','TOMAR DEL SND','RUVALCABA VILLANUEVA CARLOS DANIEL','INGENIERÍA AUTOMOTRIZ','1ro','MASCULINO','ACTIVO','',0,0,'','ALUMNO');</v>
      </c>
    </row>
    <row r="546" spans="1:12" ht="130.5" x14ac:dyDescent="0.35">
      <c r="A546" s="7">
        <v>1545</v>
      </c>
      <c r="B546" s="6" t="s">
        <v>5</v>
      </c>
      <c r="C546" t="s">
        <v>551</v>
      </c>
      <c r="D546" s="7" t="s">
        <v>1123</v>
      </c>
      <c r="E546" s="7" t="s">
        <v>1149</v>
      </c>
      <c r="F546" t="s">
        <v>1695</v>
      </c>
      <c r="G546" s="7" t="s">
        <v>1725</v>
      </c>
      <c r="H546" t="s">
        <v>1740</v>
      </c>
      <c r="I546" t="s">
        <v>1744</v>
      </c>
      <c r="J546" t="s">
        <v>1786</v>
      </c>
      <c r="K546" s="2" t="str">
        <f t="shared" si="17"/>
        <v>1545,'LICENCIATURA','andreajaneth.valdesgonzalez','112528','TOMAR DEL SND','VALDES GONZALEZ ANDREA JANETH','INGENIERIA AEROESPACIAL','1ro','FEMENINO','ACTIVO','',0,0,'','ALUMNO'</v>
      </c>
      <c r="L546" s="10" t="str">
        <f t="shared" si="16"/>
        <v>INSERT INTO participantes (id,nivel,correo,matricula,clave,nombre,carrera,grado,sexo,situacion,evaluados,num_evaluados,total_evaluaciones,ultimo_acceso,nivel_acceso) VALUES (1545,'LICENCIATURA','andreajaneth.valdesgonzalez','112528','TOMAR DEL SND','VALDES GONZALEZ ANDREA JANETH','INGENIERIA AEROESPACIAL','1ro','FEMENINO','ACTIVO','',0,0,'','ALUMNO');</v>
      </c>
    </row>
    <row r="547" spans="1:12" ht="130.5" x14ac:dyDescent="0.35">
      <c r="A547" s="7">
        <v>1546</v>
      </c>
      <c r="B547" s="6" t="s">
        <v>5</v>
      </c>
      <c r="C547" t="s">
        <v>552</v>
      </c>
      <c r="D547" s="7" t="s">
        <v>1124</v>
      </c>
      <c r="E547" s="7" t="s">
        <v>1149</v>
      </c>
      <c r="F547" t="s">
        <v>1696</v>
      </c>
      <c r="G547" s="7" t="s">
        <v>1725</v>
      </c>
      <c r="H547" t="s">
        <v>1740</v>
      </c>
      <c r="I547" t="s">
        <v>1743</v>
      </c>
      <c r="J547" t="s">
        <v>1786</v>
      </c>
      <c r="K547" s="2" t="str">
        <f t="shared" si="17"/>
        <v>1546,'LICENCIATURA','donovanisael.barraganbrambila','112529','TOMAR DEL SND','BARRAGAN BRAMBILA DONOVAN ISAEL','INGENIERIA AEROESPACIAL','1ro','MASCULINO','ACTIVO','',0,0,'','ALUMNO'</v>
      </c>
      <c r="L547" s="10" t="str">
        <f t="shared" si="16"/>
        <v>INSERT INTO participantes (id,nivel,correo,matricula,clave,nombre,carrera,grado,sexo,situacion,evaluados,num_evaluados,total_evaluaciones,ultimo_acceso,nivel_acceso) VALUES (1546,'LICENCIATURA','donovanisael.barraganbrambila','112529','TOMAR DEL SND','BARRAGAN BRAMBILA DONOVAN ISAEL','INGENIERIA AEROESPACIAL','1ro','MASCULINO','ACTIVO','',0,0,'','ALUMNO');</v>
      </c>
    </row>
    <row r="548" spans="1:12" ht="130.5" x14ac:dyDescent="0.35">
      <c r="A548" s="7">
        <v>1547</v>
      </c>
      <c r="B548" s="6" t="s">
        <v>5</v>
      </c>
      <c r="C548" t="s">
        <v>553</v>
      </c>
      <c r="D548" s="7" t="s">
        <v>1125</v>
      </c>
      <c r="E548" s="7" t="s">
        <v>1149</v>
      </c>
      <c r="F548" t="s">
        <v>1697</v>
      </c>
      <c r="G548" s="7" t="s">
        <v>1725</v>
      </c>
      <c r="H548" t="s">
        <v>1740</v>
      </c>
      <c r="I548" t="s">
        <v>1743</v>
      </c>
      <c r="J548" t="s">
        <v>1786</v>
      </c>
      <c r="K548" s="2" t="str">
        <f t="shared" si="17"/>
        <v>1547,'LICENCIATURA','emiliano.zepedamagallon','112535','TOMAR DEL SND','ZEPEDA MAGALLON EMILIANO','INGENIERIA AEROESPACIAL','1ro','MASCULINO','ACTIVO','',0,0,'','ALUMNO'</v>
      </c>
      <c r="L548" s="10" t="str">
        <f t="shared" si="16"/>
        <v>INSERT INTO participantes (id,nivel,correo,matricula,clave,nombre,carrera,grado,sexo,situacion,evaluados,num_evaluados,total_evaluaciones,ultimo_acceso,nivel_acceso) VALUES (1547,'LICENCIATURA','emiliano.zepedamagallon','112535','TOMAR DEL SND','ZEPEDA MAGALLON EMILIANO','INGENIERIA AEROESPACIAL','1ro','MASCULINO','ACTIVO','',0,0,'','ALUMNO');</v>
      </c>
    </row>
    <row r="549" spans="1:12" ht="130.5" x14ac:dyDescent="0.35">
      <c r="A549" s="7">
        <v>1548</v>
      </c>
      <c r="B549" s="6" t="s">
        <v>5</v>
      </c>
      <c r="C549" t="s">
        <v>554</v>
      </c>
      <c r="D549" s="7" t="s">
        <v>1126</v>
      </c>
      <c r="E549" s="7" t="s">
        <v>1149</v>
      </c>
      <c r="F549" t="s">
        <v>1698</v>
      </c>
      <c r="G549" s="7" t="s">
        <v>1731</v>
      </c>
      <c r="H549" t="s">
        <v>1740</v>
      </c>
      <c r="I549" t="s">
        <v>1743</v>
      </c>
      <c r="J549" t="s">
        <v>1786</v>
      </c>
      <c r="K549" s="2" t="str">
        <f t="shared" si="17"/>
        <v>1548,'LICENCIATURA','maximosaul.uribejimenez','112536','TOMAR DEL SND','URIBE JIMENEZ MAXIMO SAUL','INGENIERÍA AUTOMOTRIZ','1ro','MASCULINO','ACTIVO','',0,0,'','ALUMNO'</v>
      </c>
      <c r="L549" s="10" t="str">
        <f t="shared" si="16"/>
        <v>INSERT INTO participantes (id,nivel,correo,matricula,clave,nombre,carrera,grado,sexo,situacion,evaluados,num_evaluados,total_evaluaciones,ultimo_acceso,nivel_acceso) VALUES (1548,'LICENCIATURA','maximosaul.uribejimenez','112536','TOMAR DEL SND','URIBE JIMENEZ MAXIMO SAUL','INGENIERÍA AUTOMOTRIZ','1ro','MASCULINO','ACTIVO','',0,0,'','ALUMNO');</v>
      </c>
    </row>
    <row r="550" spans="1:12" ht="130.5" x14ac:dyDescent="0.35">
      <c r="A550" s="7">
        <v>1549</v>
      </c>
      <c r="B550" s="6" t="s">
        <v>5</v>
      </c>
      <c r="C550" t="s">
        <v>555</v>
      </c>
      <c r="D550" s="7" t="s">
        <v>1127</v>
      </c>
      <c r="E550" s="7" t="s">
        <v>1149</v>
      </c>
      <c r="F550" t="s">
        <v>1699</v>
      </c>
      <c r="G550" s="7" t="s">
        <v>1726</v>
      </c>
      <c r="H550" t="s">
        <v>1740</v>
      </c>
      <c r="I550" t="s">
        <v>1743</v>
      </c>
      <c r="J550" t="s">
        <v>1786</v>
      </c>
      <c r="K550" s="2" t="str">
        <f t="shared" si="17"/>
        <v>1549,'LICENCIATURA','sebastiandegalileo.monteonarias','112538','TOMAR DEL SND','MONTEON ARIAS SEBASTIAN DE GALILEO','PSICOLOGIA','1ro','MASCULINO','ACTIVO','',0,0,'','ALUMNO'</v>
      </c>
      <c r="L550" s="10" t="str">
        <f t="shared" si="16"/>
        <v>INSERT INTO participantes (id,nivel,correo,matricula,clave,nombre,carrera,grado,sexo,situacion,evaluados,num_evaluados,total_evaluaciones,ultimo_acceso,nivel_acceso) VALUES (1549,'LICENCIATURA','sebastiandegalileo.monteonarias','112538','TOMAR DEL SND','MONTEON ARIAS SEBASTIAN DE GALILEO','PSICOLOGIA','1ro','MASCULINO','ACTIVO','',0,0,'','ALUMNO');</v>
      </c>
    </row>
    <row r="551" spans="1:12" ht="130.5" x14ac:dyDescent="0.35">
      <c r="A551" s="7">
        <v>1550</v>
      </c>
      <c r="B551" s="6" t="s">
        <v>5</v>
      </c>
      <c r="C551" t="s">
        <v>556</v>
      </c>
      <c r="D551" s="7" t="s">
        <v>1128</v>
      </c>
      <c r="E551" s="7" t="s">
        <v>1149</v>
      </c>
      <c r="F551" t="s">
        <v>1700</v>
      </c>
      <c r="G551" s="7" t="s">
        <v>1726</v>
      </c>
      <c r="H551" t="s">
        <v>1740</v>
      </c>
      <c r="I551" t="s">
        <v>1743</v>
      </c>
      <c r="J551" t="s">
        <v>1786</v>
      </c>
      <c r="K551" s="2" t="str">
        <f t="shared" si="17"/>
        <v>1550,'LICENCIATURA','diegofernando.hernandezjimenez','112539','TOMAR DEL SND','HERNANDEZ JIMENEZ DIEGO FERNANDO','PSICOLOGIA','1ro','MASCULINO','ACTIVO','',0,0,'','ALUMNO'</v>
      </c>
      <c r="L551" s="10" t="str">
        <f t="shared" si="16"/>
        <v>INSERT INTO participantes (id,nivel,correo,matricula,clave,nombre,carrera,grado,sexo,situacion,evaluados,num_evaluados,total_evaluaciones,ultimo_acceso,nivel_acceso) VALUES (1550,'LICENCIATURA','diegofernando.hernandezjimenez','112539','TOMAR DEL SND','HERNANDEZ JIMENEZ DIEGO FERNANDO','PSICOLOGIA','1ro','MASCULINO','ACTIVO','',0,0,'','ALUMNO');</v>
      </c>
    </row>
    <row r="552" spans="1:12" ht="130.5" x14ac:dyDescent="0.35">
      <c r="A552" s="7">
        <v>1551</v>
      </c>
      <c r="B552" s="6" t="s">
        <v>5</v>
      </c>
      <c r="C552" t="s">
        <v>557</v>
      </c>
      <c r="D552" s="7" t="s">
        <v>1129</v>
      </c>
      <c r="E552" s="7" t="s">
        <v>1149</v>
      </c>
      <c r="F552" t="s">
        <v>1701</v>
      </c>
      <c r="G552" s="7" t="s">
        <v>1725</v>
      </c>
      <c r="H552" t="s">
        <v>1740</v>
      </c>
      <c r="I552" t="s">
        <v>1743</v>
      </c>
      <c r="J552" t="s">
        <v>1786</v>
      </c>
      <c r="K552" s="2" t="str">
        <f t="shared" si="17"/>
        <v>1551,'LICENCIATURA','alejandro.infantemares','112544','TOMAR DEL SND','INFANTE MARES ALEJANDRO','INGENIERIA AEROESPACIAL','1ro','MASCULINO','ACTIVO','',0,0,'','ALUMNO'</v>
      </c>
      <c r="L552" s="10" t="str">
        <f t="shared" si="16"/>
        <v>INSERT INTO participantes (id,nivel,correo,matricula,clave,nombre,carrera,grado,sexo,situacion,evaluados,num_evaluados,total_evaluaciones,ultimo_acceso,nivel_acceso) VALUES (1551,'LICENCIATURA','alejandro.infantemares','112544','TOMAR DEL SND','INFANTE MARES ALEJANDRO','INGENIERIA AEROESPACIAL','1ro','MASCULINO','ACTIVO','',0,0,'','ALUMNO');</v>
      </c>
    </row>
    <row r="553" spans="1:12" ht="130.5" x14ac:dyDescent="0.35">
      <c r="A553" s="7">
        <v>1552</v>
      </c>
      <c r="B553" s="6" t="s">
        <v>5</v>
      </c>
      <c r="C553" t="s">
        <v>558</v>
      </c>
      <c r="D553" s="7" t="s">
        <v>1130</v>
      </c>
      <c r="E553" s="7" t="s">
        <v>1149</v>
      </c>
      <c r="F553" t="s">
        <v>1702</v>
      </c>
      <c r="G553" s="7" t="s">
        <v>1729</v>
      </c>
      <c r="H553" t="s">
        <v>1740</v>
      </c>
      <c r="I553" t="s">
        <v>1744</v>
      </c>
      <c r="J553" t="s">
        <v>1786</v>
      </c>
      <c r="K553" s="2" t="str">
        <f t="shared" si="17"/>
        <v>1552,'LICENCIATURA','geraldine.diazsantana','112545','TOMAR DEL SND','DIAZ SANTANA GERALDINE','ARQUITECTURA','1ro','FEMENINO','ACTIVO','',0,0,'','ALUMNO'</v>
      </c>
      <c r="L553" s="10" t="str">
        <f t="shared" si="16"/>
        <v>INSERT INTO participantes (id,nivel,correo,matricula,clave,nombre,carrera,grado,sexo,situacion,evaluados,num_evaluados,total_evaluaciones,ultimo_acceso,nivel_acceso) VALUES (1552,'LICENCIATURA','geraldine.diazsantana','112545','TOMAR DEL SND','DIAZ SANTANA GERALDINE','ARQUITECTURA','1ro','FEMENINO','ACTIVO','',0,0,'','ALUMNO');</v>
      </c>
    </row>
    <row r="554" spans="1:12" ht="130.5" x14ac:dyDescent="0.35">
      <c r="A554" s="7">
        <v>1553</v>
      </c>
      <c r="B554" s="6" t="s">
        <v>5</v>
      </c>
      <c r="C554" t="s">
        <v>559</v>
      </c>
      <c r="D554" s="7" t="s">
        <v>1131</v>
      </c>
      <c r="E554" s="7" t="s">
        <v>1149</v>
      </c>
      <c r="F554" t="s">
        <v>1703</v>
      </c>
      <c r="G554" s="7" t="s">
        <v>1725</v>
      </c>
      <c r="H554" t="s">
        <v>1740</v>
      </c>
      <c r="I554" t="s">
        <v>1743</v>
      </c>
      <c r="J554" t="s">
        <v>1786</v>
      </c>
      <c r="K554" s="2" t="str">
        <f t="shared" si="17"/>
        <v>1553,'LICENCIATURA','joseluis.martinezgutierrez','112546','TOMAR DEL SND','MARTINEZ GUTIERREZ JOSE LUIS','INGENIERIA AEROESPACIAL','1ro','MASCULINO','ACTIVO','',0,0,'','ALUMNO'</v>
      </c>
      <c r="L554" s="10" t="str">
        <f t="shared" si="16"/>
        <v>INSERT INTO participantes (id,nivel,correo,matricula,clave,nombre,carrera,grado,sexo,situacion,evaluados,num_evaluados,total_evaluaciones,ultimo_acceso,nivel_acceso) VALUES (1553,'LICENCIATURA','joseluis.martinezgutierrez','112546','TOMAR DEL SND','MARTINEZ GUTIERREZ JOSE LUIS','INGENIERIA AEROESPACIAL','1ro','MASCULINO','ACTIVO','',0,0,'','ALUMNO');</v>
      </c>
    </row>
    <row r="555" spans="1:12" ht="130.5" x14ac:dyDescent="0.35">
      <c r="A555" s="7">
        <v>1554</v>
      </c>
      <c r="B555" s="6" t="s">
        <v>5</v>
      </c>
      <c r="C555" t="s">
        <v>560</v>
      </c>
      <c r="D555" s="7" t="s">
        <v>1132</v>
      </c>
      <c r="E555" s="7" t="s">
        <v>1149</v>
      </c>
      <c r="F555" t="s">
        <v>1704</v>
      </c>
      <c r="G555" s="7" t="s">
        <v>1731</v>
      </c>
      <c r="H555" t="s">
        <v>1740</v>
      </c>
      <c r="I555" t="s">
        <v>1743</v>
      </c>
      <c r="J555" t="s">
        <v>1786</v>
      </c>
      <c r="K555" s="2" t="str">
        <f t="shared" si="17"/>
        <v>1554,'LICENCIATURA','kishtianezequiel.chavezcuin','112548','TOMAR DEL SND','CHAVEZ CUIN KISHTIAN EZEQUIEL','INGENIERÍA AUTOMOTRIZ','1ro','MASCULINO','ACTIVO','',0,0,'','ALUMNO'</v>
      </c>
      <c r="L555" s="10" t="str">
        <f t="shared" si="16"/>
        <v>INSERT INTO participantes (id,nivel,correo,matricula,clave,nombre,carrera,grado,sexo,situacion,evaluados,num_evaluados,total_evaluaciones,ultimo_acceso,nivel_acceso) VALUES (1554,'LICENCIATURA','kishtianezequiel.chavezcuin','112548','TOMAR DEL SND','CHAVEZ CUIN KISHTIAN EZEQUIEL','INGENIERÍA AUTOMOTRIZ','1ro','MASCULINO','ACTIVO','',0,0,'','ALUMNO');</v>
      </c>
    </row>
    <row r="556" spans="1:12" ht="130.5" x14ac:dyDescent="0.35">
      <c r="A556" s="7">
        <v>1555</v>
      </c>
      <c r="B556" s="6" t="s">
        <v>5</v>
      </c>
      <c r="C556" t="s">
        <v>561</v>
      </c>
      <c r="D556" s="7" t="s">
        <v>1133</v>
      </c>
      <c r="E556" s="7" t="s">
        <v>1149</v>
      </c>
      <c r="F556" t="s">
        <v>1705</v>
      </c>
      <c r="G556" s="7" t="s">
        <v>1727</v>
      </c>
      <c r="H556" t="s">
        <v>1737</v>
      </c>
      <c r="I556" t="s">
        <v>1743</v>
      </c>
      <c r="J556" t="s">
        <v>1786</v>
      </c>
      <c r="K556" s="2" t="str">
        <f t="shared" si="17"/>
        <v>1555,'LICENCIATURA','angeldejesus.lopezbrito','112550','TOMAR DEL SND','LOPEZ BRITO ANGEL DE JESUS','ADMINISTRACION Y DIRECCION DE NEGOCIOS','5to','MASCULINO','ACTIVO','',0,0,'','ALUMNO'</v>
      </c>
      <c r="L556" s="10" t="str">
        <f t="shared" si="16"/>
        <v>INSERT INTO participantes (id,nivel,correo,matricula,clave,nombre,carrera,grado,sexo,situacion,evaluados,num_evaluados,total_evaluaciones,ultimo_acceso,nivel_acceso) VALUES (1555,'LICENCIATURA','angeldejesus.lopezbrito','112550','TOMAR DEL SND','LOPEZ BRITO ANGEL DE JESUS','ADMINISTRACION Y DIRECCION DE NEGOCIOS','5to','MASCULINO','ACTIVO','',0,0,'','ALUMNO');</v>
      </c>
    </row>
    <row r="557" spans="1:12" ht="130.5" x14ac:dyDescent="0.35">
      <c r="A557" s="7">
        <v>1556</v>
      </c>
      <c r="B557" s="6" t="s">
        <v>5</v>
      </c>
      <c r="C557" t="s">
        <v>562</v>
      </c>
      <c r="D557" s="7" t="s">
        <v>1134</v>
      </c>
      <c r="E557" s="7" t="s">
        <v>1149</v>
      </c>
      <c r="F557" t="s">
        <v>1706</v>
      </c>
      <c r="G557" s="7" t="s">
        <v>1731</v>
      </c>
      <c r="H557" t="s">
        <v>1740</v>
      </c>
      <c r="I557" t="s">
        <v>1743</v>
      </c>
      <c r="J557" t="s">
        <v>1786</v>
      </c>
      <c r="K557" s="2" t="str">
        <f t="shared" si="17"/>
        <v>1556,'LICENCIATURA','erickjosue.sigaladelarosa','112551','TOMAR DEL SND','SIGALA DE LA ROSA ERICK JOSUE','INGENIERÍA AUTOMOTRIZ','1ro','MASCULINO','ACTIVO','',0,0,'','ALUMNO'</v>
      </c>
      <c r="L557" s="10" t="str">
        <f t="shared" si="16"/>
        <v>INSERT INTO participantes (id,nivel,correo,matricula,clave,nombre,carrera,grado,sexo,situacion,evaluados,num_evaluados,total_evaluaciones,ultimo_acceso,nivel_acceso) VALUES (1556,'LICENCIATURA','erickjosue.sigaladelarosa','112551','TOMAR DEL SND','SIGALA DE LA ROSA ERICK JOSUE','INGENIERÍA AUTOMOTRIZ','1ro','MASCULINO','ACTIVO','',0,0,'','ALUMNO');</v>
      </c>
    </row>
    <row r="558" spans="1:12" ht="130.5" x14ac:dyDescent="0.35">
      <c r="A558" s="7">
        <v>1557</v>
      </c>
      <c r="B558" s="6" t="s">
        <v>5</v>
      </c>
      <c r="C558" t="s">
        <v>563</v>
      </c>
      <c r="D558" s="7" t="s">
        <v>1135</v>
      </c>
      <c r="E558" s="7" t="s">
        <v>1149</v>
      </c>
      <c r="F558" t="s">
        <v>1707</v>
      </c>
      <c r="G558" s="7" t="s">
        <v>1725</v>
      </c>
      <c r="H558" t="s">
        <v>1740</v>
      </c>
      <c r="I558" t="s">
        <v>1743</v>
      </c>
      <c r="J558" t="s">
        <v>1786</v>
      </c>
      <c r="K558" s="2" t="str">
        <f t="shared" si="17"/>
        <v>1557,'LICENCIATURA','albertogabriel.limonesvicente','112552','TOMAR DEL SND','LIMONES VICENTE ALBERTO GABRIEL','INGENIERIA AEROESPACIAL','1ro','MASCULINO','ACTIVO','',0,0,'','ALUMNO'</v>
      </c>
      <c r="L558" s="10" t="str">
        <f t="shared" si="16"/>
        <v>INSERT INTO participantes (id,nivel,correo,matricula,clave,nombre,carrera,grado,sexo,situacion,evaluados,num_evaluados,total_evaluaciones,ultimo_acceso,nivel_acceso) VALUES (1557,'LICENCIATURA','albertogabriel.limonesvicente','112552','TOMAR DEL SND','LIMONES VICENTE ALBERTO GABRIEL','INGENIERIA AEROESPACIAL','1ro','MASCULINO','ACTIVO','',0,0,'','ALUMNO');</v>
      </c>
    </row>
    <row r="559" spans="1:12" ht="130.5" x14ac:dyDescent="0.35">
      <c r="A559" s="7">
        <v>1558</v>
      </c>
      <c r="B559" s="6" t="s">
        <v>5</v>
      </c>
      <c r="C559" t="s">
        <v>564</v>
      </c>
      <c r="D559" s="7" t="s">
        <v>1136</v>
      </c>
      <c r="E559" s="7" t="s">
        <v>1149</v>
      </c>
      <c r="F559" t="s">
        <v>1708</v>
      </c>
      <c r="G559" s="7" t="s">
        <v>1725</v>
      </c>
      <c r="H559" t="s">
        <v>1740</v>
      </c>
      <c r="I559" t="s">
        <v>1744</v>
      </c>
      <c r="J559" t="s">
        <v>1786</v>
      </c>
      <c r="K559" s="2" t="str">
        <f t="shared" si="17"/>
        <v>1558,'LICENCIATURA','alejandra.najeraestrada','112553','TOMAR DEL SND','NAJERA ESTRADA ALEJANDRA','INGENIERIA AEROESPACIAL','1ro','FEMENINO','ACTIVO','',0,0,'','ALUMNO'</v>
      </c>
      <c r="L559" s="10" t="str">
        <f t="shared" si="16"/>
        <v>INSERT INTO participantes (id,nivel,correo,matricula,clave,nombre,carrera,grado,sexo,situacion,evaluados,num_evaluados,total_evaluaciones,ultimo_acceso,nivel_acceso) VALUES (1558,'LICENCIATURA','alejandra.najeraestrada','112553','TOMAR DEL SND','NAJERA ESTRADA ALEJANDRA','INGENIERIA AEROESPACIAL','1ro','FEMENINO','ACTIVO','',0,0,'','ALUMNO');</v>
      </c>
    </row>
    <row r="560" spans="1:12" ht="130.5" x14ac:dyDescent="0.35">
      <c r="A560" s="7">
        <v>1559</v>
      </c>
      <c r="B560" s="6" t="s">
        <v>5</v>
      </c>
      <c r="C560" t="s">
        <v>565</v>
      </c>
      <c r="D560" s="7" t="s">
        <v>1137</v>
      </c>
      <c r="E560" s="7" t="s">
        <v>1149</v>
      </c>
      <c r="F560" t="s">
        <v>1709</v>
      </c>
      <c r="G560" s="7" t="s">
        <v>1731</v>
      </c>
      <c r="H560" t="s">
        <v>1740</v>
      </c>
      <c r="I560" t="s">
        <v>1743</v>
      </c>
      <c r="J560" t="s">
        <v>1786</v>
      </c>
      <c r="K560" s="2" t="str">
        <f t="shared" si="17"/>
        <v>1559,'LICENCIATURA','alejandro.romeromariscal','112554','TOMAR DEL SND','ROMERO MARISCAL ALEJANDRO','INGENIERÍA AUTOMOTRIZ','1ro','MASCULINO','ACTIVO','',0,0,'','ALUMNO'</v>
      </c>
      <c r="L560" s="10" t="str">
        <f t="shared" si="16"/>
        <v>INSERT INTO participantes (id,nivel,correo,matricula,clave,nombre,carrera,grado,sexo,situacion,evaluados,num_evaluados,total_evaluaciones,ultimo_acceso,nivel_acceso) VALUES (1559,'LICENCIATURA','alejandro.romeromariscal','112554','TOMAR DEL SND','ROMERO MARISCAL ALEJANDRO','INGENIERÍA AUTOMOTRIZ','1ro','MASCULINO','ACTIVO','',0,0,'','ALUMNO');</v>
      </c>
    </row>
    <row r="561" spans="1:12" ht="130.5" x14ac:dyDescent="0.35">
      <c r="A561" s="7">
        <v>1560</v>
      </c>
      <c r="B561" s="6" t="s">
        <v>5</v>
      </c>
      <c r="C561" t="s">
        <v>566</v>
      </c>
      <c r="D561" s="7" t="s">
        <v>1138</v>
      </c>
      <c r="E561" s="7" t="s">
        <v>1149</v>
      </c>
      <c r="F561" t="s">
        <v>1710</v>
      </c>
      <c r="G561" s="7" t="s">
        <v>1731</v>
      </c>
      <c r="H561" t="s">
        <v>1740</v>
      </c>
      <c r="I561" t="s">
        <v>1743</v>
      </c>
      <c r="J561" t="s">
        <v>1786</v>
      </c>
      <c r="K561" s="2" t="str">
        <f t="shared" si="17"/>
        <v>1560,'LICENCIATURA','edgaralejandro.eufraciocasillas','112555','TOMAR DEL SND','EUFRACIO CASILLAS EDGAR ALEJANDRO','INGENIERÍA AUTOMOTRIZ','1ro','MASCULINO','ACTIVO','',0,0,'','ALUMNO'</v>
      </c>
      <c r="L561" s="10" t="str">
        <f t="shared" si="16"/>
        <v>INSERT INTO participantes (id,nivel,correo,matricula,clave,nombre,carrera,grado,sexo,situacion,evaluados,num_evaluados,total_evaluaciones,ultimo_acceso,nivel_acceso) VALUES (1560,'LICENCIATURA','edgaralejandro.eufraciocasillas','112555','TOMAR DEL SND','EUFRACIO CASILLAS EDGAR ALEJANDRO','INGENIERÍA AUTOMOTRIZ','1ro','MASCULINO','ACTIVO','',0,0,'','ALUMNO');</v>
      </c>
    </row>
    <row r="562" spans="1:12" ht="130.5" x14ac:dyDescent="0.35">
      <c r="A562" s="7">
        <v>1561</v>
      </c>
      <c r="B562" s="6" t="s">
        <v>5</v>
      </c>
      <c r="C562" t="s">
        <v>567</v>
      </c>
      <c r="D562" s="7" t="s">
        <v>1139</v>
      </c>
      <c r="E562" s="7" t="s">
        <v>1149</v>
      </c>
      <c r="F562" t="s">
        <v>1711</v>
      </c>
      <c r="G562" s="7" t="s">
        <v>1726</v>
      </c>
      <c r="H562" t="s">
        <v>1740</v>
      </c>
      <c r="I562" t="s">
        <v>1744</v>
      </c>
      <c r="J562" t="s">
        <v>1786</v>
      </c>
      <c r="K562" s="2" t="str">
        <f t="shared" si="17"/>
        <v>1561,'LICENCIATURA','nesdalymaurine.mombrunleyva','112557','TOMAR DEL SND','MOMBRUN LEYVA NESDALY MAURINE','PSICOLOGIA','1ro','FEMENINO','ACTIVO','',0,0,'','ALUMNO'</v>
      </c>
      <c r="L562" s="10" t="str">
        <f t="shared" si="16"/>
        <v>INSERT INTO participantes (id,nivel,correo,matricula,clave,nombre,carrera,grado,sexo,situacion,evaluados,num_evaluados,total_evaluaciones,ultimo_acceso,nivel_acceso) VALUES (1561,'LICENCIATURA','nesdalymaurine.mombrunleyva','112557','TOMAR DEL SND','MOMBRUN LEYVA NESDALY MAURINE','PSICOLOGIA','1ro','FEMENINO','ACTIVO','',0,0,'','ALUMNO');</v>
      </c>
    </row>
    <row r="563" spans="1:12" ht="130.5" x14ac:dyDescent="0.35">
      <c r="A563" s="7">
        <v>1562</v>
      </c>
      <c r="B563" s="6" t="s">
        <v>5</v>
      </c>
      <c r="C563" t="s">
        <v>568</v>
      </c>
      <c r="D563" s="7" t="s">
        <v>1140</v>
      </c>
      <c r="E563" s="7" t="s">
        <v>1149</v>
      </c>
      <c r="F563" t="s">
        <v>1712</v>
      </c>
      <c r="G563" s="7" t="s">
        <v>1731</v>
      </c>
      <c r="H563" t="s">
        <v>1740</v>
      </c>
      <c r="I563" t="s">
        <v>1743</v>
      </c>
      <c r="J563" t="s">
        <v>1786</v>
      </c>
      <c r="K563" s="2" t="str">
        <f t="shared" si="17"/>
        <v>1562,'LICENCIATURA','oswaldo.martinezbarragan','112558','TOMAR DEL SND','MARTINEZ BARRAGAN OSWALDO','INGENIERÍA AUTOMOTRIZ','1ro','MASCULINO','ACTIVO','',0,0,'','ALUMNO'</v>
      </c>
      <c r="L563" s="10" t="str">
        <f t="shared" si="16"/>
        <v>INSERT INTO participantes (id,nivel,correo,matricula,clave,nombre,carrera,grado,sexo,situacion,evaluados,num_evaluados,total_evaluaciones,ultimo_acceso,nivel_acceso) VALUES (1562,'LICENCIATURA','oswaldo.martinezbarragan','112558','TOMAR DEL SND','MARTINEZ BARRAGAN OSWALDO','INGENIERÍA AUTOMOTRIZ','1ro','MASCULINO','ACTIVO','',0,0,'','ALUMNO');</v>
      </c>
    </row>
    <row r="564" spans="1:12" ht="130.5" x14ac:dyDescent="0.35">
      <c r="A564" s="7">
        <v>1563</v>
      </c>
      <c r="B564" s="6" t="s">
        <v>5</v>
      </c>
      <c r="C564" t="s">
        <v>569</v>
      </c>
      <c r="D564" s="7" t="s">
        <v>1141</v>
      </c>
      <c r="E564" s="7" t="s">
        <v>1149</v>
      </c>
      <c r="F564" t="s">
        <v>1713</v>
      </c>
      <c r="G564" s="7" t="s">
        <v>1725</v>
      </c>
      <c r="H564" t="s">
        <v>1740</v>
      </c>
      <c r="I564" t="s">
        <v>1743</v>
      </c>
      <c r="J564" t="s">
        <v>1786</v>
      </c>
      <c r="K564" s="2" t="str">
        <f t="shared" si="17"/>
        <v>1563,'LICENCIATURA','eduardo.barbozagaribay','112564','TOMAR DEL SND','BARBOZA GARIBAY EDUARDO','INGENIERIA AEROESPACIAL','1ro','MASCULINO','ACTIVO','',0,0,'','ALUMNO'</v>
      </c>
      <c r="L564" s="10" t="str">
        <f t="shared" si="16"/>
        <v>INSERT INTO participantes (id,nivel,correo,matricula,clave,nombre,carrera,grado,sexo,situacion,evaluados,num_evaluados,total_evaluaciones,ultimo_acceso,nivel_acceso) VALUES (1563,'LICENCIATURA','eduardo.barbozagaribay','112564','TOMAR DEL SND','BARBOZA GARIBAY EDUARDO','INGENIERIA AEROESPACIAL','1ro','MASCULINO','ACTIVO','',0,0,'','ALUMNO');</v>
      </c>
    </row>
    <row r="565" spans="1:12" ht="130.5" x14ac:dyDescent="0.35">
      <c r="A565" s="7">
        <v>1564</v>
      </c>
      <c r="B565" s="6" t="s">
        <v>5</v>
      </c>
      <c r="C565" t="s">
        <v>570</v>
      </c>
      <c r="D565" s="7" t="s">
        <v>1142</v>
      </c>
      <c r="E565" s="7" t="s">
        <v>1149</v>
      </c>
      <c r="F565" t="s">
        <v>1714</v>
      </c>
      <c r="G565" s="7" t="s">
        <v>1725</v>
      </c>
      <c r="H565" t="s">
        <v>1740</v>
      </c>
      <c r="I565" t="s">
        <v>1743</v>
      </c>
      <c r="J565" t="s">
        <v>1786</v>
      </c>
      <c r="K565" s="2" t="str">
        <f t="shared" si="17"/>
        <v>1564,'LICENCIATURA','emmanuel.fierrosdavalos','112566','TOMAR DEL SND','FIERROS DAVALOS EMMANUEL','INGENIERIA AEROESPACIAL','1ro','MASCULINO','ACTIVO','',0,0,'','ALUMNO'</v>
      </c>
      <c r="L565" s="10" t="str">
        <f t="shared" si="16"/>
        <v>INSERT INTO participantes (id,nivel,correo,matricula,clave,nombre,carrera,grado,sexo,situacion,evaluados,num_evaluados,total_evaluaciones,ultimo_acceso,nivel_acceso) VALUES (1564,'LICENCIATURA','emmanuel.fierrosdavalos','112566','TOMAR DEL SND','FIERROS DAVALOS EMMANUEL','INGENIERIA AEROESPACIAL','1ro','MASCULINO','ACTIVO','',0,0,'','ALUMNO');</v>
      </c>
    </row>
    <row r="566" spans="1:12" ht="130.5" x14ac:dyDescent="0.35">
      <c r="A566" s="7">
        <v>1565</v>
      </c>
      <c r="B566" s="6" t="s">
        <v>5</v>
      </c>
      <c r="C566" t="s">
        <v>571</v>
      </c>
      <c r="D566" s="7" t="s">
        <v>1143</v>
      </c>
      <c r="E566" s="7" t="s">
        <v>1149</v>
      </c>
      <c r="F566" t="s">
        <v>1715</v>
      </c>
      <c r="G566" s="7" t="s">
        <v>1725</v>
      </c>
      <c r="H566" t="s">
        <v>1740</v>
      </c>
      <c r="I566" t="s">
        <v>1744</v>
      </c>
      <c r="J566" t="s">
        <v>1786</v>
      </c>
      <c r="K566" s="2" t="str">
        <f t="shared" si="17"/>
        <v>1565,'LICENCIATURA','mayaalexandra.marquezdelgadillo','112567','TOMAR DEL SND','MARQUEZ DELGADILLO MAYA ALEXANDRA','INGENIERIA AEROESPACIAL','1ro','FEMENINO','ACTIVO','',0,0,'','ALUMNO'</v>
      </c>
      <c r="L566" s="10" t="str">
        <f t="shared" si="16"/>
        <v>INSERT INTO participantes (id,nivel,correo,matricula,clave,nombre,carrera,grado,sexo,situacion,evaluados,num_evaluados,total_evaluaciones,ultimo_acceso,nivel_acceso) VALUES (1565,'LICENCIATURA','mayaalexandra.marquezdelgadillo','112567','TOMAR DEL SND','MARQUEZ DELGADILLO MAYA ALEXANDRA','INGENIERIA AEROESPACIAL','1ro','FEMENINO','ACTIVO','',0,0,'','ALUMNO');</v>
      </c>
    </row>
    <row r="567" spans="1:12" ht="130.5" x14ac:dyDescent="0.35">
      <c r="A567" s="7">
        <v>1566</v>
      </c>
      <c r="B567" s="6" t="s">
        <v>5</v>
      </c>
      <c r="C567" t="s">
        <v>572</v>
      </c>
      <c r="D567" s="7" t="s">
        <v>1144</v>
      </c>
      <c r="E567" s="7" t="s">
        <v>1149</v>
      </c>
      <c r="F567" t="s">
        <v>1716</v>
      </c>
      <c r="G567" s="7" t="s">
        <v>1731</v>
      </c>
      <c r="H567" t="s">
        <v>1740</v>
      </c>
      <c r="I567" t="s">
        <v>1743</v>
      </c>
      <c r="J567" t="s">
        <v>1786</v>
      </c>
      <c r="K567" s="2" t="str">
        <f t="shared" si="17"/>
        <v>1566,'LICENCIATURA','santiago.hernandezgonzalez','112568','TOMAR DEL SND','HERNANDEZ GONZALEZ SANTIAGO','INGENIERÍA AUTOMOTRIZ','1ro','MASCULINO','ACTIVO','',0,0,'','ALUMNO'</v>
      </c>
      <c r="L567" s="10" t="str">
        <f t="shared" si="16"/>
        <v>INSERT INTO participantes (id,nivel,correo,matricula,clave,nombre,carrera,grado,sexo,situacion,evaluados,num_evaluados,total_evaluaciones,ultimo_acceso,nivel_acceso) VALUES (1566,'LICENCIATURA','santiago.hernandezgonzalez','112568','TOMAR DEL SND','HERNANDEZ GONZALEZ SANTIAGO','INGENIERÍA AUTOMOTRIZ','1ro','MASCULINO','ACTIVO','',0,0,'','ALUMNO');</v>
      </c>
    </row>
    <row r="568" spans="1:12" ht="130.5" x14ac:dyDescent="0.35">
      <c r="A568" s="7">
        <v>1567</v>
      </c>
      <c r="B568" s="6" t="s">
        <v>5</v>
      </c>
      <c r="C568" t="s">
        <v>573</v>
      </c>
      <c r="D568" s="7" t="s">
        <v>1145</v>
      </c>
      <c r="E568" s="7" t="s">
        <v>1149</v>
      </c>
      <c r="F568" t="s">
        <v>1717</v>
      </c>
      <c r="G568" s="7" t="s">
        <v>1725</v>
      </c>
      <c r="H568" t="s">
        <v>1740</v>
      </c>
      <c r="I568" t="s">
        <v>1744</v>
      </c>
      <c r="J568" t="s">
        <v>1786</v>
      </c>
      <c r="K568" s="2" t="str">
        <f t="shared" si="17"/>
        <v>1567,'LICENCIATURA','mariafernanda.lopezfonseca','112569','TOMAR DEL SND','LOPEZ FONSECA MARIA FERNANDA','INGENIERIA AEROESPACIAL','1ro','FEMENINO','ACTIVO','',0,0,'','ALUMNO'</v>
      </c>
      <c r="L568" s="10" t="str">
        <f t="shared" si="16"/>
        <v>INSERT INTO participantes (id,nivel,correo,matricula,clave,nombre,carrera,grado,sexo,situacion,evaluados,num_evaluados,total_evaluaciones,ultimo_acceso,nivel_acceso) VALUES (1567,'LICENCIATURA','mariafernanda.lopezfonseca','112569','TOMAR DEL SND','LOPEZ FONSECA MARIA FERNANDA','INGENIERIA AEROESPACIAL','1ro','FEMENINO','ACTIVO','',0,0,'','ALUMNO');</v>
      </c>
    </row>
    <row r="569" spans="1:12" ht="130.5" x14ac:dyDescent="0.35">
      <c r="A569" s="7">
        <v>1568</v>
      </c>
      <c r="B569" s="6" t="s">
        <v>5</v>
      </c>
      <c r="C569" t="s">
        <v>574</v>
      </c>
      <c r="D569" s="7" t="s">
        <v>1146</v>
      </c>
      <c r="E569" s="7" t="s">
        <v>1149</v>
      </c>
      <c r="F569" t="s">
        <v>1718</v>
      </c>
      <c r="G569" s="7" t="s">
        <v>1729</v>
      </c>
      <c r="H569" t="s">
        <v>1740</v>
      </c>
      <c r="I569" t="s">
        <v>1743</v>
      </c>
      <c r="J569" t="s">
        <v>1786</v>
      </c>
      <c r="K569" s="2" t="str">
        <f t="shared" si="17"/>
        <v>1568,'LICENCIATURA','aldoenrique.gonzalezvaldez','112570','TOMAR DEL SND','GONZALEZ VALDEZ ALDO ENRIQUE','ARQUITECTURA','1ro','MASCULINO','ACTIVO','',0,0,'','ALUMNO'</v>
      </c>
      <c r="L569" s="10" t="str">
        <f t="shared" si="16"/>
        <v>INSERT INTO participantes (id,nivel,correo,matricula,clave,nombre,carrera,grado,sexo,situacion,evaluados,num_evaluados,total_evaluaciones,ultimo_acceso,nivel_acceso) VALUES (1568,'LICENCIATURA','aldoenrique.gonzalezvaldez','112570','TOMAR DEL SND','GONZALEZ VALDEZ ALDO ENRIQUE','ARQUITECTURA','1ro','MASCULINO','ACTIVO','',0,0,'','ALUMNO');</v>
      </c>
    </row>
    <row r="570" spans="1:12" ht="130.5" x14ac:dyDescent="0.35">
      <c r="A570" s="7">
        <v>1569</v>
      </c>
      <c r="B570" s="6" t="s">
        <v>5</v>
      </c>
      <c r="C570" t="s">
        <v>575</v>
      </c>
      <c r="D570" s="7" t="s">
        <v>1147</v>
      </c>
      <c r="E570" s="7" t="s">
        <v>1149</v>
      </c>
      <c r="F570" t="s">
        <v>1719</v>
      </c>
      <c r="G570" s="7" t="s">
        <v>1731</v>
      </c>
      <c r="H570" t="s">
        <v>1740</v>
      </c>
      <c r="I570" t="s">
        <v>1743</v>
      </c>
      <c r="J570" t="s">
        <v>1786</v>
      </c>
      <c r="K570" s="2" t="str">
        <f t="shared" si="17"/>
        <v>1569,'LICENCIATURA','joseangel.solterocruz','112577','TOMAR DEL SND','SOLTERO CRUZ JOSE ANGEL','INGENIERÍA AUTOMOTRIZ','1ro','MASCULINO','ACTIVO','',0,0,'','ALUMNO'</v>
      </c>
      <c r="L570" s="10" t="str">
        <f t="shared" si="16"/>
        <v>INSERT INTO participantes (id,nivel,correo,matricula,clave,nombre,carrera,grado,sexo,situacion,evaluados,num_evaluados,total_evaluaciones,ultimo_acceso,nivel_acceso) VALUES (1569,'LICENCIATURA','joseangel.solterocruz','112577','TOMAR DEL SND','SOLTERO CRUZ JOSE ANGEL','INGENIERÍA AUTOMOTRIZ','1ro','MASCULINO','ACTIVO','',0,0,'','ALUMNO');</v>
      </c>
    </row>
    <row r="571" spans="1:12" ht="130.5" x14ac:dyDescent="0.35">
      <c r="A571" s="7">
        <v>1570</v>
      </c>
      <c r="B571" s="6" t="s">
        <v>5</v>
      </c>
      <c r="C571" t="s">
        <v>576</v>
      </c>
      <c r="D571" s="7" t="s">
        <v>1148</v>
      </c>
      <c r="E571" s="7" t="s">
        <v>1149</v>
      </c>
      <c r="F571" t="s">
        <v>1720</v>
      </c>
      <c r="G571" s="7" t="s">
        <v>1726</v>
      </c>
      <c r="H571" t="s">
        <v>1740</v>
      </c>
      <c r="I571" t="s">
        <v>1743</v>
      </c>
      <c r="J571" t="s">
        <v>1786</v>
      </c>
      <c r="K571" s="2" t="str">
        <f t="shared" si="17"/>
        <v>1570,'LICENCIATURA','paul.louisoscar','112579','TOMAR DEL SND','PAUL LOUIS OSCAR','PSICOLOGIA','1ro','MASCULINO','ACTIVO','',0,0,'','ALUMNO'</v>
      </c>
      <c r="L571" s="10" t="str">
        <f t="shared" si="16"/>
        <v>INSERT INTO participantes (id,nivel,correo,matricula,clave,nombre,carrera,grado,sexo,situacion,evaluados,num_evaluados,total_evaluaciones,ultimo_acceso,nivel_acceso) VALUES (1570,'LICENCIATURA','paul.louisoscar','112579','TOMAR DEL SND','PAUL LOUIS OSCAR','PSICOLOGIA','1ro','MASCULINO','ACTIVO','',0,0,'','ALUMNO');</v>
      </c>
    </row>
    <row r="572" spans="1:12" ht="130.5" x14ac:dyDescent="0.35">
      <c r="A572" s="7">
        <v>1571</v>
      </c>
      <c r="B572" s="6" t="s">
        <v>5</v>
      </c>
      <c r="C572" t="s">
        <v>577</v>
      </c>
      <c r="D572" s="7">
        <v>112016</v>
      </c>
      <c r="E572" s="7" t="s">
        <v>1149</v>
      </c>
      <c r="F572" t="s">
        <v>1721</v>
      </c>
      <c r="G572" s="7" t="s">
        <v>1726</v>
      </c>
      <c r="H572" t="s">
        <v>1737</v>
      </c>
      <c r="I572" t="s">
        <v>1744</v>
      </c>
      <c r="J572" t="s">
        <v>1786</v>
      </c>
      <c r="K572" s="2" t="str">
        <f t="shared" si="17"/>
        <v>1571,'LICENCIATURA','bernarda.bautistamariano','112016','TOMAR DEL SND','BAUTISTA MARIANO BERNARDA','PSICOLOGIA','5to','FEMENINO','ACTIVO','',0,0,'','ALUMNO'</v>
      </c>
      <c r="L572" s="10" t="str">
        <f t="shared" si="16"/>
        <v>INSERT INTO participantes (id,nivel,correo,matricula,clave,nombre,carrera,grado,sexo,situacion,evaluados,num_evaluados,total_evaluaciones,ultimo_acceso,nivel_acceso) VALUES (1571,'LICENCIATURA','bernarda.bautistamariano','112016','TOMAR DEL SND','BAUTISTA MARIANO BERNARDA','PSICOLOGIA','5to','FEMENINO','ACTIVO','',0,0,'','ALUMNO');</v>
      </c>
    </row>
  </sheetData>
  <conditionalFormatting sqref="C1:C1048576">
    <cfRule type="duplicateValues" dxfId="4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92BF-D5FF-4295-BA60-8484DCD42E92}">
  <dimension ref="A1:L161"/>
  <sheetViews>
    <sheetView topLeftCell="G1" workbookViewId="0">
      <selection activeCell="L2" sqref="K2:L2"/>
    </sheetView>
  </sheetViews>
  <sheetFormatPr baseColWidth="10" defaultRowHeight="14.5" x14ac:dyDescent="0.35"/>
  <cols>
    <col min="1" max="2" width="10.90625" style="15"/>
    <col min="3" max="3" width="39" style="15" customWidth="1"/>
    <col min="4" max="4" width="11.453125"/>
    <col min="5" max="5" width="10.90625" style="15"/>
    <col min="6" max="6" width="44.54296875" customWidth="1"/>
    <col min="7" max="8" width="10.90625" style="15"/>
    <col min="9" max="9" width="11.453125"/>
    <col min="10" max="10" width="10.90625" style="15"/>
    <col min="11" max="11" width="32.7265625" style="15" customWidth="1"/>
    <col min="12" max="12" width="32.6328125" style="15" customWidth="1"/>
    <col min="13" max="16384" width="10.90625" style="15"/>
  </cols>
  <sheetData>
    <row r="1" spans="1:12" x14ac:dyDescent="0.35">
      <c r="A1" s="17" t="s">
        <v>4</v>
      </c>
      <c r="B1" s="5" t="s">
        <v>0</v>
      </c>
      <c r="C1" s="18" t="s">
        <v>2790</v>
      </c>
      <c r="D1" s="4" t="s">
        <v>2951</v>
      </c>
      <c r="E1" s="9" t="s">
        <v>2</v>
      </c>
      <c r="F1" s="4" t="s">
        <v>1150</v>
      </c>
      <c r="G1" s="5" t="s">
        <v>1722</v>
      </c>
      <c r="H1" s="18" t="s">
        <v>1735</v>
      </c>
      <c r="I1" s="4" t="s">
        <v>1742</v>
      </c>
      <c r="J1" s="18" t="s">
        <v>1785</v>
      </c>
      <c r="K1" s="2" t="str">
        <f>CONCATENATE("INSERT INTO participantes (",L1,") VALUES (")</f>
        <v>INSERT INTO participantes (id,nivel,correo,matricula,clave,nombre,carrera,grado,sexo,situacion,evaluados,num_evaluados,total_evaluaciones,ultimo_acceso,nivel_acceso) VALUES (</v>
      </c>
      <c r="L1" s="3" t="s">
        <v>3</v>
      </c>
    </row>
    <row r="2" spans="1:12" x14ac:dyDescent="0.35">
      <c r="A2" s="21">
        <v>2001</v>
      </c>
      <c r="B2" s="20" t="s">
        <v>5</v>
      </c>
      <c r="C2" s="15" t="s">
        <v>2793</v>
      </c>
      <c r="D2" t="s">
        <v>2962</v>
      </c>
      <c r="E2" s="19" t="s">
        <v>1149</v>
      </c>
      <c r="F2" t="s">
        <v>1852</v>
      </c>
      <c r="G2" s="19" t="s">
        <v>2789</v>
      </c>
      <c r="I2" t="s">
        <v>2243</v>
      </c>
      <c r="J2" s="15" t="s">
        <v>1786</v>
      </c>
      <c r="K2" s="2" t="str">
        <f>CONCATENATE(A2,",'",B2,"','",C2,"','",D2,"','",E2,"','",F2,"','",G2,"','",H2,"','",UPPER(I2),"','",UPPER(J2),"','',0,0,'','PROFESOR'")</f>
        <v>2001,'LICENCIATURA','amanda.renteria','RJA1850','TOMAR DEL SND','RENTERIA JIMENEZ AMANDA JANETTE','PROFESORES','','FEMENINO','ACTIVO','',0,0,'','PROFESOR'</v>
      </c>
      <c r="L2" s="2" t="str">
        <f>CONCATENATE($K$1,K2,");")</f>
        <v>INSERT INTO participantes (id,nivel,correo,matricula,clave,nombre,carrera,grado,sexo,situacion,evaluados,num_evaluados,total_evaluaciones,ultimo_acceso,nivel_acceso) VALUES (2001,'LICENCIATURA','amanda.renteria','RJA1850','TOMAR DEL SND','RENTERIA JIMENEZ AMANDA JANETTE','PROFESORES','','FEMENINO','ACTIVO','',0,0,'','PROFESOR');</v>
      </c>
    </row>
    <row r="3" spans="1:12" x14ac:dyDescent="0.35">
      <c r="A3" s="21">
        <v>2002</v>
      </c>
      <c r="B3" s="20" t="s">
        <v>5</v>
      </c>
      <c r="C3" s="15" t="s">
        <v>2795</v>
      </c>
      <c r="D3" t="s">
        <v>2964</v>
      </c>
      <c r="E3" s="19" t="s">
        <v>1149</v>
      </c>
      <c r="F3" t="s">
        <v>1854</v>
      </c>
      <c r="G3" s="19" t="s">
        <v>2789</v>
      </c>
      <c r="I3" t="s">
        <v>2243</v>
      </c>
      <c r="J3" s="15" t="s">
        <v>1786</v>
      </c>
      <c r="K3" s="2" t="str">
        <f t="shared" ref="K3:K66" si="0">CONCATENATE(A3,",'",B3,"','",C3,"','",D3,"','",E3,"','",F3,"','",G3,"','",H3,"','",UPPER(I3),"','",UPPER(J3),"','',0,0,'','PROFESOR'")</f>
        <v>2002,'LICENCIATURA','claudia.torres','TFC1678','TOMAR DEL SND','TORRES FERNANDEZ CLAUDIA CECILIA','PROFESORES','','FEMENINO','ACTIVO','',0,0,'','PROFESOR'</v>
      </c>
      <c r="L3" s="2" t="str">
        <f>CONCATENATE($K$1,K3,");")</f>
        <v>INSERT INTO participantes (id,nivel,correo,matricula,clave,nombre,carrera,grado,sexo,situacion,evaluados,num_evaluados,total_evaluaciones,ultimo_acceso,nivel_acceso) VALUES (2002,'LICENCIATURA','claudia.torres','TFC1678','TOMAR DEL SND','TORRES FERNANDEZ CLAUDIA CECILIA','PROFESORES','','FEMENINO','ACTIVO','',0,0,'','PROFESOR');</v>
      </c>
    </row>
    <row r="4" spans="1:12" x14ac:dyDescent="0.35">
      <c r="A4" s="21">
        <v>2003</v>
      </c>
      <c r="B4" s="20" t="s">
        <v>5</v>
      </c>
      <c r="C4" s="15" t="s">
        <v>2796</v>
      </c>
      <c r="D4" t="s">
        <v>2965</v>
      </c>
      <c r="E4" s="19" t="s">
        <v>1149</v>
      </c>
      <c r="F4" t="s">
        <v>1855</v>
      </c>
      <c r="G4" s="19" t="s">
        <v>2789</v>
      </c>
      <c r="I4" t="s">
        <v>2243</v>
      </c>
      <c r="J4" s="15" t="s">
        <v>1786</v>
      </c>
      <c r="K4" s="2" t="str">
        <f t="shared" si="0"/>
        <v>2003,'LICENCIATURA','cristina.casillas','CCC1964','TOMAR DEL SND','CASILLAS CASTILLO CRISTINA DEL SOCORRO','PROFESORES','','FEMENINO','ACTIVO','',0,0,'','PROFESOR'</v>
      </c>
      <c r="L4" s="2" t="str">
        <f>CONCATENATE($K$1,K4,");")</f>
        <v>INSERT INTO participantes (id,nivel,correo,matricula,clave,nombre,carrera,grado,sexo,situacion,evaluados,num_evaluados,total_evaluaciones,ultimo_acceso,nivel_acceso) VALUES (2003,'LICENCIATURA','cristina.casillas','CCC1964','TOMAR DEL SND','CASILLAS CASTILLO CRISTINA DEL SOCORRO','PROFESORES','','FEMENINO','ACTIVO','',0,0,'','PROFESOR');</v>
      </c>
    </row>
    <row r="5" spans="1:12" x14ac:dyDescent="0.35">
      <c r="A5" s="21">
        <v>2004</v>
      </c>
      <c r="B5" s="20" t="s">
        <v>5</v>
      </c>
      <c r="C5" s="15" t="s">
        <v>2797</v>
      </c>
      <c r="D5" t="s">
        <v>2966</v>
      </c>
      <c r="E5" s="19" t="s">
        <v>1149</v>
      </c>
      <c r="F5" t="s">
        <v>1856</v>
      </c>
      <c r="G5" s="19" t="s">
        <v>2789</v>
      </c>
      <c r="I5" t="s">
        <v>2242</v>
      </c>
      <c r="J5" s="15" t="s">
        <v>1786</v>
      </c>
      <c r="K5" s="2" t="str">
        <f t="shared" si="0"/>
        <v>2004,'LICENCIATURA','adrian.rojas','RMA2027','TOMAR DEL SND','ROJAS MALDONADO ADRIAN','PROFESORES','','MASCULINO','ACTIVO','',0,0,'','PROFESOR'</v>
      </c>
      <c r="L5" s="2" t="str">
        <f>CONCATENATE($K$1,K5,");")</f>
        <v>INSERT INTO participantes (id,nivel,correo,matricula,clave,nombre,carrera,grado,sexo,situacion,evaluados,num_evaluados,total_evaluaciones,ultimo_acceso,nivel_acceso) VALUES (2004,'LICENCIATURA','adrian.rojas','RMA2027','TOMAR DEL SND','ROJAS MALDONADO ADRIAN','PROFESORES','','MASCULINO','ACTIVO','',0,0,'','PROFESOR');</v>
      </c>
    </row>
    <row r="6" spans="1:12" x14ac:dyDescent="0.35">
      <c r="A6" s="21">
        <v>2005</v>
      </c>
      <c r="B6" s="20" t="s">
        <v>5</v>
      </c>
      <c r="C6" s="15" t="s">
        <v>2798</v>
      </c>
      <c r="D6" t="s">
        <v>2967</v>
      </c>
      <c r="E6" s="19" t="s">
        <v>1149</v>
      </c>
      <c r="F6" t="s">
        <v>1857</v>
      </c>
      <c r="G6" s="19" t="s">
        <v>2789</v>
      </c>
      <c r="I6" t="s">
        <v>2242</v>
      </c>
      <c r="J6" s="15" t="s">
        <v>1786</v>
      </c>
      <c r="K6" s="2" t="str">
        <f t="shared" si="0"/>
        <v>2005,'LICENCIATURA','david.aceves','ARD1864','TOMAR DEL SND','ACEVES REYNAGA DAVID EDUARDO','PROFESORES','','MASCULINO','ACTIVO','',0,0,'','PROFESOR'</v>
      </c>
      <c r="L6" s="2" t="str">
        <f>CONCATENATE($K$1,K6,");")</f>
        <v>INSERT INTO participantes (id,nivel,correo,matricula,clave,nombre,carrera,grado,sexo,situacion,evaluados,num_evaluados,total_evaluaciones,ultimo_acceso,nivel_acceso) VALUES (2005,'LICENCIATURA','david.aceves','ARD1864','TOMAR DEL SND','ACEVES REYNAGA DAVID EDUARDO','PROFESORES','','MASCULINO','ACTIVO','',0,0,'','PROFESOR');</v>
      </c>
    </row>
    <row r="7" spans="1:12" x14ac:dyDescent="0.35">
      <c r="A7" s="21">
        <v>2006</v>
      </c>
      <c r="B7" s="20" t="s">
        <v>5</v>
      </c>
      <c r="C7" s="15" t="s">
        <v>2800</v>
      </c>
      <c r="D7" t="s">
        <v>2969</v>
      </c>
      <c r="E7" s="19" t="s">
        <v>1149</v>
      </c>
      <c r="F7" t="s">
        <v>1859</v>
      </c>
      <c r="G7" s="19" t="s">
        <v>2789</v>
      </c>
      <c r="I7" t="s">
        <v>2242</v>
      </c>
      <c r="J7" s="15" t="s">
        <v>1786</v>
      </c>
      <c r="K7" s="2" t="str">
        <f t="shared" si="0"/>
        <v>2006,'LICENCIATURA','martin.ramirez','RGM2024','TOMAR DEL SND','RAMIREZ GUZMAN MARTIN','PROFESORES','','MASCULINO','ACTIVO','',0,0,'','PROFESOR'</v>
      </c>
      <c r="L7" s="2" t="str">
        <f>CONCATENATE($K$1,K7,");")</f>
        <v>INSERT INTO participantes (id,nivel,correo,matricula,clave,nombre,carrera,grado,sexo,situacion,evaluados,num_evaluados,total_evaluaciones,ultimo_acceso,nivel_acceso) VALUES (2006,'LICENCIATURA','martin.ramirez','RGM2024','TOMAR DEL SND','RAMIREZ GUZMAN MARTIN','PROFESORES','','MASCULINO','ACTIVO','',0,0,'','PROFESOR');</v>
      </c>
    </row>
    <row r="8" spans="1:12" x14ac:dyDescent="0.35">
      <c r="A8" s="21">
        <v>2007</v>
      </c>
      <c r="B8" s="20" t="s">
        <v>5</v>
      </c>
      <c r="C8" s="15" t="s">
        <v>2802</v>
      </c>
      <c r="D8" t="s">
        <v>2971</v>
      </c>
      <c r="E8" s="19" t="s">
        <v>1149</v>
      </c>
      <c r="F8" t="s">
        <v>1861</v>
      </c>
      <c r="G8" s="19" t="s">
        <v>2789</v>
      </c>
      <c r="I8" t="s">
        <v>2243</v>
      </c>
      <c r="J8" s="15" t="s">
        <v>1786</v>
      </c>
      <c r="K8" s="2" t="str">
        <f t="shared" si="0"/>
        <v>2007,'LICENCIATURA','elsa.padilla','PME1742','TOMAR DEL SND','PADILLA MARTINEZ ELSA GEORGINA','PROFESORES','','FEMENINO','ACTIVO','',0,0,'','PROFESOR'</v>
      </c>
      <c r="L8" s="2" t="str">
        <f>CONCATENATE($K$1,K8,");")</f>
        <v>INSERT INTO participantes (id,nivel,correo,matricula,clave,nombre,carrera,grado,sexo,situacion,evaluados,num_evaluados,total_evaluaciones,ultimo_acceso,nivel_acceso) VALUES (2007,'LICENCIATURA','elsa.padilla','PME1742','TOMAR DEL SND','PADILLA MARTINEZ ELSA GEORGINA','PROFESORES','','FEMENINO','ACTIVO','',0,0,'','PROFESOR');</v>
      </c>
    </row>
    <row r="9" spans="1:12" x14ac:dyDescent="0.35">
      <c r="A9" s="21">
        <v>2008</v>
      </c>
      <c r="B9" s="20" t="s">
        <v>5</v>
      </c>
      <c r="C9" s="15" t="s">
        <v>2803</v>
      </c>
      <c r="D9" t="s">
        <v>2972</v>
      </c>
      <c r="E9" s="19" t="s">
        <v>1149</v>
      </c>
      <c r="F9" t="s">
        <v>1862</v>
      </c>
      <c r="G9" s="19" t="s">
        <v>2789</v>
      </c>
      <c r="I9" t="s">
        <v>2242</v>
      </c>
      <c r="J9" s="15" t="s">
        <v>1786</v>
      </c>
      <c r="K9" s="2" t="str">
        <f t="shared" si="0"/>
        <v>2008,'LICENCIATURA','jesus.zepeda','ZRJ2030','TOMAR DEL SND','ZEPEDA REYNOSO JESUS EMMANUEL','PROFESORES','','MASCULINO','ACTIVO','',0,0,'','PROFESOR'</v>
      </c>
      <c r="L9" s="2" t="str">
        <f>CONCATENATE($K$1,K9,");")</f>
        <v>INSERT INTO participantes (id,nivel,correo,matricula,clave,nombre,carrera,grado,sexo,situacion,evaluados,num_evaluados,total_evaluaciones,ultimo_acceso,nivel_acceso) VALUES (2008,'LICENCIATURA','jesus.zepeda','ZRJ2030','TOMAR DEL SND','ZEPEDA REYNOSO JESUS EMMANUEL','PROFESORES','','MASCULINO','ACTIVO','',0,0,'','PROFESOR');</v>
      </c>
    </row>
    <row r="10" spans="1:12" x14ac:dyDescent="0.35">
      <c r="A10" s="21">
        <v>2009</v>
      </c>
      <c r="B10" s="20" t="s">
        <v>5</v>
      </c>
      <c r="C10" s="15" t="s">
        <v>2804</v>
      </c>
      <c r="D10" t="s">
        <v>2973</v>
      </c>
      <c r="E10" s="19" t="s">
        <v>1149</v>
      </c>
      <c r="F10" t="s">
        <v>1863</v>
      </c>
      <c r="G10" s="19" t="s">
        <v>2789</v>
      </c>
      <c r="I10" t="s">
        <v>2242</v>
      </c>
      <c r="J10" s="15" t="s">
        <v>1786</v>
      </c>
      <c r="K10" s="2" t="str">
        <f t="shared" si="0"/>
        <v>2009,'LICENCIATURA','rafael.rios','RNR1966','TOMAR DEL SND','RIOS NUÑO RAFAEL','PROFESORES','','MASCULINO','ACTIVO','',0,0,'','PROFESOR'</v>
      </c>
      <c r="L10" s="2" t="str">
        <f>CONCATENATE($K$1,K10,");")</f>
        <v>INSERT INTO participantes (id,nivel,correo,matricula,clave,nombre,carrera,grado,sexo,situacion,evaluados,num_evaluados,total_evaluaciones,ultimo_acceso,nivel_acceso) VALUES (2009,'LICENCIATURA','rafael.rios','RNR1966','TOMAR DEL SND','RIOS NUÑO RAFAEL','PROFESORES','','MASCULINO','ACTIVO','',0,0,'','PROFESOR');</v>
      </c>
    </row>
    <row r="11" spans="1:12" x14ac:dyDescent="0.35">
      <c r="A11" s="21">
        <v>2010</v>
      </c>
      <c r="B11" s="20" t="s">
        <v>5</v>
      </c>
      <c r="C11" s="15" t="s">
        <v>2805</v>
      </c>
      <c r="D11" t="s">
        <v>2974</v>
      </c>
      <c r="E11" s="19" t="s">
        <v>1149</v>
      </c>
      <c r="F11" t="s">
        <v>1864</v>
      </c>
      <c r="G11" s="19" t="s">
        <v>2789</v>
      </c>
      <c r="I11" t="s">
        <v>2243</v>
      </c>
      <c r="J11" s="15" t="s">
        <v>1786</v>
      </c>
      <c r="K11" s="2" t="str">
        <f t="shared" si="0"/>
        <v>2010,'LICENCIATURA','elisa.hobart','HGE1078','TOMAR DEL SND','HOBART GARCIA ELISA','PROFESORES','','FEMENINO','ACTIVO','',0,0,'','PROFESOR'</v>
      </c>
      <c r="L11" s="2" t="str">
        <f>CONCATENATE($K$1,K11,");")</f>
        <v>INSERT INTO participantes (id,nivel,correo,matricula,clave,nombre,carrera,grado,sexo,situacion,evaluados,num_evaluados,total_evaluaciones,ultimo_acceso,nivel_acceso) VALUES (2010,'LICENCIATURA','elisa.hobart','HGE1078','TOMAR DEL SND','HOBART GARCIA ELISA','PROFESORES','','FEMENINO','ACTIVO','',0,0,'','PROFESOR');</v>
      </c>
    </row>
    <row r="12" spans="1:12" x14ac:dyDescent="0.35">
      <c r="A12" s="21">
        <v>2011</v>
      </c>
      <c r="B12" s="20" t="s">
        <v>5</v>
      </c>
      <c r="C12" s="15" t="s">
        <v>2806</v>
      </c>
      <c r="D12" t="s">
        <v>2975</v>
      </c>
      <c r="E12" s="19" t="s">
        <v>1149</v>
      </c>
      <c r="F12" t="s">
        <v>1865</v>
      </c>
      <c r="G12" s="19" t="s">
        <v>2789</v>
      </c>
      <c r="I12" t="s">
        <v>2243</v>
      </c>
      <c r="J12" s="15" t="s">
        <v>1786</v>
      </c>
      <c r="K12" s="2" t="str">
        <f t="shared" si="0"/>
        <v>2011,'LICENCIATURA','carla.morelos','MVC1563','TOMAR DEL SND','MORELOS VELAZQUEZ CARLA DANIELA','PROFESORES','','FEMENINO','ACTIVO','',0,0,'','PROFESOR'</v>
      </c>
      <c r="L12" s="2" t="str">
        <f>CONCATENATE($K$1,K12,");")</f>
        <v>INSERT INTO participantes (id,nivel,correo,matricula,clave,nombre,carrera,grado,sexo,situacion,evaluados,num_evaluados,total_evaluaciones,ultimo_acceso,nivel_acceso) VALUES (2011,'LICENCIATURA','carla.morelos','MVC1563','TOMAR DEL SND','MORELOS VELAZQUEZ CARLA DANIELA','PROFESORES','','FEMENINO','ACTIVO','',0,0,'','PROFESOR');</v>
      </c>
    </row>
    <row r="13" spans="1:12" x14ac:dyDescent="0.35">
      <c r="A13" s="21">
        <v>2012</v>
      </c>
      <c r="B13" s="20" t="s">
        <v>5</v>
      </c>
      <c r="C13" s="15" t="s">
        <v>2807</v>
      </c>
      <c r="D13" t="s">
        <v>2976</v>
      </c>
      <c r="E13" s="19" t="s">
        <v>1149</v>
      </c>
      <c r="F13" t="s">
        <v>1866</v>
      </c>
      <c r="G13" s="19" t="s">
        <v>2789</v>
      </c>
      <c r="I13" t="s">
        <v>2242</v>
      </c>
      <c r="J13" s="15" t="s">
        <v>1786</v>
      </c>
      <c r="K13" s="2" t="str">
        <f t="shared" si="0"/>
        <v>2012,'LICENCIATURA','jorge.acosta','AMJ1423','TOMAR DEL SND','ACOSTA NUÑEZ JORGE','PROFESORES','','MASCULINO','ACTIVO','',0,0,'','PROFESOR'</v>
      </c>
      <c r="L13" s="2" t="str">
        <f>CONCATENATE($K$1,K13,");")</f>
        <v>INSERT INTO participantes (id,nivel,correo,matricula,clave,nombre,carrera,grado,sexo,situacion,evaluados,num_evaluados,total_evaluaciones,ultimo_acceso,nivel_acceso) VALUES (2012,'LICENCIATURA','jorge.acosta','AMJ1423','TOMAR DEL SND','ACOSTA NUÑEZ JORGE','PROFESORES','','MASCULINO','ACTIVO','',0,0,'','PROFESOR');</v>
      </c>
    </row>
    <row r="14" spans="1:12" x14ac:dyDescent="0.35">
      <c r="A14" s="21">
        <v>2013</v>
      </c>
      <c r="B14" s="20" t="s">
        <v>5</v>
      </c>
      <c r="C14" s="15" t="s">
        <v>2808</v>
      </c>
      <c r="D14" t="s">
        <v>2977</v>
      </c>
      <c r="E14" s="19" t="s">
        <v>1149</v>
      </c>
      <c r="F14" t="s">
        <v>1867</v>
      </c>
      <c r="G14" s="19" t="s">
        <v>2789</v>
      </c>
      <c r="I14" t="s">
        <v>2243</v>
      </c>
      <c r="J14" s="15" t="s">
        <v>1786</v>
      </c>
      <c r="K14" s="2" t="str">
        <f t="shared" si="0"/>
        <v>2013,'LICENCIATURA','nicole.hernandezgonzalez','HBN1668','TOMAR DEL SND','HERNANDEZ GONZALEZ BARCENA NICOLE','PROFESORES','','FEMENINO','ACTIVO','',0,0,'','PROFESOR'</v>
      </c>
      <c r="L14" s="2" t="str">
        <f>CONCATENATE($K$1,K14,");")</f>
        <v>INSERT INTO participantes (id,nivel,correo,matricula,clave,nombre,carrera,grado,sexo,situacion,evaluados,num_evaluados,total_evaluaciones,ultimo_acceso,nivel_acceso) VALUES (2013,'LICENCIATURA','nicole.hernandezgonzalez','HBN1668','TOMAR DEL SND','HERNANDEZ GONZALEZ BARCENA NICOLE','PROFESORES','','FEMENINO','ACTIVO','',0,0,'','PROFESOR');</v>
      </c>
    </row>
    <row r="15" spans="1:12" x14ac:dyDescent="0.35">
      <c r="A15" s="21">
        <v>2014</v>
      </c>
      <c r="B15" s="20" t="s">
        <v>5</v>
      </c>
      <c r="C15" s="15" t="s">
        <v>2809</v>
      </c>
      <c r="D15" t="s">
        <v>2978</v>
      </c>
      <c r="E15" s="19" t="s">
        <v>1149</v>
      </c>
      <c r="F15" t="s">
        <v>1868</v>
      </c>
      <c r="G15" s="19" t="s">
        <v>2789</v>
      </c>
      <c r="I15" t="s">
        <v>2242</v>
      </c>
      <c r="J15" s="15" t="s">
        <v>1786</v>
      </c>
      <c r="K15" s="2" t="str">
        <f t="shared" si="0"/>
        <v>2014,'LICENCIATURA','samuel.gomez','GOS1311','TOMAR DEL SND','GOMEZ OROZCO SAMUEL','PROFESORES','','MASCULINO','ACTIVO','',0,0,'','PROFESOR'</v>
      </c>
      <c r="L15" s="2" t="str">
        <f>CONCATENATE($K$1,K15,");")</f>
        <v>INSERT INTO participantes (id,nivel,correo,matricula,clave,nombre,carrera,grado,sexo,situacion,evaluados,num_evaluados,total_evaluaciones,ultimo_acceso,nivel_acceso) VALUES (2014,'LICENCIATURA','samuel.gomez','GOS1311','TOMAR DEL SND','GOMEZ OROZCO SAMUEL','PROFESORES','','MASCULINO','ACTIVO','',0,0,'','PROFESOR');</v>
      </c>
    </row>
    <row r="16" spans="1:12" x14ac:dyDescent="0.35">
      <c r="A16" s="21">
        <v>2015</v>
      </c>
      <c r="B16" s="20" t="s">
        <v>5</v>
      </c>
      <c r="C16" s="15" t="s">
        <v>2810</v>
      </c>
      <c r="D16" t="s">
        <v>2979</v>
      </c>
      <c r="E16" s="19" t="s">
        <v>1149</v>
      </c>
      <c r="F16" t="s">
        <v>1869</v>
      </c>
      <c r="G16" s="19" t="s">
        <v>2789</v>
      </c>
      <c r="I16" t="s">
        <v>2242</v>
      </c>
      <c r="J16" s="15" t="s">
        <v>1786</v>
      </c>
      <c r="K16" s="2" t="str">
        <f t="shared" si="0"/>
        <v>2015,'LICENCIATURA','javier.salcedo','SRJ1260','TOMAR DEL SND','SALCEDO RONDON JAVIER EDUARDO','PROFESORES','','MASCULINO','ACTIVO','',0,0,'','PROFESOR'</v>
      </c>
      <c r="L16" s="2" t="str">
        <f>CONCATENATE($K$1,K16,");")</f>
        <v>INSERT INTO participantes (id,nivel,correo,matricula,clave,nombre,carrera,grado,sexo,situacion,evaluados,num_evaluados,total_evaluaciones,ultimo_acceso,nivel_acceso) VALUES (2015,'LICENCIATURA','javier.salcedo','SRJ1260','TOMAR DEL SND','SALCEDO RONDON JAVIER EDUARDO','PROFESORES','','MASCULINO','ACTIVO','',0,0,'','PROFESOR');</v>
      </c>
    </row>
    <row r="17" spans="1:12" x14ac:dyDescent="0.35">
      <c r="A17" s="21">
        <v>2016</v>
      </c>
      <c r="B17" s="20" t="s">
        <v>5</v>
      </c>
      <c r="C17" s="15" t="s">
        <v>2811</v>
      </c>
      <c r="D17" t="s">
        <v>2980</v>
      </c>
      <c r="E17" s="19" t="s">
        <v>1149</v>
      </c>
      <c r="F17" t="s">
        <v>1870</v>
      </c>
      <c r="G17" s="19" t="s">
        <v>2789</v>
      </c>
      <c r="I17" t="s">
        <v>2242</v>
      </c>
      <c r="J17" s="15" t="s">
        <v>1786</v>
      </c>
      <c r="K17" s="2" t="str">
        <f t="shared" si="0"/>
        <v>2016,'LICENCIATURA','saul.flores','FMS1800','TOMAR DEL SND','FLORES MONTAÑO SAUL EMMANUEL','PROFESORES','','MASCULINO','ACTIVO','',0,0,'','PROFESOR'</v>
      </c>
      <c r="L17" s="2" t="str">
        <f>CONCATENATE($K$1,K17,");")</f>
        <v>INSERT INTO participantes (id,nivel,correo,matricula,clave,nombre,carrera,grado,sexo,situacion,evaluados,num_evaluados,total_evaluaciones,ultimo_acceso,nivel_acceso) VALUES (2016,'LICENCIATURA','saul.flores','FMS1800','TOMAR DEL SND','FLORES MONTAÑO SAUL EMMANUEL','PROFESORES','','MASCULINO','ACTIVO','',0,0,'','PROFESOR');</v>
      </c>
    </row>
    <row r="18" spans="1:12" x14ac:dyDescent="0.35">
      <c r="A18" s="21">
        <v>2017</v>
      </c>
      <c r="B18" s="20" t="s">
        <v>5</v>
      </c>
      <c r="C18" s="15" t="s">
        <v>2813</v>
      </c>
      <c r="D18" t="s">
        <v>2982</v>
      </c>
      <c r="E18" s="19" t="s">
        <v>1149</v>
      </c>
      <c r="F18" t="s">
        <v>1872</v>
      </c>
      <c r="G18" s="19" t="s">
        <v>2789</v>
      </c>
      <c r="I18" t="s">
        <v>2242</v>
      </c>
      <c r="J18" s="15" t="s">
        <v>1786</v>
      </c>
      <c r="K18" s="2" t="str">
        <f t="shared" si="0"/>
        <v>2017,'LICENCIATURA','francisco.ramirez','ROF1352','TOMAR DEL SND','RAMIREZ ORNELAS FRANCISCO JAVIER','PROFESORES','','MASCULINO','ACTIVO','',0,0,'','PROFESOR'</v>
      </c>
      <c r="L18" s="2" t="str">
        <f>CONCATENATE($K$1,K18,");")</f>
        <v>INSERT INTO participantes (id,nivel,correo,matricula,clave,nombre,carrera,grado,sexo,situacion,evaluados,num_evaluados,total_evaluaciones,ultimo_acceso,nivel_acceso) VALUES (2017,'LICENCIATURA','francisco.ramirez','ROF1352','TOMAR DEL SND','RAMIREZ ORNELAS FRANCISCO JAVIER','PROFESORES','','MASCULINO','ACTIVO','',0,0,'','PROFESOR');</v>
      </c>
    </row>
    <row r="19" spans="1:12" x14ac:dyDescent="0.35">
      <c r="A19" s="21">
        <v>2018</v>
      </c>
      <c r="B19" s="20" t="s">
        <v>5</v>
      </c>
      <c r="C19" s="15" t="s">
        <v>2814</v>
      </c>
      <c r="D19" t="s">
        <v>2983</v>
      </c>
      <c r="E19" s="19" t="s">
        <v>1149</v>
      </c>
      <c r="F19" t="s">
        <v>1873</v>
      </c>
      <c r="G19" s="19" t="s">
        <v>2789</v>
      </c>
      <c r="I19" t="s">
        <v>2243</v>
      </c>
      <c r="J19" s="15" t="s">
        <v>1786</v>
      </c>
      <c r="K19" s="2" t="str">
        <f t="shared" si="0"/>
        <v>2018,'LICENCIATURA','zaira.zambrano','ZLZ1862','TOMAR DEL SND','ZAMBRANO LOPEZ ZAIRA MARLENE','PROFESORES','','FEMENINO','ACTIVO','',0,0,'','PROFESOR'</v>
      </c>
      <c r="L19" s="2" t="str">
        <f>CONCATENATE($K$1,K19,");")</f>
        <v>INSERT INTO participantes (id,nivel,correo,matricula,clave,nombre,carrera,grado,sexo,situacion,evaluados,num_evaluados,total_evaluaciones,ultimo_acceso,nivel_acceso) VALUES (2018,'LICENCIATURA','zaira.zambrano','ZLZ1862','TOMAR DEL SND','ZAMBRANO LOPEZ ZAIRA MARLENE','PROFESORES','','FEMENINO','ACTIVO','',0,0,'','PROFESOR');</v>
      </c>
    </row>
    <row r="20" spans="1:12" x14ac:dyDescent="0.35">
      <c r="A20" s="21">
        <v>2019</v>
      </c>
      <c r="B20" s="20" t="s">
        <v>5</v>
      </c>
      <c r="C20" s="15" t="s">
        <v>2815</v>
      </c>
      <c r="D20" t="s">
        <v>2984</v>
      </c>
      <c r="E20" s="19" t="s">
        <v>1149</v>
      </c>
      <c r="F20" t="s">
        <v>1874</v>
      </c>
      <c r="G20" s="19" t="s">
        <v>2789</v>
      </c>
      <c r="I20" t="s">
        <v>2242</v>
      </c>
      <c r="J20" s="15" t="s">
        <v>1786</v>
      </c>
      <c r="K20" s="2" t="str">
        <f t="shared" si="0"/>
        <v>2019,'LICENCIATURA','alam.gomez','GCA1735','TOMAR DEL SND','GOMEZ CANALES ALAM','PROFESORES','','MASCULINO','ACTIVO','',0,0,'','PROFESOR'</v>
      </c>
      <c r="L20" s="2" t="str">
        <f>CONCATENATE($K$1,K20,");")</f>
        <v>INSERT INTO participantes (id,nivel,correo,matricula,clave,nombre,carrera,grado,sexo,situacion,evaluados,num_evaluados,total_evaluaciones,ultimo_acceso,nivel_acceso) VALUES (2019,'LICENCIATURA','alam.gomez','GCA1735','TOMAR DEL SND','GOMEZ CANALES ALAM','PROFESORES','','MASCULINO','ACTIVO','',0,0,'','PROFESOR');</v>
      </c>
    </row>
    <row r="21" spans="1:12" x14ac:dyDescent="0.35">
      <c r="A21" s="21">
        <v>2020</v>
      </c>
      <c r="B21" s="20" t="s">
        <v>5</v>
      </c>
      <c r="C21" s="15" t="s">
        <v>2812</v>
      </c>
      <c r="D21" t="s">
        <v>2981</v>
      </c>
      <c r="E21" s="19" t="s">
        <v>1149</v>
      </c>
      <c r="F21" t="s">
        <v>1871</v>
      </c>
      <c r="G21" s="19" t="s">
        <v>2789</v>
      </c>
      <c r="I21" t="s">
        <v>2243</v>
      </c>
      <c r="J21" s="15" t="s">
        <v>1786</v>
      </c>
      <c r="K21" s="2" t="str">
        <f t="shared" si="0"/>
        <v>2020,'LICENCIATURA','raquel.abreu','ATR1755','TOMAR DEL SND','ABREU TEJEDA RAQUEL ABIGAIL','PROFESORES','','FEMENINO','ACTIVO','',0,0,'','PROFESOR'</v>
      </c>
      <c r="L21" s="2" t="str">
        <f>CONCATENATE($K$1,K21,");")</f>
        <v>INSERT INTO participantes (id,nivel,correo,matricula,clave,nombre,carrera,grado,sexo,situacion,evaluados,num_evaluados,total_evaluaciones,ultimo_acceso,nivel_acceso) VALUES (2020,'LICENCIATURA','raquel.abreu','ATR1755','TOMAR DEL SND','ABREU TEJEDA RAQUEL ABIGAIL','PROFESORES','','FEMENINO','ACTIVO','',0,0,'','PROFESOR');</v>
      </c>
    </row>
    <row r="22" spans="1:12" x14ac:dyDescent="0.35">
      <c r="A22" s="21">
        <v>2021</v>
      </c>
      <c r="B22" s="20" t="s">
        <v>5</v>
      </c>
      <c r="C22" s="15" t="s">
        <v>2816</v>
      </c>
      <c r="D22" t="s">
        <v>2985</v>
      </c>
      <c r="E22" s="19" t="s">
        <v>1149</v>
      </c>
      <c r="F22" t="s">
        <v>1875</v>
      </c>
      <c r="G22" s="19" t="s">
        <v>2789</v>
      </c>
      <c r="I22" t="s">
        <v>2242</v>
      </c>
      <c r="J22" s="15" t="s">
        <v>1786</v>
      </c>
      <c r="K22" s="2" t="str">
        <f t="shared" si="0"/>
        <v>2021,'LICENCIATURA','carlos.torres','TEC1066','TOMAR DEL SND','TORRES ESPINOSA CARLOS ALBERTO','PROFESORES','','MASCULINO','ACTIVO','',0,0,'','PROFESOR'</v>
      </c>
      <c r="L22" s="2" t="str">
        <f>CONCATENATE($K$1,K22,");")</f>
        <v>INSERT INTO participantes (id,nivel,correo,matricula,clave,nombre,carrera,grado,sexo,situacion,evaluados,num_evaluados,total_evaluaciones,ultimo_acceso,nivel_acceso) VALUES (2021,'LICENCIATURA','carlos.torres','TEC1066','TOMAR DEL SND','TORRES ESPINOSA CARLOS ALBERTO','PROFESORES','','MASCULINO','ACTIVO','',0,0,'','PROFESOR');</v>
      </c>
    </row>
    <row r="23" spans="1:12" x14ac:dyDescent="0.35">
      <c r="A23" s="21">
        <v>2022</v>
      </c>
      <c r="B23" s="20" t="s">
        <v>5</v>
      </c>
      <c r="C23" s="15" t="s">
        <v>2818</v>
      </c>
      <c r="D23" t="s">
        <v>2987</v>
      </c>
      <c r="E23" s="19" t="s">
        <v>1149</v>
      </c>
      <c r="F23" t="s">
        <v>1877</v>
      </c>
      <c r="G23" s="19" t="s">
        <v>2789</v>
      </c>
      <c r="I23" t="s">
        <v>2243</v>
      </c>
      <c r="J23" s="15" t="s">
        <v>1786</v>
      </c>
      <c r="K23" s="2" t="str">
        <f t="shared" si="0"/>
        <v>2022,'LICENCIATURA','laura.michel','MSL1607','TOMAR DEL SND','MICHEL SANDOVAL LAURA LIVIER','PROFESORES','','FEMENINO','ACTIVO','',0,0,'','PROFESOR'</v>
      </c>
      <c r="L23" s="2" t="str">
        <f>CONCATENATE($K$1,K23,");")</f>
        <v>INSERT INTO participantes (id,nivel,correo,matricula,clave,nombre,carrera,grado,sexo,situacion,evaluados,num_evaluados,total_evaluaciones,ultimo_acceso,nivel_acceso) VALUES (2022,'LICENCIATURA','laura.michel','MSL1607','TOMAR DEL SND','MICHEL SANDOVAL LAURA LIVIER','PROFESORES','','FEMENINO','ACTIVO','',0,0,'','PROFESOR');</v>
      </c>
    </row>
    <row r="24" spans="1:12" x14ac:dyDescent="0.35">
      <c r="A24" s="21">
        <v>2023</v>
      </c>
      <c r="B24" s="20" t="s">
        <v>5</v>
      </c>
      <c r="C24" s="15" t="s">
        <v>2819</v>
      </c>
      <c r="D24" t="s">
        <v>2952</v>
      </c>
      <c r="E24" s="19" t="s">
        <v>1149</v>
      </c>
      <c r="F24" t="s">
        <v>1878</v>
      </c>
      <c r="G24" s="19" t="s">
        <v>2789</v>
      </c>
      <c r="I24" t="s">
        <v>2242</v>
      </c>
      <c r="J24" s="15" t="s">
        <v>1786</v>
      </c>
      <c r="K24" s="2" t="str">
        <f t="shared" si="0"/>
        <v>2023,'LICENCIATURA','gabriel.benitez','BLG1791','TOMAR DEL SND','BENITEZ LOZANO GABRIEL ','PROFESORES','','MASCULINO','ACTIVO','',0,0,'','PROFESOR'</v>
      </c>
      <c r="L24" s="2" t="str">
        <f>CONCATENATE($K$1,K24,");")</f>
        <v>INSERT INTO participantes (id,nivel,correo,matricula,clave,nombre,carrera,grado,sexo,situacion,evaluados,num_evaluados,total_evaluaciones,ultimo_acceso,nivel_acceso) VALUES (2023,'LICENCIATURA','gabriel.benitez','BLG1791','TOMAR DEL SND','BENITEZ LOZANO GABRIEL ','PROFESORES','','MASCULINO','ACTIVO','',0,0,'','PROFESOR');</v>
      </c>
    </row>
    <row r="25" spans="1:12" x14ac:dyDescent="0.35">
      <c r="A25" s="21">
        <v>2024</v>
      </c>
      <c r="B25" s="20" t="s">
        <v>5</v>
      </c>
      <c r="C25" s="15" t="s">
        <v>2821</v>
      </c>
      <c r="D25" t="s">
        <v>2989</v>
      </c>
      <c r="E25" s="19" t="s">
        <v>1149</v>
      </c>
      <c r="F25" t="s">
        <v>1880</v>
      </c>
      <c r="G25" s="19" t="s">
        <v>2789</v>
      </c>
      <c r="I25" t="s">
        <v>2242</v>
      </c>
      <c r="J25" s="15" t="s">
        <v>1786</v>
      </c>
      <c r="K25" s="2" t="str">
        <f t="shared" si="0"/>
        <v>2024,'LICENCIATURA','hugo.segoviano','SMH1905','TOMAR DEL SND','SEGOVIANO MARTINEZ HUGO MIGUEL','PROFESORES','','MASCULINO','ACTIVO','',0,0,'','PROFESOR'</v>
      </c>
      <c r="L25" s="2" t="str">
        <f>CONCATENATE($K$1,K25,");")</f>
        <v>INSERT INTO participantes (id,nivel,correo,matricula,clave,nombre,carrera,grado,sexo,situacion,evaluados,num_evaluados,total_evaluaciones,ultimo_acceso,nivel_acceso) VALUES (2024,'LICENCIATURA','hugo.segoviano','SMH1905','TOMAR DEL SND','SEGOVIANO MARTINEZ HUGO MIGUEL','PROFESORES','','MASCULINO','ACTIVO','',0,0,'','PROFESOR');</v>
      </c>
    </row>
    <row r="26" spans="1:12" x14ac:dyDescent="0.35">
      <c r="A26" s="21">
        <v>2025</v>
      </c>
      <c r="B26" s="20" t="s">
        <v>5</v>
      </c>
      <c r="C26" s="15" t="s">
        <v>2822</v>
      </c>
      <c r="D26" t="s">
        <v>2990</v>
      </c>
      <c r="E26" s="19" t="s">
        <v>1149</v>
      </c>
      <c r="F26" t="s">
        <v>1881</v>
      </c>
      <c r="G26" s="19" t="s">
        <v>2789</v>
      </c>
      <c r="I26" t="s">
        <v>2242</v>
      </c>
      <c r="J26" s="15" t="s">
        <v>1786</v>
      </c>
      <c r="K26" s="2" t="str">
        <f t="shared" si="0"/>
        <v>2025,'LICENCIATURA','raymundo.silva','SHR1973','TOMAR DEL SND','SILVA HERRERA RAYMUNDO','PROFESORES','','MASCULINO','ACTIVO','',0,0,'','PROFESOR'</v>
      </c>
      <c r="L26" s="2" t="str">
        <f>CONCATENATE($K$1,K26,");")</f>
        <v>INSERT INTO participantes (id,nivel,correo,matricula,clave,nombre,carrera,grado,sexo,situacion,evaluados,num_evaluados,total_evaluaciones,ultimo_acceso,nivel_acceso) VALUES (2025,'LICENCIATURA','raymundo.silva','SHR1973','TOMAR DEL SND','SILVA HERRERA RAYMUNDO','PROFESORES','','MASCULINO','ACTIVO','',0,0,'','PROFESOR');</v>
      </c>
    </row>
    <row r="27" spans="1:12" x14ac:dyDescent="0.35">
      <c r="A27" s="21">
        <v>2026</v>
      </c>
      <c r="B27" s="20" t="s">
        <v>5</v>
      </c>
      <c r="C27" s="15" t="s">
        <v>2823</v>
      </c>
      <c r="D27" t="s">
        <v>2991</v>
      </c>
      <c r="E27" s="19" t="s">
        <v>1149</v>
      </c>
      <c r="F27" t="s">
        <v>1882</v>
      </c>
      <c r="G27" s="19" t="s">
        <v>2789</v>
      </c>
      <c r="I27" t="s">
        <v>2242</v>
      </c>
      <c r="J27" s="15" t="s">
        <v>1786</v>
      </c>
      <c r="K27" s="2" t="str">
        <f t="shared" si="0"/>
        <v>2026,'LICENCIATURA','daniel.montelongo','MAD0975','TOMAR DEL SND','MONTELONGO AGUAYO DANIEL','PROFESORES','','MASCULINO','ACTIVO','',0,0,'','PROFESOR'</v>
      </c>
      <c r="L27" s="2" t="str">
        <f>CONCATENATE($K$1,K27,");")</f>
        <v>INSERT INTO participantes (id,nivel,correo,matricula,clave,nombre,carrera,grado,sexo,situacion,evaluados,num_evaluados,total_evaluaciones,ultimo_acceso,nivel_acceso) VALUES (2026,'LICENCIATURA','daniel.montelongo','MAD0975','TOMAR DEL SND','MONTELONGO AGUAYO DANIEL','PROFESORES','','MASCULINO','ACTIVO','',0,0,'','PROFESOR');</v>
      </c>
    </row>
    <row r="28" spans="1:12" x14ac:dyDescent="0.35">
      <c r="A28" s="21">
        <v>2027</v>
      </c>
      <c r="B28" s="20" t="s">
        <v>5</v>
      </c>
      <c r="C28" s="15" t="s">
        <v>2824</v>
      </c>
      <c r="D28" t="s">
        <v>2992</v>
      </c>
      <c r="E28" s="19" t="s">
        <v>1149</v>
      </c>
      <c r="F28" t="s">
        <v>1883</v>
      </c>
      <c r="G28" s="19" t="s">
        <v>2789</v>
      </c>
      <c r="I28" t="s">
        <v>2242</v>
      </c>
      <c r="J28" s="15" t="s">
        <v>1786</v>
      </c>
      <c r="K28" s="2" t="str">
        <f t="shared" si="0"/>
        <v>2027,'LICENCIATURA','gabriel.sanchez','SAG2053','TOMAR DEL SND','SANCHEZ ARAIZA GABRIEL','PROFESORES','','MASCULINO','ACTIVO','',0,0,'','PROFESOR'</v>
      </c>
      <c r="L28" s="2" t="str">
        <f>CONCATENATE($K$1,K28,");")</f>
        <v>INSERT INTO participantes (id,nivel,correo,matricula,clave,nombre,carrera,grado,sexo,situacion,evaluados,num_evaluados,total_evaluaciones,ultimo_acceso,nivel_acceso) VALUES (2027,'LICENCIATURA','gabriel.sanchez','SAG2053','TOMAR DEL SND','SANCHEZ ARAIZA GABRIEL','PROFESORES','','MASCULINO','ACTIVO','',0,0,'','PROFESOR');</v>
      </c>
    </row>
    <row r="29" spans="1:12" x14ac:dyDescent="0.35">
      <c r="A29" s="21">
        <v>2028</v>
      </c>
      <c r="B29" s="20" t="s">
        <v>5</v>
      </c>
      <c r="C29" s="15" t="s">
        <v>2825</v>
      </c>
      <c r="D29" t="s">
        <v>2993</v>
      </c>
      <c r="E29" s="19" t="s">
        <v>1149</v>
      </c>
      <c r="F29" t="s">
        <v>1884</v>
      </c>
      <c r="G29" s="19" t="s">
        <v>2789</v>
      </c>
      <c r="I29" t="s">
        <v>2243</v>
      </c>
      <c r="J29" s="15" t="s">
        <v>1786</v>
      </c>
      <c r="K29" s="2" t="str">
        <f t="shared" si="0"/>
        <v>2028,'LICENCIATURA','irma.castellanos','CMI1010','TOMAR DEL SND','CASTELLANOS MEZA IRMA ELIZABETH','PROFESORES','','FEMENINO','ACTIVO','',0,0,'','PROFESOR'</v>
      </c>
      <c r="L29" s="2" t="str">
        <f>CONCATENATE($K$1,K29,");")</f>
        <v>INSERT INTO participantes (id,nivel,correo,matricula,clave,nombre,carrera,grado,sexo,situacion,evaluados,num_evaluados,total_evaluaciones,ultimo_acceso,nivel_acceso) VALUES (2028,'LICENCIATURA','irma.castellanos','CMI1010','TOMAR DEL SND','CASTELLANOS MEZA IRMA ELIZABETH','PROFESORES','','FEMENINO','ACTIVO','',0,0,'','PROFESOR');</v>
      </c>
    </row>
    <row r="30" spans="1:12" x14ac:dyDescent="0.35">
      <c r="A30" s="21">
        <v>2029</v>
      </c>
      <c r="B30" s="20" t="s">
        <v>5</v>
      </c>
      <c r="C30" s="15" t="s">
        <v>2829</v>
      </c>
      <c r="D30" t="s">
        <v>2997</v>
      </c>
      <c r="E30" s="19" t="s">
        <v>1149</v>
      </c>
      <c r="F30" t="s">
        <v>1888</v>
      </c>
      <c r="G30" s="19" t="s">
        <v>2789</v>
      </c>
      <c r="I30" t="s">
        <v>2243</v>
      </c>
      <c r="J30" s="15" t="s">
        <v>1786</v>
      </c>
      <c r="K30" s="2" t="str">
        <f t="shared" si="0"/>
        <v>2029,'LICENCIATURA','dulce.alvarado','ABD1972','TOMAR DEL SND','ALVARADO BAEZ DULCE CARMINA','PROFESORES','','FEMENINO','ACTIVO','',0,0,'','PROFESOR'</v>
      </c>
      <c r="L30" s="2" t="str">
        <f>CONCATENATE($K$1,K30,");")</f>
        <v>INSERT INTO participantes (id,nivel,correo,matricula,clave,nombre,carrera,grado,sexo,situacion,evaluados,num_evaluados,total_evaluaciones,ultimo_acceso,nivel_acceso) VALUES (2029,'LICENCIATURA','dulce.alvarado','ABD1972','TOMAR DEL SND','ALVARADO BAEZ DULCE CARMINA','PROFESORES','','FEMENINO','ACTIVO','',0,0,'','PROFESOR');</v>
      </c>
    </row>
    <row r="31" spans="1:12" x14ac:dyDescent="0.35">
      <c r="A31" s="21">
        <v>2030</v>
      </c>
      <c r="B31" s="20" t="s">
        <v>5</v>
      </c>
      <c r="C31" s="15" t="s">
        <v>2830</v>
      </c>
      <c r="D31" t="s">
        <v>2998</v>
      </c>
      <c r="E31" s="19" t="s">
        <v>1149</v>
      </c>
      <c r="F31" t="s">
        <v>1889</v>
      </c>
      <c r="G31" s="19" t="s">
        <v>2789</v>
      </c>
      <c r="I31" t="s">
        <v>2242</v>
      </c>
      <c r="J31" s="15" t="s">
        <v>1786</v>
      </c>
      <c r="K31" s="2" t="str">
        <f t="shared" si="0"/>
        <v>2030,'LICENCIATURA','jorge.perez','PGJ1240','TOMAR DEL SND','PEREZ GUTIERREZ JORGE HUMBERTO','PROFESORES','','MASCULINO','ACTIVO','',0,0,'','PROFESOR'</v>
      </c>
      <c r="L31" s="2" t="str">
        <f>CONCATENATE($K$1,K31,");")</f>
        <v>INSERT INTO participantes (id,nivel,correo,matricula,clave,nombre,carrera,grado,sexo,situacion,evaluados,num_evaluados,total_evaluaciones,ultimo_acceso,nivel_acceso) VALUES (2030,'LICENCIATURA','jorge.perez','PGJ1240','TOMAR DEL SND','PEREZ GUTIERREZ JORGE HUMBERTO','PROFESORES','','MASCULINO','ACTIVO','',0,0,'','PROFESOR');</v>
      </c>
    </row>
    <row r="32" spans="1:12" x14ac:dyDescent="0.35">
      <c r="A32" s="21">
        <v>2031</v>
      </c>
      <c r="B32" s="20" t="s">
        <v>5</v>
      </c>
      <c r="C32" s="15" t="s">
        <v>2831</v>
      </c>
      <c r="D32" t="s">
        <v>2999</v>
      </c>
      <c r="E32" s="19" t="s">
        <v>1149</v>
      </c>
      <c r="F32" t="s">
        <v>1890</v>
      </c>
      <c r="G32" s="19" t="s">
        <v>2789</v>
      </c>
      <c r="I32" t="s">
        <v>2243</v>
      </c>
      <c r="J32" s="15" t="s">
        <v>1786</v>
      </c>
      <c r="K32" s="2" t="str">
        <f t="shared" si="0"/>
        <v>2031,'LICENCIATURA','noemi.calderon','CCN1952','TOMAR DEL SND','CALDERON CHAVARIN NOEMI MONSERRAT','PROFESORES','','FEMENINO','ACTIVO','',0,0,'','PROFESOR'</v>
      </c>
      <c r="L32" s="2" t="str">
        <f>CONCATENATE($K$1,K32,");")</f>
        <v>INSERT INTO participantes (id,nivel,correo,matricula,clave,nombre,carrera,grado,sexo,situacion,evaluados,num_evaluados,total_evaluaciones,ultimo_acceso,nivel_acceso) VALUES (2031,'LICENCIATURA','noemi.calderon','CCN1952','TOMAR DEL SND','CALDERON CHAVARIN NOEMI MONSERRAT','PROFESORES','','FEMENINO','ACTIVO','',0,0,'','PROFESOR');</v>
      </c>
    </row>
    <row r="33" spans="1:12" x14ac:dyDescent="0.35">
      <c r="A33" s="21">
        <v>2032</v>
      </c>
      <c r="B33" s="20" t="s">
        <v>5</v>
      </c>
      <c r="C33" s="15" t="s">
        <v>2820</v>
      </c>
      <c r="D33" t="s">
        <v>2988</v>
      </c>
      <c r="E33" s="19" t="s">
        <v>1149</v>
      </c>
      <c r="F33" t="s">
        <v>1879</v>
      </c>
      <c r="G33" s="19" t="s">
        <v>2789</v>
      </c>
      <c r="I33" t="s">
        <v>2242</v>
      </c>
      <c r="J33" s="15" t="s">
        <v>1786</v>
      </c>
      <c r="K33" s="2" t="str">
        <f t="shared" si="0"/>
        <v>2032,'LICENCIATURA','juan.ponce','PCJ1177','TOMAR DEL SND','PONCE CUEVAS JUAN','PROFESORES','','MASCULINO','ACTIVO','',0,0,'','PROFESOR'</v>
      </c>
      <c r="L33" s="2" t="str">
        <f>CONCATENATE($K$1,K33,");")</f>
        <v>INSERT INTO participantes (id,nivel,correo,matricula,clave,nombre,carrera,grado,sexo,situacion,evaluados,num_evaluados,total_evaluaciones,ultimo_acceso,nivel_acceso) VALUES (2032,'LICENCIATURA','juan.ponce','PCJ1177','TOMAR DEL SND','PONCE CUEVAS JUAN','PROFESORES','','MASCULINO','ACTIVO','',0,0,'','PROFESOR');</v>
      </c>
    </row>
    <row r="34" spans="1:12" x14ac:dyDescent="0.35">
      <c r="A34" s="21">
        <v>2033</v>
      </c>
      <c r="B34" s="20" t="s">
        <v>5</v>
      </c>
      <c r="C34" s="15" t="s">
        <v>2832</v>
      </c>
      <c r="D34" t="s">
        <v>3000</v>
      </c>
      <c r="E34" s="19" t="s">
        <v>1149</v>
      </c>
      <c r="F34" t="s">
        <v>1891</v>
      </c>
      <c r="G34" s="19" t="s">
        <v>2789</v>
      </c>
      <c r="I34" t="s">
        <v>2242</v>
      </c>
      <c r="J34" s="15" t="s">
        <v>1786</v>
      </c>
      <c r="K34" s="2" t="str">
        <f t="shared" si="0"/>
        <v>2033,'LICENCIATURA','diego.ruiz','RND2054','TOMAR DEL SND','RUIZ NAVARRETE DIEGO','PROFESORES','','MASCULINO','ACTIVO','',0,0,'','PROFESOR'</v>
      </c>
      <c r="L34" s="2" t="str">
        <f>CONCATENATE($K$1,K34,");")</f>
        <v>INSERT INTO participantes (id,nivel,correo,matricula,clave,nombre,carrera,grado,sexo,situacion,evaluados,num_evaluados,total_evaluaciones,ultimo_acceso,nivel_acceso) VALUES (2033,'LICENCIATURA','diego.ruiz','RND2054','TOMAR DEL SND','RUIZ NAVARRETE DIEGO','PROFESORES','','MASCULINO','ACTIVO','',0,0,'','PROFESOR');</v>
      </c>
    </row>
    <row r="35" spans="1:12" x14ac:dyDescent="0.35">
      <c r="A35" s="21">
        <v>2034</v>
      </c>
      <c r="B35" s="20" t="s">
        <v>5</v>
      </c>
      <c r="C35" s="15" t="s">
        <v>2833</v>
      </c>
      <c r="D35" t="s">
        <v>3001</v>
      </c>
      <c r="E35" s="19" t="s">
        <v>1149</v>
      </c>
      <c r="F35" t="s">
        <v>1892</v>
      </c>
      <c r="G35" s="19" t="s">
        <v>2789</v>
      </c>
      <c r="I35" t="s">
        <v>2243</v>
      </c>
      <c r="J35" s="15" t="s">
        <v>1786</v>
      </c>
      <c r="K35" s="2" t="str">
        <f t="shared" si="0"/>
        <v>2034,'LICENCIATURA','leticia.martinez','MGL0928','TOMAR DEL SND','MARTINEZ GOMEZ LETICIA','PROFESORES','','FEMENINO','ACTIVO','',0,0,'','PROFESOR'</v>
      </c>
      <c r="L35" s="2" t="str">
        <f>CONCATENATE($K$1,K35,");")</f>
        <v>INSERT INTO participantes (id,nivel,correo,matricula,clave,nombre,carrera,grado,sexo,situacion,evaluados,num_evaluados,total_evaluaciones,ultimo_acceso,nivel_acceso) VALUES (2034,'LICENCIATURA','leticia.martinez','MGL0928','TOMAR DEL SND','MARTINEZ GOMEZ LETICIA','PROFESORES','','FEMENINO','ACTIVO','',0,0,'','PROFESOR');</v>
      </c>
    </row>
    <row r="36" spans="1:12" x14ac:dyDescent="0.35">
      <c r="A36" s="21">
        <v>2035</v>
      </c>
      <c r="B36" s="20" t="s">
        <v>5</v>
      </c>
      <c r="C36" s="15" t="s">
        <v>2826</v>
      </c>
      <c r="D36" t="s">
        <v>2994</v>
      </c>
      <c r="E36" s="19" t="s">
        <v>1149</v>
      </c>
      <c r="F36" t="s">
        <v>1885</v>
      </c>
      <c r="G36" s="19" t="s">
        <v>2789</v>
      </c>
      <c r="I36" t="s">
        <v>2243</v>
      </c>
      <c r="J36" s="15" t="s">
        <v>1786</v>
      </c>
      <c r="K36" s="2" t="str">
        <f t="shared" si="0"/>
        <v>2035,'LICENCIATURA','nydia.espino','ECN0993','TOMAR DEL SND','ESPINO CAMPOS NYDIA','PROFESORES','','FEMENINO','ACTIVO','',0,0,'','PROFESOR'</v>
      </c>
      <c r="L36" s="2" t="str">
        <f>CONCATENATE($K$1,K36,");")</f>
        <v>INSERT INTO participantes (id,nivel,correo,matricula,clave,nombre,carrera,grado,sexo,situacion,evaluados,num_evaluados,total_evaluaciones,ultimo_acceso,nivel_acceso) VALUES (2035,'LICENCIATURA','nydia.espino','ECN0993','TOMAR DEL SND','ESPINO CAMPOS NYDIA','PROFESORES','','FEMENINO','ACTIVO','',0,0,'','PROFESOR');</v>
      </c>
    </row>
    <row r="37" spans="1:12" x14ac:dyDescent="0.35">
      <c r="A37" s="21">
        <v>2036</v>
      </c>
      <c r="B37" s="20" t="s">
        <v>5</v>
      </c>
      <c r="C37" s="15" t="s">
        <v>2827</v>
      </c>
      <c r="D37" t="s">
        <v>2995</v>
      </c>
      <c r="E37" s="19" t="s">
        <v>1149</v>
      </c>
      <c r="F37" t="s">
        <v>1886</v>
      </c>
      <c r="G37" s="19" t="s">
        <v>2789</v>
      </c>
      <c r="I37" t="s">
        <v>2242</v>
      </c>
      <c r="J37" s="15" t="s">
        <v>1786</v>
      </c>
      <c r="K37" s="2" t="str">
        <f t="shared" si="0"/>
        <v>2036,'LICENCIATURA','jesus.gudino','GGJ1869','TOMAR DEL SND','GUDIÑO GONZALEZ JESUS ANTONIO','PROFESORES','','MASCULINO','ACTIVO','',0,0,'','PROFESOR'</v>
      </c>
      <c r="L37" s="2" t="str">
        <f>CONCATENATE($K$1,K37,");")</f>
        <v>INSERT INTO participantes (id,nivel,correo,matricula,clave,nombre,carrera,grado,sexo,situacion,evaluados,num_evaluados,total_evaluaciones,ultimo_acceso,nivel_acceso) VALUES (2036,'LICENCIATURA','jesus.gudino','GGJ1869','TOMAR DEL SND','GUDIÑO GONZALEZ JESUS ANTONIO','PROFESORES','','MASCULINO','ACTIVO','',0,0,'','PROFESOR');</v>
      </c>
    </row>
    <row r="38" spans="1:12" x14ac:dyDescent="0.35">
      <c r="A38" s="21">
        <v>2037</v>
      </c>
      <c r="B38" s="20" t="s">
        <v>5</v>
      </c>
      <c r="C38" s="15" t="s">
        <v>2828</v>
      </c>
      <c r="D38" t="s">
        <v>2996</v>
      </c>
      <c r="E38" s="19" t="s">
        <v>1149</v>
      </c>
      <c r="F38" t="s">
        <v>1887</v>
      </c>
      <c r="G38" s="19" t="s">
        <v>2789</v>
      </c>
      <c r="I38" t="s">
        <v>2242</v>
      </c>
      <c r="J38" s="15" t="s">
        <v>1786</v>
      </c>
      <c r="K38" s="2" t="str">
        <f t="shared" si="0"/>
        <v>2037,'LICENCIATURA','jose.sanchez','SMJ0539','TOMAR DEL SND','SANCHEZ MUÑOZ JOSE JORGE','PROFESORES','','MASCULINO','ACTIVO','',0,0,'','PROFESOR'</v>
      </c>
      <c r="L38" s="2" t="str">
        <f>CONCATENATE($K$1,K38,");")</f>
        <v>INSERT INTO participantes (id,nivel,correo,matricula,clave,nombre,carrera,grado,sexo,situacion,evaluados,num_evaluados,total_evaluaciones,ultimo_acceso,nivel_acceso) VALUES (2037,'LICENCIATURA','jose.sanchez','SMJ0539','TOMAR DEL SND','SANCHEZ MUÑOZ JOSE JORGE','PROFESORES','','MASCULINO','ACTIVO','',0,0,'','PROFESOR');</v>
      </c>
    </row>
    <row r="39" spans="1:12" x14ac:dyDescent="0.35">
      <c r="A39" s="21">
        <v>2038</v>
      </c>
      <c r="B39" s="20" t="s">
        <v>5</v>
      </c>
      <c r="C39" s="15" t="s">
        <v>2834</v>
      </c>
      <c r="D39" t="s">
        <v>3002</v>
      </c>
      <c r="E39" s="19" t="s">
        <v>1149</v>
      </c>
      <c r="F39" t="s">
        <v>1893</v>
      </c>
      <c r="G39" s="19" t="s">
        <v>2789</v>
      </c>
      <c r="I39" t="s">
        <v>2242</v>
      </c>
      <c r="J39" s="15" t="s">
        <v>1786</v>
      </c>
      <c r="K39" s="2" t="str">
        <f t="shared" si="0"/>
        <v>2038,'LICENCIATURA','diego.ruizvelasco','RRD1608','TOMAR DEL SND','RUIZ VELASCO RESENDIZ DIEGO RAUL','PROFESORES','','MASCULINO','ACTIVO','',0,0,'','PROFESOR'</v>
      </c>
      <c r="L39" s="2" t="str">
        <f>CONCATENATE($K$1,K39,");")</f>
        <v>INSERT INTO participantes (id,nivel,correo,matricula,clave,nombre,carrera,grado,sexo,situacion,evaluados,num_evaluados,total_evaluaciones,ultimo_acceso,nivel_acceso) VALUES (2038,'LICENCIATURA','diego.ruizvelasco','RRD1608','TOMAR DEL SND','RUIZ VELASCO RESENDIZ DIEGO RAUL','PROFESORES','','MASCULINO','ACTIVO','',0,0,'','PROFESOR');</v>
      </c>
    </row>
    <row r="40" spans="1:12" x14ac:dyDescent="0.35">
      <c r="A40" s="21">
        <v>2039</v>
      </c>
      <c r="B40" s="20" t="s">
        <v>5</v>
      </c>
      <c r="C40" s="15" t="s">
        <v>2836</v>
      </c>
      <c r="D40" t="s">
        <v>3004</v>
      </c>
      <c r="E40" s="19" t="s">
        <v>1149</v>
      </c>
      <c r="F40" t="s">
        <v>1895</v>
      </c>
      <c r="G40" s="19" t="s">
        <v>2789</v>
      </c>
      <c r="I40" t="s">
        <v>2243</v>
      </c>
      <c r="J40" s="15" t="s">
        <v>1786</v>
      </c>
      <c r="K40" s="2" t="str">
        <f t="shared" si="0"/>
        <v>2039,'LICENCIATURA','laura.bahena','BVL2038','TOMAR DEL SND','BAHENA VANEGAS LAURA YANET','PROFESORES','','FEMENINO','ACTIVO','',0,0,'','PROFESOR'</v>
      </c>
      <c r="L40" s="2" t="str">
        <f>CONCATENATE($K$1,K40,");")</f>
        <v>INSERT INTO participantes (id,nivel,correo,matricula,clave,nombre,carrera,grado,sexo,situacion,evaluados,num_evaluados,total_evaluaciones,ultimo_acceso,nivel_acceso) VALUES (2039,'LICENCIATURA','laura.bahena','BVL2038','TOMAR DEL SND','BAHENA VANEGAS LAURA YANET','PROFESORES','','FEMENINO','ACTIVO','',0,0,'','PROFESOR');</v>
      </c>
    </row>
    <row r="41" spans="1:12" x14ac:dyDescent="0.35">
      <c r="A41" s="21">
        <v>2040</v>
      </c>
      <c r="B41" s="20" t="s">
        <v>5</v>
      </c>
      <c r="C41" s="15" t="s">
        <v>2837</v>
      </c>
      <c r="D41" t="s">
        <v>3005</v>
      </c>
      <c r="E41" s="19" t="s">
        <v>1149</v>
      </c>
      <c r="F41" t="s">
        <v>1896</v>
      </c>
      <c r="G41" s="19" t="s">
        <v>2789</v>
      </c>
      <c r="I41" t="s">
        <v>2242</v>
      </c>
      <c r="J41" s="15" t="s">
        <v>1786</v>
      </c>
      <c r="K41" s="2" t="str">
        <f t="shared" si="0"/>
        <v>2040,'LICENCIATURA','luis.salazar','SLL1959','TOMAR DEL SND','SALAZAR LOPEZ LUIS GILBERTO','PROFESORES','','MASCULINO','ACTIVO','',0,0,'','PROFESOR'</v>
      </c>
      <c r="L41" s="2" t="str">
        <f>CONCATENATE($K$1,K41,");")</f>
        <v>INSERT INTO participantes (id,nivel,correo,matricula,clave,nombre,carrera,grado,sexo,situacion,evaluados,num_evaluados,total_evaluaciones,ultimo_acceso,nivel_acceso) VALUES (2040,'LICENCIATURA','luis.salazar','SLL1959','TOMAR DEL SND','SALAZAR LOPEZ LUIS GILBERTO','PROFESORES','','MASCULINO','ACTIVO','',0,0,'','PROFESOR');</v>
      </c>
    </row>
    <row r="42" spans="1:12" x14ac:dyDescent="0.35">
      <c r="A42" s="21">
        <v>2041</v>
      </c>
      <c r="B42" s="20" t="s">
        <v>5</v>
      </c>
      <c r="C42" s="15" t="s">
        <v>2838</v>
      </c>
      <c r="D42" t="s">
        <v>3006</v>
      </c>
      <c r="E42" s="19" t="s">
        <v>1149</v>
      </c>
      <c r="F42" t="s">
        <v>1897</v>
      </c>
      <c r="G42" s="19" t="s">
        <v>2789</v>
      </c>
      <c r="I42" t="s">
        <v>2242</v>
      </c>
      <c r="J42" s="15" t="s">
        <v>1786</v>
      </c>
      <c r="K42" s="2" t="str">
        <f t="shared" si="0"/>
        <v>2041,'LICENCIATURA','pedro.castillo','CNP1815','TOMAR DEL SND','CASTILLO NUÑEZ PEDRO ALBERTO','PROFESORES','','MASCULINO','ACTIVO','',0,0,'','PROFESOR'</v>
      </c>
      <c r="L42" s="2" t="str">
        <f>CONCATENATE($K$1,K42,");")</f>
        <v>INSERT INTO participantes (id,nivel,correo,matricula,clave,nombre,carrera,grado,sexo,situacion,evaluados,num_evaluados,total_evaluaciones,ultimo_acceso,nivel_acceso) VALUES (2041,'LICENCIATURA','pedro.castillo','CNP1815','TOMAR DEL SND','CASTILLO NUÑEZ PEDRO ALBERTO','PROFESORES','','MASCULINO','ACTIVO','',0,0,'','PROFESOR');</v>
      </c>
    </row>
    <row r="43" spans="1:12" x14ac:dyDescent="0.35">
      <c r="A43" s="21">
        <v>2042</v>
      </c>
      <c r="B43" s="20" t="s">
        <v>5</v>
      </c>
      <c r="C43" s="15" t="s">
        <v>2839</v>
      </c>
      <c r="D43" t="s">
        <v>3007</v>
      </c>
      <c r="E43" s="19" t="s">
        <v>1149</v>
      </c>
      <c r="F43" t="s">
        <v>1898</v>
      </c>
      <c r="G43" s="19" t="s">
        <v>2789</v>
      </c>
      <c r="I43" t="s">
        <v>2242</v>
      </c>
      <c r="J43" s="15" t="s">
        <v>1786</v>
      </c>
      <c r="K43" s="2" t="str">
        <f t="shared" si="0"/>
        <v>2042,'LICENCIATURA','emmanuel.padilla','PGE1527','TOMAR DEL SND','PADILLA GALINDO EMMANUEL','PROFESORES','','MASCULINO','ACTIVO','',0,0,'','PROFESOR'</v>
      </c>
      <c r="L43" s="2" t="str">
        <f>CONCATENATE($K$1,K43,");")</f>
        <v>INSERT INTO participantes (id,nivel,correo,matricula,clave,nombre,carrera,grado,sexo,situacion,evaluados,num_evaluados,total_evaluaciones,ultimo_acceso,nivel_acceso) VALUES (2042,'LICENCIATURA','emmanuel.padilla','PGE1527','TOMAR DEL SND','PADILLA GALINDO EMMANUEL','PROFESORES','','MASCULINO','ACTIVO','',0,0,'','PROFESOR');</v>
      </c>
    </row>
    <row r="44" spans="1:12" x14ac:dyDescent="0.35">
      <c r="A44" s="21">
        <v>2043</v>
      </c>
      <c r="B44" s="20" t="s">
        <v>5</v>
      </c>
      <c r="C44" s="15" t="s">
        <v>2840</v>
      </c>
      <c r="D44" t="s">
        <v>3008</v>
      </c>
      <c r="E44" s="19" t="s">
        <v>1149</v>
      </c>
      <c r="F44" t="s">
        <v>1899</v>
      </c>
      <c r="G44" s="19" t="s">
        <v>2789</v>
      </c>
      <c r="I44" t="s">
        <v>2243</v>
      </c>
      <c r="J44" s="15" t="s">
        <v>1786</v>
      </c>
      <c r="K44" s="2" t="str">
        <f t="shared" si="0"/>
        <v>2043,'LICENCIATURA','maria.antolin','ALM1223','TOMAR DEL SND','ANTOLIN LUNA MARIA DE GUADALUPE','PROFESORES','','FEMENINO','ACTIVO','',0,0,'','PROFESOR'</v>
      </c>
      <c r="L44" s="2" t="str">
        <f>CONCATENATE($K$1,K44,");")</f>
        <v>INSERT INTO participantes (id,nivel,correo,matricula,clave,nombre,carrera,grado,sexo,situacion,evaluados,num_evaluados,total_evaluaciones,ultimo_acceso,nivel_acceso) VALUES (2043,'LICENCIATURA','maria.antolin','ALM1223','TOMAR DEL SND','ANTOLIN LUNA MARIA DE GUADALUPE','PROFESORES','','FEMENINO','ACTIVO','',0,0,'','PROFESOR');</v>
      </c>
    </row>
    <row r="45" spans="1:12" x14ac:dyDescent="0.35">
      <c r="A45" s="21">
        <v>2044</v>
      </c>
      <c r="B45" s="20" t="s">
        <v>5</v>
      </c>
      <c r="C45" s="15" t="s">
        <v>2841</v>
      </c>
      <c r="D45" t="s">
        <v>3009</v>
      </c>
      <c r="E45" s="19" t="s">
        <v>1149</v>
      </c>
      <c r="F45" t="s">
        <v>1900</v>
      </c>
      <c r="G45" s="19" t="s">
        <v>2789</v>
      </c>
      <c r="I45" t="s">
        <v>2243</v>
      </c>
      <c r="J45" s="15" t="s">
        <v>1786</v>
      </c>
      <c r="K45" s="2" t="str">
        <f t="shared" si="0"/>
        <v>2044,'LICENCIATURA','claudia.bautista','BPC1920','TOMAR DEL SND','BAUTISTA PARRA CLAUDIA LUCIA','PROFESORES','','FEMENINO','ACTIVO','',0,0,'','PROFESOR'</v>
      </c>
      <c r="L45" s="2" t="str">
        <f>CONCATENATE($K$1,K45,");")</f>
        <v>INSERT INTO participantes (id,nivel,correo,matricula,clave,nombre,carrera,grado,sexo,situacion,evaluados,num_evaluados,total_evaluaciones,ultimo_acceso,nivel_acceso) VALUES (2044,'LICENCIATURA','claudia.bautista','BPC1920','TOMAR DEL SND','BAUTISTA PARRA CLAUDIA LUCIA','PROFESORES','','FEMENINO','ACTIVO','',0,0,'','PROFESOR');</v>
      </c>
    </row>
    <row r="46" spans="1:12" x14ac:dyDescent="0.35">
      <c r="A46" s="21">
        <v>2045</v>
      </c>
      <c r="B46" s="20" t="s">
        <v>5</v>
      </c>
      <c r="C46" s="15" t="s">
        <v>2843</v>
      </c>
      <c r="D46" t="s">
        <v>3011</v>
      </c>
      <c r="E46" s="19" t="s">
        <v>1149</v>
      </c>
      <c r="F46" t="s">
        <v>1902</v>
      </c>
      <c r="G46" s="19" t="s">
        <v>2789</v>
      </c>
      <c r="I46" t="s">
        <v>2243</v>
      </c>
      <c r="J46" s="15" t="s">
        <v>1786</v>
      </c>
      <c r="K46" s="2" t="str">
        <f t="shared" si="0"/>
        <v>2045,'LICENCIATURA','araceli.flores','FGA1042','TOMAR DEL SND','FLORES GIL ARACELI','PROFESORES','','FEMENINO','ACTIVO','',0,0,'','PROFESOR'</v>
      </c>
      <c r="L46" s="2" t="str">
        <f>CONCATENATE($K$1,K46,");")</f>
        <v>INSERT INTO participantes (id,nivel,correo,matricula,clave,nombre,carrera,grado,sexo,situacion,evaluados,num_evaluados,total_evaluaciones,ultimo_acceso,nivel_acceso) VALUES (2045,'LICENCIATURA','araceli.flores','FGA1042','TOMAR DEL SND','FLORES GIL ARACELI','PROFESORES','','FEMENINO','ACTIVO','',0,0,'','PROFESOR');</v>
      </c>
    </row>
    <row r="47" spans="1:12" x14ac:dyDescent="0.35">
      <c r="A47" s="21">
        <v>2046</v>
      </c>
      <c r="B47" s="20" t="s">
        <v>5</v>
      </c>
      <c r="C47" s="15" t="s">
        <v>2844</v>
      </c>
      <c r="D47" t="s">
        <v>3012</v>
      </c>
      <c r="E47" s="19" t="s">
        <v>1149</v>
      </c>
      <c r="F47" t="s">
        <v>1903</v>
      </c>
      <c r="G47" s="19" t="s">
        <v>2789</v>
      </c>
      <c r="I47" t="s">
        <v>2243</v>
      </c>
      <c r="J47" s="15" t="s">
        <v>1786</v>
      </c>
      <c r="K47" s="2" t="str">
        <f t="shared" si="0"/>
        <v>2046,'LICENCIATURA','mercedes.perez','POM0707','TOMAR DEL SND','PEREZ ORTIZ MERCEDES','PROFESORES','','FEMENINO','ACTIVO','',0,0,'','PROFESOR'</v>
      </c>
      <c r="L47" s="2" t="str">
        <f>CONCATENATE($K$1,K47,");")</f>
        <v>INSERT INTO participantes (id,nivel,correo,matricula,clave,nombre,carrera,grado,sexo,situacion,evaluados,num_evaluados,total_evaluaciones,ultimo_acceso,nivel_acceso) VALUES (2046,'LICENCIATURA','mercedes.perez','POM0707','TOMAR DEL SND','PEREZ ORTIZ MERCEDES','PROFESORES','','FEMENINO','ACTIVO','',0,0,'','PROFESOR');</v>
      </c>
    </row>
    <row r="48" spans="1:12" x14ac:dyDescent="0.35">
      <c r="A48" s="21">
        <v>2047</v>
      </c>
      <c r="B48" s="20" t="s">
        <v>5</v>
      </c>
      <c r="C48" s="15" t="s">
        <v>2845</v>
      </c>
      <c r="D48" t="s">
        <v>3013</v>
      </c>
      <c r="E48" s="19" t="s">
        <v>1149</v>
      </c>
      <c r="F48" t="s">
        <v>1904</v>
      </c>
      <c r="G48" s="19" t="s">
        <v>2789</v>
      </c>
      <c r="I48" t="s">
        <v>2243</v>
      </c>
      <c r="J48" s="15" t="s">
        <v>1786</v>
      </c>
      <c r="K48" s="2" t="str">
        <f t="shared" si="0"/>
        <v>2047,'LICENCIATURA','jocelyn.fuentes','FTJ2071','TOMAR DEL SND','FUENTES TALAVERA JOCELYN MOTSERRAT','PROFESORES','','FEMENINO','ACTIVO','',0,0,'','PROFESOR'</v>
      </c>
      <c r="L48" s="2" t="str">
        <f>CONCATENATE($K$1,K48,");")</f>
        <v>INSERT INTO participantes (id,nivel,correo,matricula,clave,nombre,carrera,grado,sexo,situacion,evaluados,num_evaluados,total_evaluaciones,ultimo_acceso,nivel_acceso) VALUES (2047,'LICENCIATURA','jocelyn.fuentes','FTJ2071','TOMAR DEL SND','FUENTES TALAVERA JOCELYN MOTSERRAT','PROFESORES','','FEMENINO','ACTIVO','',0,0,'','PROFESOR');</v>
      </c>
    </row>
    <row r="49" spans="1:12" x14ac:dyDescent="0.35">
      <c r="A49" s="21">
        <v>2048</v>
      </c>
      <c r="B49" s="20" t="s">
        <v>5</v>
      </c>
      <c r="C49" s="15" t="s">
        <v>2846</v>
      </c>
      <c r="D49" t="s">
        <v>2953</v>
      </c>
      <c r="E49" s="19" t="s">
        <v>1149</v>
      </c>
      <c r="F49" t="s">
        <v>1905</v>
      </c>
      <c r="G49" s="19" t="s">
        <v>2789</v>
      </c>
      <c r="I49" t="s">
        <v>2243</v>
      </c>
      <c r="J49" s="15" t="s">
        <v>1786</v>
      </c>
      <c r="K49" s="2" t="str">
        <f t="shared" si="0"/>
        <v>2048,'LICENCIATURA','claudia.cortes','CVC1898','TOMAR DEL SND','CORTES VELASCO CLAUDIA PAOLA','PROFESORES','','FEMENINO','ACTIVO','',0,0,'','PROFESOR'</v>
      </c>
      <c r="L49" s="2" t="str">
        <f>CONCATENATE($K$1,K49,");")</f>
        <v>INSERT INTO participantes (id,nivel,correo,matricula,clave,nombre,carrera,grado,sexo,situacion,evaluados,num_evaluados,total_evaluaciones,ultimo_acceso,nivel_acceso) VALUES (2048,'LICENCIATURA','claudia.cortes','CVC1898','TOMAR DEL SND','CORTES VELASCO CLAUDIA PAOLA','PROFESORES','','FEMENINO','ACTIVO','',0,0,'','PROFESOR');</v>
      </c>
    </row>
    <row r="50" spans="1:12" x14ac:dyDescent="0.35">
      <c r="A50" s="21">
        <v>2049</v>
      </c>
      <c r="B50" s="20" t="s">
        <v>5</v>
      </c>
      <c r="C50" s="15" t="s">
        <v>2847</v>
      </c>
      <c r="D50" t="s">
        <v>2954</v>
      </c>
      <c r="E50" s="19" t="s">
        <v>1149</v>
      </c>
      <c r="F50" t="s">
        <v>1906</v>
      </c>
      <c r="G50" s="19" t="s">
        <v>2789</v>
      </c>
      <c r="I50" t="s">
        <v>2243</v>
      </c>
      <c r="J50" s="15" t="s">
        <v>1786</v>
      </c>
      <c r="K50" s="2" t="str">
        <f t="shared" si="0"/>
        <v>2049,'LICENCIATURA','melissa.delarosa','DRM1880','TOMAR DEL SND','DE LA ROSA RICARIO MELISSA','PROFESORES','','FEMENINO','ACTIVO','',0,0,'','PROFESOR'</v>
      </c>
      <c r="L50" s="2" t="str">
        <f>CONCATENATE($K$1,K50,");")</f>
        <v>INSERT INTO participantes (id,nivel,correo,matricula,clave,nombre,carrera,grado,sexo,situacion,evaluados,num_evaluados,total_evaluaciones,ultimo_acceso,nivel_acceso) VALUES (2049,'LICENCIATURA','melissa.delarosa','DRM1880','TOMAR DEL SND','DE LA ROSA RICARIO MELISSA','PROFESORES','','FEMENINO','ACTIVO','',0,0,'','PROFESOR');</v>
      </c>
    </row>
    <row r="51" spans="1:12" x14ac:dyDescent="0.35">
      <c r="A51" s="21">
        <v>2050</v>
      </c>
      <c r="B51" s="20" t="s">
        <v>5</v>
      </c>
      <c r="C51" s="15" t="s">
        <v>2848</v>
      </c>
      <c r="D51" t="s">
        <v>2955</v>
      </c>
      <c r="E51" s="19" t="s">
        <v>1149</v>
      </c>
      <c r="F51" t="s">
        <v>1907</v>
      </c>
      <c r="G51" s="19" t="s">
        <v>2789</v>
      </c>
      <c r="I51" t="s">
        <v>2243</v>
      </c>
      <c r="J51" s="15" t="s">
        <v>1786</v>
      </c>
      <c r="K51" s="2" t="str">
        <f t="shared" si="0"/>
        <v>2050,'LICENCIATURA','claudia.escobedo','EGC2011','TOMAR DEL SND','ESCOBEDO GARCIA CLAUDIA MAYELA','PROFESORES','','FEMENINO','ACTIVO','',0,0,'','PROFESOR'</v>
      </c>
      <c r="L51" s="2" t="str">
        <f>CONCATENATE($K$1,K51,");")</f>
        <v>INSERT INTO participantes (id,nivel,correo,matricula,clave,nombre,carrera,grado,sexo,situacion,evaluados,num_evaluados,total_evaluaciones,ultimo_acceso,nivel_acceso) VALUES (2050,'LICENCIATURA','claudia.escobedo','EGC2011','TOMAR DEL SND','ESCOBEDO GARCIA CLAUDIA MAYELA','PROFESORES','','FEMENINO','ACTIVO','',0,0,'','PROFESOR');</v>
      </c>
    </row>
    <row r="52" spans="1:12" x14ac:dyDescent="0.35">
      <c r="A52" s="21">
        <v>2051</v>
      </c>
      <c r="B52" s="20" t="s">
        <v>5</v>
      </c>
      <c r="C52" s="15" t="s">
        <v>2849</v>
      </c>
      <c r="D52" t="s">
        <v>2956</v>
      </c>
      <c r="E52" s="19" t="s">
        <v>1149</v>
      </c>
      <c r="F52" t="s">
        <v>1908</v>
      </c>
      <c r="G52" s="19" t="s">
        <v>2789</v>
      </c>
      <c r="I52" t="s">
        <v>2243</v>
      </c>
      <c r="J52" s="15" t="s">
        <v>1786</v>
      </c>
      <c r="K52" s="2" t="str">
        <f t="shared" si="0"/>
        <v>2051,'LICENCIATURA','erika.espejo','ERE1767','TOMAR DEL SND','ESPEJO REGALADO ERIKA','PROFESORES','','FEMENINO','ACTIVO','',0,0,'','PROFESOR'</v>
      </c>
      <c r="L52" s="2" t="str">
        <f>CONCATENATE($K$1,K52,");")</f>
        <v>INSERT INTO participantes (id,nivel,correo,matricula,clave,nombre,carrera,grado,sexo,situacion,evaluados,num_evaluados,total_evaluaciones,ultimo_acceso,nivel_acceso) VALUES (2051,'LICENCIATURA','erika.espejo','ERE1767','TOMAR DEL SND','ESPEJO REGALADO ERIKA','PROFESORES','','FEMENINO','ACTIVO','',0,0,'','PROFESOR');</v>
      </c>
    </row>
    <row r="53" spans="1:12" x14ac:dyDescent="0.35">
      <c r="A53" s="21">
        <v>2052</v>
      </c>
      <c r="B53" s="20" t="s">
        <v>5</v>
      </c>
      <c r="C53" s="15" t="s">
        <v>2850</v>
      </c>
      <c r="D53" t="s">
        <v>3014</v>
      </c>
      <c r="E53" s="19" t="s">
        <v>1149</v>
      </c>
      <c r="F53" t="s">
        <v>1909</v>
      </c>
      <c r="G53" s="19" t="s">
        <v>2789</v>
      </c>
      <c r="I53" t="s">
        <v>2242</v>
      </c>
      <c r="J53" s="15" t="s">
        <v>1786</v>
      </c>
      <c r="K53" s="2" t="str">
        <f t="shared" si="0"/>
        <v>2052,'LICENCIATURA','miguel.frias','FRM2000','TOMAR DEL SND','FRIAS REYNAGA MIGUEL ANGEL','PROFESORES','','MASCULINO','ACTIVO','',0,0,'','PROFESOR'</v>
      </c>
      <c r="L53" s="2" t="str">
        <f>CONCATENATE($K$1,K53,");")</f>
        <v>INSERT INTO participantes (id,nivel,correo,matricula,clave,nombre,carrera,grado,sexo,situacion,evaluados,num_evaluados,total_evaluaciones,ultimo_acceso,nivel_acceso) VALUES (2052,'LICENCIATURA','miguel.frias','FRM2000','TOMAR DEL SND','FRIAS REYNAGA MIGUEL ANGEL','PROFESORES','','MASCULINO','ACTIVO','',0,0,'','PROFESOR');</v>
      </c>
    </row>
    <row r="54" spans="1:12" x14ac:dyDescent="0.35">
      <c r="A54" s="21">
        <v>2053</v>
      </c>
      <c r="B54" s="20" t="s">
        <v>5</v>
      </c>
      <c r="C54" s="15" t="s">
        <v>2851</v>
      </c>
      <c r="D54" t="s">
        <v>2957</v>
      </c>
      <c r="E54" s="19" t="s">
        <v>1149</v>
      </c>
      <c r="F54" t="s">
        <v>1910</v>
      </c>
      <c r="G54" s="19" t="s">
        <v>2789</v>
      </c>
      <c r="I54" t="s">
        <v>2243</v>
      </c>
      <c r="J54" s="15" t="s">
        <v>1786</v>
      </c>
      <c r="K54" s="2" t="str">
        <f t="shared" si="0"/>
        <v>2053,'LICENCIATURA','gabriela.garibay','GGG1774','TOMAR DEL SND','GARIBAY GARCIA GABRIELA','PROFESORES','','FEMENINO','ACTIVO','',0,0,'','PROFESOR'</v>
      </c>
      <c r="L54" s="2" t="str">
        <f>CONCATENATE($K$1,K54,");")</f>
        <v>INSERT INTO participantes (id,nivel,correo,matricula,clave,nombre,carrera,grado,sexo,situacion,evaluados,num_evaluados,total_evaluaciones,ultimo_acceso,nivel_acceso) VALUES (2053,'LICENCIATURA','gabriela.garibay','GGG1774','TOMAR DEL SND','GARIBAY GARCIA GABRIELA','PROFESORES','','FEMENINO','ACTIVO','',0,0,'','PROFESOR');</v>
      </c>
    </row>
    <row r="55" spans="1:12" x14ac:dyDescent="0.35">
      <c r="A55" s="21">
        <v>2054</v>
      </c>
      <c r="B55" s="20" t="s">
        <v>5</v>
      </c>
      <c r="C55" s="15" t="s">
        <v>2852</v>
      </c>
      <c r="D55" t="s">
        <v>2958</v>
      </c>
      <c r="E55" s="19" t="s">
        <v>1149</v>
      </c>
      <c r="F55" t="s">
        <v>1911</v>
      </c>
      <c r="G55" s="19" t="s">
        <v>2789</v>
      </c>
      <c r="I55" t="s">
        <v>2242</v>
      </c>
      <c r="J55" s="15" t="s">
        <v>1786</v>
      </c>
      <c r="K55" s="2" t="str">
        <f t="shared" si="0"/>
        <v>2054,'LICENCIATURA','alejandro.lagos','LLA2001','TOMAR DEL SND','LAGOS LOPEZ ALEJANDRO GABRIEL','PROFESORES','','MASCULINO','ACTIVO','',0,0,'','PROFESOR'</v>
      </c>
      <c r="L55" s="2" t="str">
        <f>CONCATENATE($K$1,K55,");")</f>
        <v>INSERT INTO participantes (id,nivel,correo,matricula,clave,nombre,carrera,grado,sexo,situacion,evaluados,num_evaluados,total_evaluaciones,ultimo_acceso,nivel_acceso) VALUES (2054,'LICENCIATURA','alejandro.lagos','LLA2001','TOMAR DEL SND','LAGOS LOPEZ ALEJANDRO GABRIEL','PROFESORES','','MASCULINO','ACTIVO','',0,0,'','PROFESOR');</v>
      </c>
    </row>
    <row r="56" spans="1:12" x14ac:dyDescent="0.35">
      <c r="A56" s="21">
        <v>2055</v>
      </c>
      <c r="B56" s="20" t="s">
        <v>5</v>
      </c>
      <c r="C56" s="15" t="s">
        <v>2853</v>
      </c>
      <c r="D56" t="s">
        <v>2959</v>
      </c>
      <c r="E56" s="19" t="s">
        <v>1149</v>
      </c>
      <c r="F56" t="s">
        <v>1912</v>
      </c>
      <c r="G56" s="19" t="s">
        <v>2789</v>
      </c>
      <c r="I56" t="s">
        <v>2243</v>
      </c>
      <c r="J56" s="15" t="s">
        <v>1786</v>
      </c>
      <c r="K56" s="2" t="str">
        <f t="shared" si="0"/>
        <v>2055,'LICENCIATURA','ana.ramos','RDA2045','TOMAR DEL SND','RAMOS DE LA TORRE ANA LAURA','PROFESORES','','FEMENINO','ACTIVO','',0,0,'','PROFESOR'</v>
      </c>
      <c r="L56" s="2" t="str">
        <f>CONCATENATE($K$1,K56,");")</f>
        <v>INSERT INTO participantes (id,nivel,correo,matricula,clave,nombre,carrera,grado,sexo,situacion,evaluados,num_evaluados,total_evaluaciones,ultimo_acceso,nivel_acceso) VALUES (2055,'LICENCIATURA','ana.ramos','RDA2045','TOMAR DEL SND','RAMOS DE LA TORRE ANA LAURA','PROFESORES','','FEMENINO','ACTIVO','',0,0,'','PROFESOR');</v>
      </c>
    </row>
    <row r="57" spans="1:12" x14ac:dyDescent="0.35">
      <c r="A57" s="21">
        <v>2056</v>
      </c>
      <c r="B57" s="20" t="s">
        <v>5</v>
      </c>
      <c r="C57" s="15" t="s">
        <v>2854</v>
      </c>
      <c r="D57" t="s">
        <v>3015</v>
      </c>
      <c r="E57" s="19" t="s">
        <v>1149</v>
      </c>
      <c r="F57" t="s">
        <v>1913</v>
      </c>
      <c r="G57" s="19" t="s">
        <v>2789</v>
      </c>
      <c r="I57" t="s">
        <v>2242</v>
      </c>
      <c r="J57" s="15" t="s">
        <v>1786</v>
      </c>
      <c r="K57" s="2" t="str">
        <f t="shared" si="0"/>
        <v>2056,'LICENCIATURA','rafael.trujillo','TTR1680','TOMAR DEL SND','TRUJILLO TORRES RAFAEL','PROFESORES','','MASCULINO','ACTIVO','',0,0,'','PROFESOR'</v>
      </c>
      <c r="L57" s="2" t="str">
        <f>CONCATENATE($K$1,K57,");")</f>
        <v>INSERT INTO participantes (id,nivel,correo,matricula,clave,nombre,carrera,grado,sexo,situacion,evaluados,num_evaluados,total_evaluaciones,ultimo_acceso,nivel_acceso) VALUES (2056,'LICENCIATURA','rafael.trujillo','TTR1680','TOMAR DEL SND','TRUJILLO TORRES RAFAEL','PROFESORES','','MASCULINO','ACTIVO','',0,0,'','PROFESOR');</v>
      </c>
    </row>
    <row r="58" spans="1:12" x14ac:dyDescent="0.35">
      <c r="A58" s="21">
        <v>2057</v>
      </c>
      <c r="B58" s="20" t="s">
        <v>5</v>
      </c>
      <c r="C58" s="15" t="s">
        <v>2855</v>
      </c>
      <c r="D58" t="s">
        <v>3016</v>
      </c>
      <c r="E58" s="19" t="s">
        <v>1149</v>
      </c>
      <c r="F58" t="s">
        <v>1914</v>
      </c>
      <c r="G58" s="19" t="s">
        <v>2789</v>
      </c>
      <c r="I58" t="s">
        <v>2242</v>
      </c>
      <c r="J58" s="15" t="s">
        <v>1786</v>
      </c>
      <c r="K58" s="2" t="str">
        <f t="shared" si="0"/>
        <v>2057,'LICENCIATURA','ciro.zarate','ZTC1408','TOMAR DEL SND','ZARATE  TOMAS CIRO','PROFESORES','','MASCULINO','ACTIVO','',0,0,'','PROFESOR'</v>
      </c>
      <c r="L58" s="2" t="str">
        <f>CONCATENATE($K$1,K58,");")</f>
        <v>INSERT INTO participantes (id,nivel,correo,matricula,clave,nombre,carrera,grado,sexo,situacion,evaluados,num_evaluados,total_evaluaciones,ultimo_acceso,nivel_acceso) VALUES (2057,'LICENCIATURA','ciro.zarate','ZTC1408','TOMAR DEL SND','ZARATE  TOMAS CIRO','PROFESORES','','MASCULINO','ACTIVO','',0,0,'','PROFESOR');</v>
      </c>
    </row>
    <row r="59" spans="1:12" x14ac:dyDescent="0.35">
      <c r="A59" s="21">
        <v>2058</v>
      </c>
      <c r="B59" s="20" t="s">
        <v>5</v>
      </c>
      <c r="C59" s="15" t="s">
        <v>2857</v>
      </c>
      <c r="D59" t="s">
        <v>3018</v>
      </c>
      <c r="E59" s="19" t="s">
        <v>1149</v>
      </c>
      <c r="F59" t="s">
        <v>1916</v>
      </c>
      <c r="G59" s="19" t="s">
        <v>2789</v>
      </c>
      <c r="I59" t="s">
        <v>2242</v>
      </c>
      <c r="J59" s="15" t="s">
        <v>1786</v>
      </c>
      <c r="K59" s="2" t="str">
        <f t="shared" si="0"/>
        <v>2058,'LICENCIATURA','jose.rodriguez','RMJ1853','TOMAR DEL SND','RODRIGUEZ MIRANDA JOSE BENJAMIN','PROFESORES','','MASCULINO','ACTIVO','',0,0,'','PROFESOR'</v>
      </c>
      <c r="L59" s="2" t="str">
        <f>CONCATENATE($K$1,K59,");")</f>
        <v>INSERT INTO participantes (id,nivel,correo,matricula,clave,nombre,carrera,grado,sexo,situacion,evaluados,num_evaluados,total_evaluaciones,ultimo_acceso,nivel_acceso) VALUES (2058,'LICENCIATURA','jose.rodriguez','RMJ1853','TOMAR DEL SND','RODRIGUEZ MIRANDA JOSE BENJAMIN','PROFESORES','','MASCULINO','ACTIVO','',0,0,'','PROFESOR');</v>
      </c>
    </row>
    <row r="60" spans="1:12" x14ac:dyDescent="0.35">
      <c r="A60" s="21">
        <v>2059</v>
      </c>
      <c r="B60" s="20" t="s">
        <v>5</v>
      </c>
      <c r="C60" s="15" t="s">
        <v>2858</v>
      </c>
      <c r="D60" t="s">
        <v>3019</v>
      </c>
      <c r="E60" s="19" t="s">
        <v>1149</v>
      </c>
      <c r="F60" t="s">
        <v>1917</v>
      </c>
      <c r="G60" s="19" t="s">
        <v>2789</v>
      </c>
      <c r="I60" t="s">
        <v>2242</v>
      </c>
      <c r="J60" s="15" t="s">
        <v>1786</v>
      </c>
      <c r="K60" s="2" t="str">
        <f t="shared" si="0"/>
        <v>2059,'LICENCIATURA','emmanuel.saldivar','SE0523','TOMAR DEL SND','SALDIVAR OROZCO EMMANUEL','PROFESORES','','MASCULINO','ACTIVO','',0,0,'','PROFESOR'</v>
      </c>
      <c r="L60" s="2" t="str">
        <f>CONCATENATE($K$1,K60,");")</f>
        <v>INSERT INTO participantes (id,nivel,correo,matricula,clave,nombre,carrera,grado,sexo,situacion,evaluados,num_evaluados,total_evaluaciones,ultimo_acceso,nivel_acceso) VALUES (2059,'LICENCIATURA','emmanuel.saldivar','SE0523','TOMAR DEL SND','SALDIVAR OROZCO EMMANUEL','PROFESORES','','MASCULINO','ACTIVO','',0,0,'','PROFESOR');</v>
      </c>
    </row>
    <row r="61" spans="1:12" x14ac:dyDescent="0.35">
      <c r="A61" s="21">
        <v>2060</v>
      </c>
      <c r="B61" s="20" t="s">
        <v>5</v>
      </c>
      <c r="C61" s="15" t="s">
        <v>2862</v>
      </c>
      <c r="D61" t="s">
        <v>3023</v>
      </c>
      <c r="E61" s="19" t="s">
        <v>1149</v>
      </c>
      <c r="F61" t="s">
        <v>1921</v>
      </c>
      <c r="G61" s="19" t="s">
        <v>2789</v>
      </c>
      <c r="I61" t="s">
        <v>2243</v>
      </c>
      <c r="J61" s="15" t="s">
        <v>1786</v>
      </c>
      <c r="K61" s="2" t="str">
        <f t="shared" si="0"/>
        <v>2060,'LICENCIATURA','giselle.andrade','AHG0679','TOMAR DEL SND','ANDRADE HERNANDEZ GISELLE','PROFESORES','','FEMENINO','ACTIVO','',0,0,'','PROFESOR'</v>
      </c>
      <c r="L61" s="2" t="str">
        <f>CONCATENATE($K$1,K61,");")</f>
        <v>INSERT INTO participantes (id,nivel,correo,matricula,clave,nombre,carrera,grado,sexo,situacion,evaluados,num_evaluados,total_evaluaciones,ultimo_acceso,nivel_acceso) VALUES (2060,'LICENCIATURA','giselle.andrade','AHG0679','TOMAR DEL SND','ANDRADE HERNANDEZ GISELLE','PROFESORES','','FEMENINO','ACTIVO','',0,0,'','PROFESOR');</v>
      </c>
    </row>
    <row r="62" spans="1:12" x14ac:dyDescent="0.35">
      <c r="A62" s="21">
        <v>2061</v>
      </c>
      <c r="B62" s="20" t="s">
        <v>5</v>
      </c>
      <c r="C62" s="15" t="s">
        <v>2863</v>
      </c>
      <c r="D62" t="s">
        <v>3024</v>
      </c>
      <c r="E62" s="19" t="s">
        <v>1149</v>
      </c>
      <c r="F62" t="s">
        <v>1922</v>
      </c>
      <c r="G62" s="19" t="s">
        <v>2789</v>
      </c>
      <c r="I62" t="s">
        <v>2242</v>
      </c>
      <c r="J62" s="15" t="s">
        <v>1786</v>
      </c>
      <c r="K62" s="2" t="str">
        <f t="shared" si="0"/>
        <v>2061,'LICENCIATURA','eliasin.albores','AME2063','TOMAR DEL SND','ALBORES MONTOYA ELIASIN ALEJANDRO','PROFESORES','','MASCULINO','ACTIVO','',0,0,'','PROFESOR'</v>
      </c>
      <c r="L62" s="2" t="str">
        <f>CONCATENATE($K$1,K62,");")</f>
        <v>INSERT INTO participantes (id,nivel,correo,matricula,clave,nombre,carrera,grado,sexo,situacion,evaluados,num_evaluados,total_evaluaciones,ultimo_acceso,nivel_acceso) VALUES (2061,'LICENCIATURA','eliasin.albores','AME2063','TOMAR DEL SND','ALBORES MONTOYA ELIASIN ALEJANDRO','PROFESORES','','MASCULINO','ACTIVO','',0,0,'','PROFESOR');</v>
      </c>
    </row>
    <row r="63" spans="1:12" x14ac:dyDescent="0.35">
      <c r="A63" s="21">
        <v>2062</v>
      </c>
      <c r="B63" s="20" t="s">
        <v>5</v>
      </c>
      <c r="C63" s="15" t="s">
        <v>2864</v>
      </c>
      <c r="D63" t="s">
        <v>3025</v>
      </c>
      <c r="E63" s="19" t="s">
        <v>1149</v>
      </c>
      <c r="F63" t="s">
        <v>1923</v>
      </c>
      <c r="G63" s="19" t="s">
        <v>2789</v>
      </c>
      <c r="I63" t="s">
        <v>2242</v>
      </c>
      <c r="J63" s="15" t="s">
        <v>1786</v>
      </c>
      <c r="K63" s="2" t="str">
        <f t="shared" si="0"/>
        <v>2062,'LICENCIATURA','alfredo.rubio','RDA1460','TOMAR DEL SND','RUBIO DELGADO ALFREDO','PROFESORES','','MASCULINO','ACTIVO','',0,0,'','PROFESOR'</v>
      </c>
      <c r="L63" s="2" t="str">
        <f>CONCATENATE($K$1,K63,");")</f>
        <v>INSERT INTO participantes (id,nivel,correo,matricula,clave,nombre,carrera,grado,sexo,situacion,evaluados,num_evaluados,total_evaluaciones,ultimo_acceso,nivel_acceso) VALUES (2062,'LICENCIATURA','alfredo.rubio','RDA1460','TOMAR DEL SND','RUBIO DELGADO ALFREDO','PROFESORES','','MASCULINO','ACTIVO','',0,0,'','PROFESOR');</v>
      </c>
    </row>
    <row r="64" spans="1:12" x14ac:dyDescent="0.35">
      <c r="A64" s="21">
        <v>2063</v>
      </c>
      <c r="B64" s="20" t="s">
        <v>5</v>
      </c>
      <c r="C64" s="15" t="s">
        <v>2865</v>
      </c>
      <c r="D64" t="s">
        <v>3026</v>
      </c>
      <c r="E64" s="19" t="s">
        <v>1149</v>
      </c>
      <c r="F64" t="s">
        <v>1924</v>
      </c>
      <c r="G64" s="19" t="s">
        <v>2789</v>
      </c>
      <c r="I64" t="s">
        <v>2242</v>
      </c>
      <c r="J64" s="15" t="s">
        <v>1786</v>
      </c>
      <c r="K64" s="2" t="str">
        <f t="shared" si="0"/>
        <v>2063,'LICENCIATURA','juan.rodriguez','RCJ1881','TOMAR DEL SND','RODRIGUEZ CABRERA JUAN JOSE','PROFESORES','','MASCULINO','ACTIVO','',0,0,'','PROFESOR'</v>
      </c>
      <c r="L64" s="2" t="str">
        <f>CONCATENATE($K$1,K64,");")</f>
        <v>INSERT INTO participantes (id,nivel,correo,matricula,clave,nombre,carrera,grado,sexo,situacion,evaluados,num_evaluados,total_evaluaciones,ultimo_acceso,nivel_acceso) VALUES (2063,'LICENCIATURA','juan.rodriguez','RCJ1881','TOMAR DEL SND','RODRIGUEZ CABRERA JUAN JOSE','PROFESORES','','MASCULINO','ACTIVO','',0,0,'','PROFESOR');</v>
      </c>
    </row>
    <row r="65" spans="1:12" x14ac:dyDescent="0.35">
      <c r="A65" s="21">
        <v>2064</v>
      </c>
      <c r="B65" s="20" t="s">
        <v>5</v>
      </c>
      <c r="C65" s="15" t="s">
        <v>2866</v>
      </c>
      <c r="D65" t="s">
        <v>3027</v>
      </c>
      <c r="E65" s="19" t="s">
        <v>1149</v>
      </c>
      <c r="F65" t="s">
        <v>1925</v>
      </c>
      <c r="G65" s="19" t="s">
        <v>2789</v>
      </c>
      <c r="I65" t="s">
        <v>2242</v>
      </c>
      <c r="J65" s="15" t="s">
        <v>1786</v>
      </c>
      <c r="K65" s="2" t="str">
        <f t="shared" si="0"/>
        <v>2064,'LICENCIATURA','enrique.gonzaleza','GFJ1530','TOMAR DEL SND','GARCIA FLORES JOSE LUIS','PROFESORES','','MASCULINO','ACTIVO','',0,0,'','PROFESOR'</v>
      </c>
      <c r="L65" s="2" t="str">
        <f>CONCATENATE($K$1,K65,");")</f>
        <v>INSERT INTO participantes (id,nivel,correo,matricula,clave,nombre,carrera,grado,sexo,situacion,evaluados,num_evaluados,total_evaluaciones,ultimo_acceso,nivel_acceso) VALUES (2064,'LICENCIATURA','enrique.gonzaleza','GFJ1530','TOMAR DEL SND','GARCIA FLORES JOSE LUIS','PROFESORES','','MASCULINO','ACTIVO','',0,0,'','PROFESOR');</v>
      </c>
    </row>
    <row r="66" spans="1:12" x14ac:dyDescent="0.35">
      <c r="A66" s="21">
        <v>2065</v>
      </c>
      <c r="B66" s="20" t="s">
        <v>5</v>
      </c>
      <c r="C66" s="15" t="s">
        <v>2867</v>
      </c>
      <c r="D66" t="s">
        <v>3028</v>
      </c>
      <c r="E66" s="19" t="s">
        <v>1149</v>
      </c>
      <c r="F66" t="s">
        <v>1926</v>
      </c>
      <c r="G66" s="19" t="s">
        <v>2789</v>
      </c>
      <c r="I66" t="s">
        <v>2242</v>
      </c>
      <c r="J66" s="15" t="s">
        <v>1786</v>
      </c>
      <c r="K66" s="2" t="str">
        <f t="shared" si="0"/>
        <v>2065,'LICENCIATURA','victor.quezada','QNV1347','TOMAR DEL SND','QUEZADA NAVARRO VICTOR MANUEL','PROFESORES','','MASCULINO','ACTIVO','',0,0,'','PROFESOR'</v>
      </c>
      <c r="L66" s="2" t="str">
        <f>CONCATENATE($K$1,K66,");")</f>
        <v>INSERT INTO participantes (id,nivel,correo,matricula,clave,nombre,carrera,grado,sexo,situacion,evaluados,num_evaluados,total_evaluaciones,ultimo_acceso,nivel_acceso) VALUES (2065,'LICENCIATURA','victor.quezada','QNV1347','TOMAR DEL SND','QUEZADA NAVARRO VICTOR MANUEL','PROFESORES','','MASCULINO','ACTIVO','',0,0,'','PROFESOR');</v>
      </c>
    </row>
    <row r="67" spans="1:12" x14ac:dyDescent="0.35">
      <c r="A67" s="21">
        <v>2066</v>
      </c>
      <c r="B67" s="20" t="s">
        <v>5</v>
      </c>
      <c r="C67" s="15" t="s">
        <v>2868</v>
      </c>
      <c r="D67" t="s">
        <v>3029</v>
      </c>
      <c r="E67" s="19" t="s">
        <v>1149</v>
      </c>
      <c r="F67" t="s">
        <v>1927</v>
      </c>
      <c r="G67" s="19" t="s">
        <v>2789</v>
      </c>
      <c r="I67" t="s">
        <v>2242</v>
      </c>
      <c r="J67" s="15" t="s">
        <v>1786</v>
      </c>
      <c r="K67" s="2" t="str">
        <f t="shared" ref="K67:K130" si="1">CONCATENATE(A67,",'",B67,"','",C67,"','",D67,"','",E67,"','",F67,"','",G67,"','",H67,"','",UPPER(I67),"','",UPPER(J67),"','',0,0,'','PROFESOR'")</f>
        <v>2066,'LICENCIATURA','fernando.sanchez','SLF1932','TOMAR DEL SND','SANCHEZ LOPEZ FERNANDO','PROFESORES','','MASCULINO','ACTIVO','',0,0,'','PROFESOR'</v>
      </c>
      <c r="L67" s="2" t="str">
        <f>CONCATENATE($K$1,K67,");")</f>
        <v>INSERT INTO participantes (id,nivel,correo,matricula,clave,nombre,carrera,grado,sexo,situacion,evaluados,num_evaluados,total_evaluaciones,ultimo_acceso,nivel_acceso) VALUES (2066,'LICENCIATURA','fernando.sanchez','SLF1932','TOMAR DEL SND','SANCHEZ LOPEZ FERNANDO','PROFESORES','','MASCULINO','ACTIVO','',0,0,'','PROFESOR');</v>
      </c>
    </row>
    <row r="68" spans="1:12" x14ac:dyDescent="0.35">
      <c r="A68" s="21">
        <v>2067</v>
      </c>
      <c r="B68" s="20" t="s">
        <v>5</v>
      </c>
      <c r="C68" s="15" t="s">
        <v>2869</v>
      </c>
      <c r="D68" t="s">
        <v>3030</v>
      </c>
      <c r="E68" s="19" t="s">
        <v>1149</v>
      </c>
      <c r="F68" t="s">
        <v>1928</v>
      </c>
      <c r="G68" s="19" t="s">
        <v>2789</v>
      </c>
      <c r="I68" t="s">
        <v>2242</v>
      </c>
      <c r="J68" s="15" t="s">
        <v>1786</v>
      </c>
      <c r="K68" s="2" t="str">
        <f t="shared" si="1"/>
        <v>2067,'LICENCIATURA','enrique.jimenez','JAE1729','TOMAR DEL SND','JIMENEZ ANDALON ENRIQUE','PROFESORES','','MASCULINO','ACTIVO','',0,0,'','PROFESOR'</v>
      </c>
      <c r="L68" s="2" t="str">
        <f>CONCATENATE($K$1,K68,");")</f>
        <v>INSERT INTO participantes (id,nivel,correo,matricula,clave,nombre,carrera,grado,sexo,situacion,evaluados,num_evaluados,total_evaluaciones,ultimo_acceso,nivel_acceso) VALUES (2067,'LICENCIATURA','enrique.jimenez','JAE1729','TOMAR DEL SND','JIMENEZ ANDALON ENRIQUE','PROFESORES','','MASCULINO','ACTIVO','',0,0,'','PROFESOR');</v>
      </c>
    </row>
    <row r="69" spans="1:12" x14ac:dyDescent="0.35">
      <c r="A69" s="21">
        <v>2068</v>
      </c>
      <c r="B69" s="20" t="s">
        <v>5</v>
      </c>
      <c r="C69" s="15" t="s">
        <v>2870</v>
      </c>
      <c r="D69" t="s">
        <v>3031</v>
      </c>
      <c r="E69" s="19" t="s">
        <v>1149</v>
      </c>
      <c r="F69" t="s">
        <v>1929</v>
      </c>
      <c r="G69" s="19" t="s">
        <v>2789</v>
      </c>
      <c r="I69" t="s">
        <v>2243</v>
      </c>
      <c r="J69" s="15" t="s">
        <v>1786</v>
      </c>
      <c r="K69" s="2" t="str">
        <f t="shared" si="1"/>
        <v>2068,'LICENCIATURA','bertha.ferrer','FLB0895','TOMAR DEL SND','FERRER LOPEZ BERTHA LUCRECIA','PROFESORES','','FEMENINO','ACTIVO','',0,0,'','PROFESOR'</v>
      </c>
      <c r="L69" s="2" t="str">
        <f>CONCATENATE($K$1,K69,");")</f>
        <v>INSERT INTO participantes (id,nivel,correo,matricula,clave,nombre,carrera,grado,sexo,situacion,evaluados,num_evaluados,total_evaluaciones,ultimo_acceso,nivel_acceso) VALUES (2068,'LICENCIATURA','bertha.ferrer','FLB0895','TOMAR DEL SND','FERRER LOPEZ BERTHA LUCRECIA','PROFESORES','','FEMENINO','ACTIVO','',0,0,'','PROFESOR');</v>
      </c>
    </row>
    <row r="70" spans="1:12" x14ac:dyDescent="0.35">
      <c r="A70" s="21">
        <v>2069</v>
      </c>
      <c r="B70" s="20" t="s">
        <v>5</v>
      </c>
      <c r="C70" s="15" t="s">
        <v>2860</v>
      </c>
      <c r="D70" t="s">
        <v>3021</v>
      </c>
      <c r="E70" s="19" t="s">
        <v>1149</v>
      </c>
      <c r="F70" t="s">
        <v>1919</v>
      </c>
      <c r="G70" s="19" t="s">
        <v>2789</v>
      </c>
      <c r="I70" t="s">
        <v>2242</v>
      </c>
      <c r="J70" s="15" t="s">
        <v>1786</v>
      </c>
      <c r="K70" s="2" t="str">
        <f t="shared" si="1"/>
        <v>2069,'LICENCIATURA','victor.medel','MJV1996','TOMAR DEL SND','MEDEL JUAREZ VICTOR MANUEL','PROFESORES','','MASCULINO','ACTIVO','',0,0,'','PROFESOR'</v>
      </c>
      <c r="L70" s="2" t="str">
        <f>CONCATENATE($K$1,K70,");")</f>
        <v>INSERT INTO participantes (id,nivel,correo,matricula,clave,nombre,carrera,grado,sexo,situacion,evaluados,num_evaluados,total_evaluaciones,ultimo_acceso,nivel_acceso) VALUES (2069,'LICENCIATURA','victor.medel','MJV1996','TOMAR DEL SND','MEDEL JUAREZ VICTOR MANUEL','PROFESORES','','MASCULINO','ACTIVO','',0,0,'','PROFESOR');</v>
      </c>
    </row>
    <row r="71" spans="1:12" x14ac:dyDescent="0.35">
      <c r="A71" s="21">
        <v>2070</v>
      </c>
      <c r="B71" s="20" t="s">
        <v>5</v>
      </c>
      <c r="C71" s="15" t="s">
        <v>2871</v>
      </c>
      <c r="D71" t="s">
        <v>3032</v>
      </c>
      <c r="E71" s="19" t="s">
        <v>1149</v>
      </c>
      <c r="F71" t="s">
        <v>1930</v>
      </c>
      <c r="G71" s="19" t="s">
        <v>2789</v>
      </c>
      <c r="I71" t="s">
        <v>2242</v>
      </c>
      <c r="J71" s="15" t="s">
        <v>1786</v>
      </c>
      <c r="K71" s="2" t="str">
        <f t="shared" si="1"/>
        <v>2070,'LICENCIATURA','oswaldo.hernandez','HAO2066','TOMAR DEL SND','HERNANDEZ ARRAMBIDE OSWALDO','PROFESORES','','MASCULINO','ACTIVO','',0,0,'','PROFESOR'</v>
      </c>
      <c r="L71" s="2" t="str">
        <f>CONCATENATE($K$1,K71,");")</f>
        <v>INSERT INTO participantes (id,nivel,correo,matricula,clave,nombre,carrera,grado,sexo,situacion,evaluados,num_evaluados,total_evaluaciones,ultimo_acceso,nivel_acceso) VALUES (2070,'LICENCIATURA','oswaldo.hernandez','HAO2066','TOMAR DEL SND','HERNANDEZ ARRAMBIDE OSWALDO','PROFESORES','','MASCULINO','ACTIVO','',0,0,'','PROFESOR');</v>
      </c>
    </row>
    <row r="72" spans="1:12" x14ac:dyDescent="0.35">
      <c r="A72" s="21">
        <v>2071</v>
      </c>
      <c r="B72" s="20" t="s">
        <v>5</v>
      </c>
      <c r="C72" s="15" t="s">
        <v>2872</v>
      </c>
      <c r="D72" t="s">
        <v>3033</v>
      </c>
      <c r="E72" s="19" t="s">
        <v>1149</v>
      </c>
      <c r="F72" t="s">
        <v>1931</v>
      </c>
      <c r="G72" s="19" t="s">
        <v>2789</v>
      </c>
      <c r="I72" t="s">
        <v>2242</v>
      </c>
      <c r="J72" s="15" t="s">
        <v>1786</v>
      </c>
      <c r="K72" s="2" t="str">
        <f t="shared" si="1"/>
        <v>2071,'LICENCIATURA','juan.montano','MAJ1442','TOMAR DEL SND','MONTAÑO ALVIZO JUAN CARLOS','PROFESORES','','MASCULINO','ACTIVO','',0,0,'','PROFESOR'</v>
      </c>
      <c r="L72" s="2" t="str">
        <f>CONCATENATE($K$1,K72,");")</f>
        <v>INSERT INTO participantes (id,nivel,correo,matricula,clave,nombre,carrera,grado,sexo,situacion,evaluados,num_evaluados,total_evaluaciones,ultimo_acceso,nivel_acceso) VALUES (2071,'LICENCIATURA','juan.montano','MAJ1442','TOMAR DEL SND','MONTAÑO ALVIZO JUAN CARLOS','PROFESORES','','MASCULINO','ACTIVO','',0,0,'','PROFESOR');</v>
      </c>
    </row>
    <row r="73" spans="1:12" x14ac:dyDescent="0.35">
      <c r="A73" s="21">
        <v>2072</v>
      </c>
      <c r="B73" s="20" t="s">
        <v>5</v>
      </c>
      <c r="C73" s="15" t="s">
        <v>2873</v>
      </c>
      <c r="D73" t="s">
        <v>3034</v>
      </c>
      <c r="E73" s="19" t="s">
        <v>1149</v>
      </c>
      <c r="F73" t="s">
        <v>1932</v>
      </c>
      <c r="G73" s="19" t="s">
        <v>2789</v>
      </c>
      <c r="I73" t="s">
        <v>2242</v>
      </c>
      <c r="J73" s="15" t="s">
        <v>1786</v>
      </c>
      <c r="K73" s="2" t="str">
        <f t="shared" si="1"/>
        <v>2072,'LICENCIATURA','daniel.lara','LFD1482','TOMAR DEL SND','LARA FAVELA DANIEL','PROFESORES','','MASCULINO','ACTIVO','',0,0,'','PROFESOR'</v>
      </c>
      <c r="L73" s="2" t="str">
        <f>CONCATENATE($K$1,K73,");")</f>
        <v>INSERT INTO participantes (id,nivel,correo,matricula,clave,nombre,carrera,grado,sexo,situacion,evaluados,num_evaluados,total_evaluaciones,ultimo_acceso,nivel_acceso) VALUES (2072,'LICENCIATURA','daniel.lara','LFD1482','TOMAR DEL SND','LARA FAVELA DANIEL','PROFESORES','','MASCULINO','ACTIVO','',0,0,'','PROFESOR');</v>
      </c>
    </row>
    <row r="74" spans="1:12" x14ac:dyDescent="0.35">
      <c r="A74" s="21">
        <v>2073</v>
      </c>
      <c r="B74" s="20" t="s">
        <v>5</v>
      </c>
      <c r="C74" s="15" t="s">
        <v>2861</v>
      </c>
      <c r="D74" t="s">
        <v>3022</v>
      </c>
      <c r="E74" s="19" t="s">
        <v>1149</v>
      </c>
      <c r="F74" t="s">
        <v>1920</v>
      </c>
      <c r="G74" s="19" t="s">
        <v>2789</v>
      </c>
      <c r="I74" t="s">
        <v>2242</v>
      </c>
      <c r="J74" s="15" t="s">
        <v>1786</v>
      </c>
      <c r="K74" s="2" t="str">
        <f t="shared" si="1"/>
        <v>2073,'LICENCIATURA','daisuke.shindo','SD0167','TOMAR DEL SND','SHINDO  DAISUKE','PROFESORES','','MASCULINO','ACTIVO','',0,0,'','PROFESOR'</v>
      </c>
      <c r="L74" s="2" t="str">
        <f>CONCATENATE($K$1,K74,");")</f>
        <v>INSERT INTO participantes (id,nivel,correo,matricula,clave,nombre,carrera,grado,sexo,situacion,evaluados,num_evaluados,total_evaluaciones,ultimo_acceso,nivel_acceso) VALUES (2073,'LICENCIATURA','daisuke.shindo','SD0167','TOMAR DEL SND','SHINDO  DAISUKE','PROFESORES','','MASCULINO','ACTIVO','',0,0,'','PROFESOR');</v>
      </c>
    </row>
    <row r="75" spans="1:12" x14ac:dyDescent="0.35">
      <c r="A75" s="21">
        <v>2074</v>
      </c>
      <c r="B75" s="20" t="s">
        <v>5</v>
      </c>
      <c r="C75" s="15" t="s">
        <v>2874</v>
      </c>
      <c r="D75" t="s">
        <v>3035</v>
      </c>
      <c r="E75" s="19" t="s">
        <v>1149</v>
      </c>
      <c r="F75" t="s">
        <v>1933</v>
      </c>
      <c r="G75" s="19" t="s">
        <v>2789</v>
      </c>
      <c r="I75" t="s">
        <v>2242</v>
      </c>
      <c r="J75" s="15" t="s">
        <v>1786</v>
      </c>
      <c r="K75" s="2" t="str">
        <f t="shared" si="1"/>
        <v>2074,'LICENCIATURA','cesar.zapari','ZRC1887','TOMAR DEL SND','ZAPARI ROMERO CESAR FERNANDO','PROFESORES','','MASCULINO','ACTIVO','',0,0,'','PROFESOR'</v>
      </c>
      <c r="L75" s="2" t="str">
        <f>CONCATENATE($K$1,K75,");")</f>
        <v>INSERT INTO participantes (id,nivel,correo,matricula,clave,nombre,carrera,grado,sexo,situacion,evaluados,num_evaluados,total_evaluaciones,ultimo_acceso,nivel_acceso) VALUES (2074,'LICENCIATURA','cesar.zapari','ZRC1887','TOMAR DEL SND','ZAPARI ROMERO CESAR FERNANDO','PROFESORES','','MASCULINO','ACTIVO','',0,0,'','PROFESOR');</v>
      </c>
    </row>
    <row r="76" spans="1:12" x14ac:dyDescent="0.35">
      <c r="A76" s="21">
        <v>2075</v>
      </c>
      <c r="B76" s="20" t="s">
        <v>5</v>
      </c>
      <c r="C76" s="15" t="s">
        <v>2875</v>
      </c>
      <c r="D76" t="s">
        <v>3036</v>
      </c>
      <c r="E76" s="19" t="s">
        <v>1149</v>
      </c>
      <c r="F76" t="s">
        <v>1934</v>
      </c>
      <c r="G76" s="19" t="s">
        <v>2789</v>
      </c>
      <c r="I76" t="s">
        <v>2243</v>
      </c>
      <c r="J76" s="15" t="s">
        <v>1786</v>
      </c>
      <c r="K76" s="2" t="str">
        <f t="shared" si="1"/>
        <v>2075,'LICENCIATURA','fatima.vela','VTF1860','TOMAR DEL SND','VELA TORRES FATIMA ALEJANDRA','PROFESORES','','FEMENINO','ACTIVO','',0,0,'','PROFESOR'</v>
      </c>
      <c r="L76" s="2" t="str">
        <f>CONCATENATE($K$1,K76,");")</f>
        <v>INSERT INTO participantes (id,nivel,correo,matricula,clave,nombre,carrera,grado,sexo,situacion,evaluados,num_evaluados,total_evaluaciones,ultimo_acceso,nivel_acceso) VALUES (2075,'LICENCIATURA','fatima.vela','VTF1860','TOMAR DEL SND','VELA TORRES FATIMA ALEJANDRA','PROFESORES','','FEMENINO','ACTIVO','',0,0,'','PROFESOR');</v>
      </c>
    </row>
    <row r="77" spans="1:12" x14ac:dyDescent="0.35">
      <c r="A77" s="21">
        <v>2076</v>
      </c>
      <c r="B77" s="20" t="s">
        <v>5</v>
      </c>
      <c r="C77" s="15" t="s">
        <v>2876</v>
      </c>
      <c r="D77" t="s">
        <v>3037</v>
      </c>
      <c r="E77" s="19" t="s">
        <v>1149</v>
      </c>
      <c r="F77" t="s">
        <v>1935</v>
      </c>
      <c r="G77" s="19" t="s">
        <v>2789</v>
      </c>
      <c r="I77" t="s">
        <v>2242</v>
      </c>
      <c r="J77" s="15" t="s">
        <v>1786</v>
      </c>
      <c r="K77" s="2" t="str">
        <f t="shared" si="1"/>
        <v>2076,'LICENCIATURA','juan.martinez','MJ0221','TOMAR DEL SND','MARTINEZ  ALVARADO JUAN CARLOS','PROFESORES','','MASCULINO','ACTIVO','',0,0,'','PROFESOR'</v>
      </c>
      <c r="L77" s="2" t="str">
        <f>CONCATENATE($K$1,K77,");")</f>
        <v>INSERT INTO participantes (id,nivel,correo,matricula,clave,nombre,carrera,grado,sexo,situacion,evaluados,num_evaluados,total_evaluaciones,ultimo_acceso,nivel_acceso) VALUES (2076,'LICENCIATURA','juan.martinez','MJ0221','TOMAR DEL SND','MARTINEZ  ALVARADO JUAN CARLOS','PROFESORES','','MASCULINO','ACTIVO','',0,0,'','PROFESOR');</v>
      </c>
    </row>
    <row r="78" spans="1:12" x14ac:dyDescent="0.35">
      <c r="A78" s="21">
        <v>2077</v>
      </c>
      <c r="B78" s="20" t="s">
        <v>5</v>
      </c>
      <c r="C78" s="15" t="s">
        <v>2877</v>
      </c>
      <c r="D78" t="s">
        <v>3038</v>
      </c>
      <c r="E78" s="19" t="s">
        <v>1149</v>
      </c>
      <c r="F78" t="s">
        <v>1936</v>
      </c>
      <c r="G78" s="19" t="s">
        <v>2789</v>
      </c>
      <c r="I78" t="s">
        <v>2243</v>
      </c>
      <c r="J78" s="15" t="s">
        <v>1786</v>
      </c>
      <c r="K78" s="2" t="str">
        <f t="shared" si="1"/>
        <v>2077,'LICENCIATURA','ana.nunez','NVA1745','TOMAR DEL SND','NUÑEZ VELAZQUEZ ANA MARIA ','PROFESORES','','FEMENINO','ACTIVO','',0,0,'','PROFESOR'</v>
      </c>
      <c r="L78" s="2" t="str">
        <f>CONCATENATE($K$1,K78,");")</f>
        <v>INSERT INTO participantes (id,nivel,correo,matricula,clave,nombre,carrera,grado,sexo,situacion,evaluados,num_evaluados,total_evaluaciones,ultimo_acceso,nivel_acceso) VALUES (2077,'LICENCIATURA','ana.nunez','NVA1745','TOMAR DEL SND','NUÑEZ VELAZQUEZ ANA MARIA ','PROFESORES','','FEMENINO','ACTIVO','',0,0,'','PROFESOR');</v>
      </c>
    </row>
    <row r="79" spans="1:12" x14ac:dyDescent="0.35">
      <c r="A79" s="21">
        <v>2078</v>
      </c>
      <c r="B79" s="20" t="s">
        <v>5</v>
      </c>
      <c r="C79" s="15" t="s">
        <v>2878</v>
      </c>
      <c r="D79" t="s">
        <v>3039</v>
      </c>
      <c r="E79" s="19" t="s">
        <v>1149</v>
      </c>
      <c r="F79" t="s">
        <v>1937</v>
      </c>
      <c r="G79" s="19" t="s">
        <v>2789</v>
      </c>
      <c r="I79" t="s">
        <v>2242</v>
      </c>
      <c r="J79" s="15" t="s">
        <v>1786</v>
      </c>
      <c r="K79" s="2" t="str">
        <f t="shared" si="1"/>
        <v>2078,'LICENCIATURA','juan.correa','CBJ2070','TOMAR DEL SND','CORREA BALTAZAR JUAN CARLOS','PROFESORES','','MASCULINO','ACTIVO','',0,0,'','PROFESOR'</v>
      </c>
      <c r="L79" s="2" t="str">
        <f>CONCATENATE($K$1,K79,");")</f>
        <v>INSERT INTO participantes (id,nivel,correo,matricula,clave,nombre,carrera,grado,sexo,situacion,evaluados,num_evaluados,total_evaluaciones,ultimo_acceso,nivel_acceso) VALUES (2078,'LICENCIATURA','juan.correa','CBJ2070','TOMAR DEL SND','CORREA BALTAZAR JUAN CARLOS','PROFESORES','','MASCULINO','ACTIVO','',0,0,'','PROFESOR');</v>
      </c>
    </row>
    <row r="80" spans="1:12" x14ac:dyDescent="0.35">
      <c r="A80" s="21">
        <v>2079</v>
      </c>
      <c r="B80" s="20" t="s">
        <v>5</v>
      </c>
      <c r="C80" s="15" t="s">
        <v>2880</v>
      </c>
      <c r="D80" t="s">
        <v>3041</v>
      </c>
      <c r="E80" s="19" t="s">
        <v>1149</v>
      </c>
      <c r="F80" t="s">
        <v>1939</v>
      </c>
      <c r="G80" s="19" t="s">
        <v>2789</v>
      </c>
      <c r="I80" t="s">
        <v>2242</v>
      </c>
      <c r="J80" s="15" t="s">
        <v>1786</v>
      </c>
      <c r="K80" s="2" t="str">
        <f t="shared" si="1"/>
        <v>2079,'LICENCIATURA','osvaldo.ireta','IVO1989','TOMAR DEL SND','IRETA VELAZQUEZ OSVALDO','PROFESORES','','MASCULINO','ACTIVO','',0,0,'','PROFESOR'</v>
      </c>
      <c r="L80" s="2" t="str">
        <f>CONCATENATE($K$1,K80,");")</f>
        <v>INSERT INTO participantes (id,nivel,correo,matricula,clave,nombre,carrera,grado,sexo,situacion,evaluados,num_evaluados,total_evaluaciones,ultimo_acceso,nivel_acceso) VALUES (2079,'LICENCIATURA','osvaldo.ireta','IVO1989','TOMAR DEL SND','IRETA VELAZQUEZ OSVALDO','PROFESORES','','MASCULINO','ACTIVO','',0,0,'','PROFESOR');</v>
      </c>
    </row>
    <row r="81" spans="1:12" x14ac:dyDescent="0.35">
      <c r="A81" s="21">
        <v>2080</v>
      </c>
      <c r="B81" s="20" t="s">
        <v>5</v>
      </c>
      <c r="C81" s="15" t="s">
        <v>2881</v>
      </c>
      <c r="D81" t="s">
        <v>3042</v>
      </c>
      <c r="E81" s="19" t="s">
        <v>1149</v>
      </c>
      <c r="F81" t="s">
        <v>1940</v>
      </c>
      <c r="G81" s="19" t="s">
        <v>2789</v>
      </c>
      <c r="I81" t="s">
        <v>2242</v>
      </c>
      <c r="J81" s="15" t="s">
        <v>1786</v>
      </c>
      <c r="K81" s="2" t="str">
        <f t="shared" si="1"/>
        <v>2080,'LICENCIATURA','santiago.cardenas','CCS0709','TOMAR DEL SND','CARDENAS CASTILLO SANTIAGO','PROFESORES','','MASCULINO','ACTIVO','',0,0,'','PROFESOR'</v>
      </c>
      <c r="L81" s="2" t="str">
        <f>CONCATENATE($K$1,K81,");")</f>
        <v>INSERT INTO participantes (id,nivel,correo,matricula,clave,nombre,carrera,grado,sexo,situacion,evaluados,num_evaluados,total_evaluaciones,ultimo_acceso,nivel_acceso) VALUES (2080,'LICENCIATURA','santiago.cardenas','CCS0709','TOMAR DEL SND','CARDENAS CASTILLO SANTIAGO','PROFESORES','','MASCULINO','ACTIVO','',0,0,'','PROFESOR');</v>
      </c>
    </row>
    <row r="82" spans="1:12" x14ac:dyDescent="0.35">
      <c r="A82" s="21">
        <v>2081</v>
      </c>
      <c r="B82" s="20" t="s">
        <v>5</v>
      </c>
      <c r="C82" s="15" t="s">
        <v>2882</v>
      </c>
      <c r="D82" t="s">
        <v>3043</v>
      </c>
      <c r="E82" s="19" t="s">
        <v>1149</v>
      </c>
      <c r="F82" t="s">
        <v>1941</v>
      </c>
      <c r="G82" s="19" t="s">
        <v>2789</v>
      </c>
      <c r="I82" t="s">
        <v>2242</v>
      </c>
      <c r="J82" s="15" t="s">
        <v>1786</v>
      </c>
      <c r="K82" s="2" t="str">
        <f t="shared" si="1"/>
        <v>2081,'LICENCIATURA','jorge.macias','MGJ1410','TOMAR DEL SND','MACIAS GARZA JORGE ENRIQUE','PROFESORES','','MASCULINO','ACTIVO','',0,0,'','PROFESOR'</v>
      </c>
      <c r="L82" s="2" t="str">
        <f>CONCATENATE($K$1,K82,");")</f>
        <v>INSERT INTO participantes (id,nivel,correo,matricula,clave,nombre,carrera,grado,sexo,situacion,evaluados,num_evaluados,total_evaluaciones,ultimo_acceso,nivel_acceso) VALUES (2081,'LICENCIATURA','jorge.macias','MGJ1410','TOMAR DEL SND','MACIAS GARZA JORGE ENRIQUE','PROFESORES','','MASCULINO','ACTIVO','',0,0,'','PROFESOR');</v>
      </c>
    </row>
    <row r="83" spans="1:12" x14ac:dyDescent="0.35">
      <c r="A83" s="21">
        <v>2082</v>
      </c>
      <c r="B83" s="20" t="s">
        <v>5</v>
      </c>
      <c r="C83" s="15" t="s">
        <v>2884</v>
      </c>
      <c r="D83" t="s">
        <v>3045</v>
      </c>
      <c r="E83" s="19" t="s">
        <v>1149</v>
      </c>
      <c r="F83" t="s">
        <v>1943</v>
      </c>
      <c r="G83" s="19" t="s">
        <v>2789</v>
      </c>
      <c r="I83" t="s">
        <v>2242</v>
      </c>
      <c r="J83" s="15" t="s">
        <v>1786</v>
      </c>
      <c r="K83" s="2" t="str">
        <f t="shared" si="1"/>
        <v>2082,'LICENCIATURA','jose.parra','PAJ1953','TOMAR DEL SND','PARRA ALDRETE JOSE LUIS','PROFESORES','','MASCULINO','ACTIVO','',0,0,'','PROFESOR'</v>
      </c>
      <c r="L83" s="2" t="str">
        <f>CONCATENATE($K$1,K83,");")</f>
        <v>INSERT INTO participantes (id,nivel,correo,matricula,clave,nombre,carrera,grado,sexo,situacion,evaluados,num_evaluados,total_evaluaciones,ultimo_acceso,nivel_acceso) VALUES (2082,'LICENCIATURA','jose.parra','PAJ1953','TOMAR DEL SND','PARRA ALDRETE JOSE LUIS','PROFESORES','','MASCULINO','ACTIVO','',0,0,'','PROFESOR');</v>
      </c>
    </row>
    <row r="84" spans="1:12" x14ac:dyDescent="0.35">
      <c r="A84" s="21">
        <v>2083</v>
      </c>
      <c r="B84" s="20" t="s">
        <v>5</v>
      </c>
      <c r="C84" s="15" t="s">
        <v>2886</v>
      </c>
      <c r="D84" t="s">
        <v>3047</v>
      </c>
      <c r="E84" s="19" t="s">
        <v>1149</v>
      </c>
      <c r="F84" t="s">
        <v>1945</v>
      </c>
      <c r="G84" s="19" t="s">
        <v>2789</v>
      </c>
      <c r="I84" t="s">
        <v>2242</v>
      </c>
      <c r="J84" s="15" t="s">
        <v>1786</v>
      </c>
      <c r="K84" s="2" t="str">
        <f t="shared" si="1"/>
        <v>2083,'LICENCIATURA','rodolfo.salazar','SPR1937','TOMAR DEL SND','SALAZAR PEÑA RODOLFO','PROFESORES','','MASCULINO','ACTIVO','',0,0,'','PROFESOR'</v>
      </c>
      <c r="L84" s="2" t="str">
        <f>CONCATENATE($K$1,K84,");")</f>
        <v>INSERT INTO participantes (id,nivel,correo,matricula,clave,nombre,carrera,grado,sexo,situacion,evaluados,num_evaluados,total_evaluaciones,ultimo_acceso,nivel_acceso) VALUES (2083,'LICENCIATURA','rodolfo.salazar','SPR1937','TOMAR DEL SND','SALAZAR PEÑA RODOLFO','PROFESORES','','MASCULINO','ACTIVO','',0,0,'','PROFESOR');</v>
      </c>
    </row>
    <row r="85" spans="1:12" x14ac:dyDescent="0.35">
      <c r="A85" s="21">
        <v>2084</v>
      </c>
      <c r="B85" s="20" t="s">
        <v>5</v>
      </c>
      <c r="C85" s="15" t="s">
        <v>2888</v>
      </c>
      <c r="D85" t="s">
        <v>3049</v>
      </c>
      <c r="E85" s="19" t="s">
        <v>1149</v>
      </c>
      <c r="F85" t="s">
        <v>1947</v>
      </c>
      <c r="G85" s="19" t="s">
        <v>2789</v>
      </c>
      <c r="I85" t="s">
        <v>2242</v>
      </c>
      <c r="J85" s="15" t="s">
        <v>1786</v>
      </c>
      <c r="K85" s="2" t="str">
        <f t="shared" si="1"/>
        <v>2084,'LICENCIATURA','marco.santacruz','SMM2060','TOMAR DEL SND','SANTACRUZ MOTTE MARCO ANTONIO ','PROFESORES','','MASCULINO','ACTIVO','',0,0,'','PROFESOR'</v>
      </c>
      <c r="L85" s="2" t="str">
        <f>CONCATENATE($K$1,K85,");")</f>
        <v>INSERT INTO participantes (id,nivel,correo,matricula,clave,nombre,carrera,grado,sexo,situacion,evaluados,num_evaluados,total_evaluaciones,ultimo_acceso,nivel_acceso) VALUES (2084,'LICENCIATURA','marco.santacruz','SMM2060','TOMAR DEL SND','SANTACRUZ MOTTE MARCO ANTONIO ','PROFESORES','','MASCULINO','ACTIVO','',0,0,'','PROFESOR');</v>
      </c>
    </row>
    <row r="86" spans="1:12" x14ac:dyDescent="0.35">
      <c r="A86" s="21">
        <v>2085</v>
      </c>
      <c r="B86" s="20" t="s">
        <v>5</v>
      </c>
      <c r="C86" s="15" t="s">
        <v>2791</v>
      </c>
      <c r="D86" t="s">
        <v>2960</v>
      </c>
      <c r="E86" s="19" t="s">
        <v>1149</v>
      </c>
      <c r="F86" t="s">
        <v>1850</v>
      </c>
      <c r="G86" s="19" t="s">
        <v>2789</v>
      </c>
      <c r="I86" t="s">
        <v>2242</v>
      </c>
      <c r="J86" s="15" t="s">
        <v>1786</v>
      </c>
      <c r="K86" s="2" t="str">
        <f t="shared" si="1"/>
        <v>2085,'LICENCIATURA','luis.hernandez','HZL0661','TOMAR DEL SND','HERNANDEZ SALDIVAR LUIS FERNANDO','PROFESORES','','MASCULINO','ACTIVO','',0,0,'','PROFESOR'</v>
      </c>
      <c r="L86" s="2" t="str">
        <f>CONCATENATE($K$1,K86,");")</f>
        <v>INSERT INTO participantes (id,nivel,correo,matricula,clave,nombre,carrera,grado,sexo,situacion,evaluados,num_evaluados,total_evaluaciones,ultimo_acceso,nivel_acceso) VALUES (2085,'LICENCIATURA','luis.hernandez','HZL0661','TOMAR DEL SND','HERNANDEZ SALDIVAR LUIS FERNANDO','PROFESORES','','MASCULINO','ACTIVO','',0,0,'','PROFESOR');</v>
      </c>
    </row>
    <row r="87" spans="1:12" x14ac:dyDescent="0.35">
      <c r="A87" s="21">
        <v>2086</v>
      </c>
      <c r="B87" s="20" t="s">
        <v>5</v>
      </c>
      <c r="C87" s="15" t="s">
        <v>2885</v>
      </c>
      <c r="D87" t="s">
        <v>3046</v>
      </c>
      <c r="E87" s="19" t="s">
        <v>1149</v>
      </c>
      <c r="F87" t="s">
        <v>1944</v>
      </c>
      <c r="G87" s="19" t="s">
        <v>2789</v>
      </c>
      <c r="I87" t="s">
        <v>2242</v>
      </c>
      <c r="J87" s="15" t="s">
        <v>1786</v>
      </c>
      <c r="K87" s="2" t="str">
        <f t="shared" si="1"/>
        <v>2086,'LICENCIATURA','carlos.pena','PMC2057','TOMAR DEL SND','PEÑA MARTIN CARLOS AZAEL','PROFESORES','','MASCULINO','ACTIVO','',0,0,'','PROFESOR'</v>
      </c>
      <c r="L87" s="2" t="str">
        <f>CONCATENATE($K$1,K87,");")</f>
        <v>INSERT INTO participantes (id,nivel,correo,matricula,clave,nombre,carrera,grado,sexo,situacion,evaluados,num_evaluados,total_evaluaciones,ultimo_acceso,nivel_acceso) VALUES (2086,'LICENCIATURA','carlos.pena','PMC2057','TOMAR DEL SND','PEÑA MARTIN CARLOS AZAEL','PROFESORES','','MASCULINO','ACTIVO','',0,0,'','PROFESOR');</v>
      </c>
    </row>
    <row r="88" spans="1:12" x14ac:dyDescent="0.35">
      <c r="A88" s="21">
        <v>2087</v>
      </c>
      <c r="B88" s="20" t="s">
        <v>5</v>
      </c>
      <c r="C88" s="15" t="s">
        <v>2794</v>
      </c>
      <c r="D88" t="s">
        <v>2963</v>
      </c>
      <c r="E88" s="19" t="s">
        <v>1149</v>
      </c>
      <c r="F88" t="s">
        <v>1853</v>
      </c>
      <c r="G88" s="19" t="s">
        <v>2789</v>
      </c>
      <c r="I88" t="s">
        <v>2242</v>
      </c>
      <c r="J88" s="15" t="s">
        <v>1786</v>
      </c>
      <c r="K88" s="2" t="str">
        <f t="shared" si="1"/>
        <v>2087,'LICENCIATURA','denis.rodriguez','RRD1854','TOMAR DEL SND','RODRIGUEZ ROMERO DENIS PAUL','PROFESORES','','MASCULINO','ACTIVO','',0,0,'','PROFESOR'</v>
      </c>
      <c r="L88" s="2" t="str">
        <f>CONCATENATE($K$1,K88,");")</f>
        <v>INSERT INTO participantes (id,nivel,correo,matricula,clave,nombre,carrera,grado,sexo,situacion,evaluados,num_evaluados,total_evaluaciones,ultimo_acceso,nivel_acceso) VALUES (2087,'LICENCIATURA','denis.rodriguez','RRD1854','TOMAR DEL SND','RODRIGUEZ ROMERO DENIS PAUL','PROFESORES','','MASCULINO','ACTIVO','',0,0,'','PROFESOR');</v>
      </c>
    </row>
    <row r="89" spans="1:12" x14ac:dyDescent="0.35">
      <c r="A89" s="21">
        <v>2088</v>
      </c>
      <c r="B89" s="20" t="s">
        <v>5</v>
      </c>
      <c r="C89" s="15" t="s">
        <v>2890</v>
      </c>
      <c r="D89" t="s">
        <v>3050</v>
      </c>
      <c r="E89" s="19" t="s">
        <v>1149</v>
      </c>
      <c r="F89" t="s">
        <v>1949</v>
      </c>
      <c r="G89" s="19" t="s">
        <v>2789</v>
      </c>
      <c r="I89" t="s">
        <v>2242</v>
      </c>
      <c r="J89" s="15" t="s">
        <v>1786</v>
      </c>
      <c r="K89" s="2" t="str">
        <f t="shared" si="1"/>
        <v>2088,'LICENCIATURA','ricardo.baeza','BMR1221','TOMAR DEL SND','BAEZA MONTIEL RICARDO IGNACIO','PROFESORES','','MASCULINO','ACTIVO','',0,0,'','PROFESOR'</v>
      </c>
      <c r="L89" s="2" t="str">
        <f>CONCATENATE($K$1,K89,");")</f>
        <v>INSERT INTO participantes (id,nivel,correo,matricula,clave,nombre,carrera,grado,sexo,situacion,evaluados,num_evaluados,total_evaluaciones,ultimo_acceso,nivel_acceso) VALUES (2088,'LICENCIATURA','ricardo.baeza','BMR1221','TOMAR DEL SND','BAEZA MONTIEL RICARDO IGNACIO','PROFESORES','','MASCULINO','ACTIVO','',0,0,'','PROFESOR');</v>
      </c>
    </row>
    <row r="90" spans="1:12" x14ac:dyDescent="0.35">
      <c r="A90" s="21">
        <v>2089</v>
      </c>
      <c r="B90" s="20" t="s">
        <v>5</v>
      </c>
      <c r="C90" s="15" t="s">
        <v>2894</v>
      </c>
      <c r="D90" t="s">
        <v>3054</v>
      </c>
      <c r="E90" s="19" t="s">
        <v>1149</v>
      </c>
      <c r="F90" t="s">
        <v>1953</v>
      </c>
      <c r="G90" s="19" t="s">
        <v>2789</v>
      </c>
      <c r="I90" t="s">
        <v>2242</v>
      </c>
      <c r="J90" s="15" t="s">
        <v>1786</v>
      </c>
      <c r="K90" s="2" t="str">
        <f t="shared" si="1"/>
        <v>2089,'LICENCIATURA','luciano.vinas','VTL1886','TOMAR DEL SND','VIÑAS TELLO LUCIANO SI-CHEN','PROFESORES','','MASCULINO','ACTIVO','',0,0,'','PROFESOR'</v>
      </c>
      <c r="L90" s="2" t="str">
        <f>CONCATENATE($K$1,K90,");")</f>
        <v>INSERT INTO participantes (id,nivel,correo,matricula,clave,nombre,carrera,grado,sexo,situacion,evaluados,num_evaluados,total_evaluaciones,ultimo_acceso,nivel_acceso) VALUES (2089,'LICENCIATURA','luciano.vinas','VTL1886','TOMAR DEL SND','VIÑAS TELLO LUCIANO SI-CHEN','PROFESORES','','MASCULINO','ACTIVO','',0,0,'','PROFESOR');</v>
      </c>
    </row>
    <row r="91" spans="1:12" x14ac:dyDescent="0.35">
      <c r="A91" s="21">
        <v>2090</v>
      </c>
      <c r="B91" s="20" t="s">
        <v>5</v>
      </c>
      <c r="C91" s="15" t="s">
        <v>2893</v>
      </c>
      <c r="D91" t="s">
        <v>3053</v>
      </c>
      <c r="E91" s="19" t="s">
        <v>1149</v>
      </c>
      <c r="F91" t="s">
        <v>1952</v>
      </c>
      <c r="G91" s="19" t="s">
        <v>2789</v>
      </c>
      <c r="I91" t="s">
        <v>2242</v>
      </c>
      <c r="J91" s="15" t="s">
        <v>1786</v>
      </c>
      <c r="K91" s="2" t="str">
        <f t="shared" si="1"/>
        <v>2090,'LICENCIATURA','alfredo.velazquez','VSA1861','TOMAR DEL SND','VELAZQUEZ SANTOS ALFREDO DE JESUS','PROFESORES','','MASCULINO','ACTIVO','',0,0,'','PROFESOR'</v>
      </c>
      <c r="L91" s="2" t="str">
        <f>CONCATENATE($K$1,K91,");")</f>
        <v>INSERT INTO participantes (id,nivel,correo,matricula,clave,nombre,carrera,grado,sexo,situacion,evaluados,num_evaluados,total_evaluaciones,ultimo_acceso,nivel_acceso) VALUES (2090,'LICENCIATURA','alfredo.velazquez','VSA1861','TOMAR DEL SND','VELAZQUEZ SANTOS ALFREDO DE JESUS','PROFESORES','','MASCULINO','ACTIVO','',0,0,'','PROFESOR');</v>
      </c>
    </row>
    <row r="92" spans="1:12" x14ac:dyDescent="0.35">
      <c r="A92" s="21">
        <v>2091</v>
      </c>
      <c r="B92" s="20" t="s">
        <v>5</v>
      </c>
      <c r="C92" s="15" t="s">
        <v>2895</v>
      </c>
      <c r="D92" t="s">
        <v>3055</v>
      </c>
      <c r="E92" s="19" t="s">
        <v>1149</v>
      </c>
      <c r="F92" t="s">
        <v>1954</v>
      </c>
      <c r="G92" s="19" t="s">
        <v>2789</v>
      </c>
      <c r="I92" t="s">
        <v>2242</v>
      </c>
      <c r="J92" s="15" t="s">
        <v>1786</v>
      </c>
      <c r="K92" s="2" t="str">
        <f t="shared" si="1"/>
        <v>2091,'LICENCIATURA','luis.mejia','MGL1990','TOMAR DEL SND','MEJIA GONZALEZ LUIS ANDRES','PROFESORES','','MASCULINO','ACTIVO','',0,0,'','PROFESOR'</v>
      </c>
      <c r="L92" s="2" t="str">
        <f>CONCATENATE($K$1,K92,");")</f>
        <v>INSERT INTO participantes (id,nivel,correo,matricula,clave,nombre,carrera,grado,sexo,situacion,evaluados,num_evaluados,total_evaluaciones,ultimo_acceso,nivel_acceso) VALUES (2091,'LICENCIATURA','luis.mejia','MGL1990','TOMAR DEL SND','MEJIA GONZALEZ LUIS ANDRES','PROFESORES','','MASCULINO','ACTIVO','',0,0,'','PROFESOR');</v>
      </c>
    </row>
    <row r="93" spans="1:12" x14ac:dyDescent="0.35">
      <c r="A93" s="21">
        <v>2092</v>
      </c>
      <c r="B93" s="20" t="s">
        <v>5</v>
      </c>
      <c r="C93" s="15" t="s">
        <v>2896</v>
      </c>
      <c r="D93" t="s">
        <v>3056</v>
      </c>
      <c r="E93" s="19" t="s">
        <v>1149</v>
      </c>
      <c r="F93" t="s">
        <v>1955</v>
      </c>
      <c r="G93" s="19" t="s">
        <v>2789</v>
      </c>
      <c r="I93" t="s">
        <v>2242</v>
      </c>
      <c r="J93" s="15" t="s">
        <v>1786</v>
      </c>
      <c r="K93" s="2" t="str">
        <f t="shared" si="1"/>
        <v>2092,'LICENCIATURA','jose.esquivel','EVJ2047','TOMAR DEL SND','ESQUIVEL VARAS JOSE MANUEL','PROFESORES','','MASCULINO','ACTIVO','',0,0,'','PROFESOR'</v>
      </c>
      <c r="L93" s="2" t="str">
        <f>CONCATENATE($K$1,K93,");")</f>
        <v>INSERT INTO participantes (id,nivel,correo,matricula,clave,nombre,carrera,grado,sexo,situacion,evaluados,num_evaluados,total_evaluaciones,ultimo_acceso,nivel_acceso) VALUES (2092,'LICENCIATURA','jose.esquivel','EVJ2047','TOMAR DEL SND','ESQUIVEL VARAS JOSE MANUEL','PROFESORES','','MASCULINO','ACTIVO','',0,0,'','PROFESOR');</v>
      </c>
    </row>
    <row r="94" spans="1:12" x14ac:dyDescent="0.35">
      <c r="A94" s="21">
        <v>2093</v>
      </c>
      <c r="B94" s="20" t="s">
        <v>5</v>
      </c>
      <c r="C94" s="15" t="s">
        <v>2897</v>
      </c>
      <c r="D94" t="s">
        <v>3057</v>
      </c>
      <c r="E94" s="19" t="s">
        <v>1149</v>
      </c>
      <c r="F94" t="s">
        <v>1956</v>
      </c>
      <c r="G94" s="19" t="s">
        <v>2789</v>
      </c>
      <c r="I94" t="s">
        <v>2243</v>
      </c>
      <c r="J94" s="15" t="s">
        <v>1786</v>
      </c>
      <c r="K94" s="2" t="str">
        <f t="shared" si="1"/>
        <v>2093,'LICENCIATURA','maria.garcias','GSM0224','TOMAR DEL SND','GARCIA  SANCHEZ  MARIA LUISA ','PROFESORES','','FEMENINO','ACTIVO','',0,0,'','PROFESOR'</v>
      </c>
      <c r="L94" s="2" t="str">
        <f>CONCATENATE($K$1,K94,");")</f>
        <v>INSERT INTO participantes (id,nivel,correo,matricula,clave,nombre,carrera,grado,sexo,situacion,evaluados,num_evaluados,total_evaluaciones,ultimo_acceso,nivel_acceso) VALUES (2093,'LICENCIATURA','maria.garcias','GSM0224','TOMAR DEL SND','GARCIA  SANCHEZ  MARIA LUISA ','PROFESORES','','FEMENINO','ACTIVO','',0,0,'','PROFESOR');</v>
      </c>
    </row>
    <row r="95" spans="1:12" x14ac:dyDescent="0.35">
      <c r="A95" s="21">
        <v>2094</v>
      </c>
      <c r="B95" s="20" t="s">
        <v>5</v>
      </c>
      <c r="C95" s="15" t="s">
        <v>2898</v>
      </c>
      <c r="D95" t="s">
        <v>3058</v>
      </c>
      <c r="E95" s="19" t="s">
        <v>1149</v>
      </c>
      <c r="F95" t="s">
        <v>1957</v>
      </c>
      <c r="G95" s="19" t="s">
        <v>2789</v>
      </c>
      <c r="I95" t="s">
        <v>2242</v>
      </c>
      <c r="J95" s="15" t="s">
        <v>1786</v>
      </c>
      <c r="K95" s="2" t="str">
        <f t="shared" si="1"/>
        <v>2094,'LICENCIATURA','salvador.avalos','AMS2016','TOMAR DEL SND','AVALOS MEDINA SALVADOR','PROFESORES','','MASCULINO','ACTIVO','',0,0,'','PROFESOR'</v>
      </c>
      <c r="L95" s="2" t="str">
        <f>CONCATENATE($K$1,K95,");")</f>
        <v>INSERT INTO participantes (id,nivel,correo,matricula,clave,nombre,carrera,grado,sexo,situacion,evaluados,num_evaluados,total_evaluaciones,ultimo_acceso,nivel_acceso) VALUES (2094,'LICENCIATURA','salvador.avalos','AMS2016','TOMAR DEL SND','AVALOS MEDINA SALVADOR','PROFESORES','','MASCULINO','ACTIVO','',0,0,'','PROFESOR');</v>
      </c>
    </row>
    <row r="96" spans="1:12" x14ac:dyDescent="0.35">
      <c r="A96" s="21">
        <v>2095</v>
      </c>
      <c r="B96" s="20" t="s">
        <v>5</v>
      </c>
      <c r="C96" s="15" t="s">
        <v>2892</v>
      </c>
      <c r="D96" t="s">
        <v>3052</v>
      </c>
      <c r="E96" s="19" t="s">
        <v>1149</v>
      </c>
      <c r="F96" t="s">
        <v>1951</v>
      </c>
      <c r="G96" s="19" t="s">
        <v>2789</v>
      </c>
      <c r="I96" t="s">
        <v>2243</v>
      </c>
      <c r="J96" s="15" t="s">
        <v>1786</v>
      </c>
      <c r="K96" s="2" t="str">
        <f t="shared" si="1"/>
        <v>2095,'LICENCIATURA','claudia.ochoa','OFC1982','TOMAR DEL SND','OCHOA FLORES CLAUDIA ELIZABETH','PROFESORES','','FEMENINO','ACTIVO','',0,0,'','PROFESOR'</v>
      </c>
      <c r="L96" s="2" t="str">
        <f>CONCATENATE($K$1,K96,");")</f>
        <v>INSERT INTO participantes (id,nivel,correo,matricula,clave,nombre,carrera,grado,sexo,situacion,evaluados,num_evaluados,total_evaluaciones,ultimo_acceso,nivel_acceso) VALUES (2095,'LICENCIATURA','claudia.ochoa','OFC1982','TOMAR DEL SND','OCHOA FLORES CLAUDIA ELIZABETH','PROFESORES','','FEMENINO','ACTIVO','',0,0,'','PROFESOR');</v>
      </c>
    </row>
    <row r="97" spans="1:12" x14ac:dyDescent="0.35">
      <c r="A97" s="21">
        <v>2096</v>
      </c>
      <c r="B97" s="20" t="s">
        <v>5</v>
      </c>
      <c r="C97" s="15" t="s">
        <v>2817</v>
      </c>
      <c r="D97" t="s">
        <v>2986</v>
      </c>
      <c r="E97" s="19" t="s">
        <v>1149</v>
      </c>
      <c r="F97" t="s">
        <v>1876</v>
      </c>
      <c r="G97" s="19" t="s">
        <v>2789</v>
      </c>
      <c r="I97" t="s">
        <v>2242</v>
      </c>
      <c r="J97" s="15" t="s">
        <v>1786</v>
      </c>
      <c r="K97" s="2" t="str">
        <f t="shared" si="1"/>
        <v>2096,'LICENCIATURA','fernando.lopez','LVF1601','TOMAR DEL SND','LOPEZ VIDAURRI FERNANDO ABIF','PROFESORES','','MASCULINO','ACTIVO','',0,0,'','PROFESOR'</v>
      </c>
      <c r="L97" s="2" t="str">
        <f>CONCATENATE($K$1,K97,");")</f>
        <v>INSERT INTO participantes (id,nivel,correo,matricula,clave,nombre,carrera,grado,sexo,situacion,evaluados,num_evaluados,total_evaluaciones,ultimo_acceso,nivel_acceso) VALUES (2096,'LICENCIATURA','fernando.lopez','LVF1601','TOMAR DEL SND','LOPEZ VIDAURRI FERNANDO ABIF','PROFESORES','','MASCULINO','ACTIVO','',0,0,'','PROFESOR');</v>
      </c>
    </row>
    <row r="98" spans="1:12" x14ac:dyDescent="0.35">
      <c r="A98" s="21">
        <v>2097</v>
      </c>
      <c r="B98" s="20" t="s">
        <v>5</v>
      </c>
      <c r="C98" s="15" t="s">
        <v>2899</v>
      </c>
      <c r="D98" t="s">
        <v>3059</v>
      </c>
      <c r="E98" s="19" t="s">
        <v>1149</v>
      </c>
      <c r="F98" t="s">
        <v>1958</v>
      </c>
      <c r="G98" s="19" t="s">
        <v>2789</v>
      </c>
      <c r="I98" t="s">
        <v>2243</v>
      </c>
      <c r="J98" s="15" t="s">
        <v>1786</v>
      </c>
      <c r="K98" s="2" t="str">
        <f t="shared" si="1"/>
        <v>2097,'LICENCIATURA','martha.baruch','BMM2041','TOMAR DEL SND','BARUCH MORALES MARTHA IXCHEL','PROFESORES','','FEMENINO','ACTIVO','',0,0,'','PROFESOR'</v>
      </c>
      <c r="L98" s="2" t="str">
        <f>CONCATENATE($K$1,K98,");")</f>
        <v>INSERT INTO participantes (id,nivel,correo,matricula,clave,nombre,carrera,grado,sexo,situacion,evaluados,num_evaluados,total_evaluaciones,ultimo_acceso,nivel_acceso) VALUES (2097,'LICENCIATURA','martha.baruch','BMM2041','TOMAR DEL SND','BARUCH MORALES MARTHA IXCHEL','PROFESORES','','FEMENINO','ACTIVO','',0,0,'','PROFESOR');</v>
      </c>
    </row>
    <row r="99" spans="1:12" x14ac:dyDescent="0.35">
      <c r="A99" s="21">
        <v>2098</v>
      </c>
      <c r="B99" s="20" t="s">
        <v>5</v>
      </c>
      <c r="C99" s="15" t="s">
        <v>2799</v>
      </c>
      <c r="D99" t="s">
        <v>2968</v>
      </c>
      <c r="E99" s="19" t="s">
        <v>1149</v>
      </c>
      <c r="F99" t="s">
        <v>1858</v>
      </c>
      <c r="G99" s="19" t="s">
        <v>2789</v>
      </c>
      <c r="I99" t="s">
        <v>2243</v>
      </c>
      <c r="J99" s="15" t="s">
        <v>1786</v>
      </c>
      <c r="K99" s="2" t="str">
        <f t="shared" si="1"/>
        <v>2098,'LICENCIATURA','julieta.dealba','DGJ1732','TOMAR DEL SND','DE ALBA GONZALEZ JULIETA','PROFESORES','','FEMENINO','ACTIVO','',0,0,'','PROFESOR'</v>
      </c>
      <c r="L99" s="2" t="str">
        <f>CONCATENATE($K$1,K99,");")</f>
        <v>INSERT INTO participantes (id,nivel,correo,matricula,clave,nombre,carrera,grado,sexo,situacion,evaluados,num_evaluados,total_evaluaciones,ultimo_acceso,nivel_acceso) VALUES (2098,'LICENCIATURA','julieta.dealba','DGJ1732','TOMAR DEL SND','DE ALBA GONZALEZ JULIETA','PROFESORES','','FEMENINO','ACTIVO','',0,0,'','PROFESOR');</v>
      </c>
    </row>
    <row r="100" spans="1:12" x14ac:dyDescent="0.35">
      <c r="A100" s="21">
        <v>2099</v>
      </c>
      <c r="B100" s="20" t="s">
        <v>5</v>
      </c>
      <c r="C100" s="15" t="s">
        <v>2900</v>
      </c>
      <c r="D100" t="s">
        <v>3060</v>
      </c>
      <c r="E100" s="19" t="s">
        <v>1149</v>
      </c>
      <c r="F100" t="s">
        <v>1959</v>
      </c>
      <c r="G100" s="19" t="s">
        <v>2789</v>
      </c>
      <c r="I100" t="s">
        <v>2242</v>
      </c>
      <c r="J100" s="15" t="s">
        <v>1786</v>
      </c>
      <c r="K100" s="2" t="str">
        <f t="shared" si="1"/>
        <v>2099,'LICENCIATURA','jose.moreno','MQJ1984','TOMAR DEL SND','MORENO QUEZADA JOSE ALBERTO','PROFESORES','','MASCULINO','ACTIVO','',0,0,'','PROFESOR'</v>
      </c>
      <c r="L100" s="2" t="str">
        <f>CONCATENATE($K$1,K100,");")</f>
        <v>INSERT INTO participantes (id,nivel,correo,matricula,clave,nombre,carrera,grado,sexo,situacion,evaluados,num_evaluados,total_evaluaciones,ultimo_acceso,nivel_acceso) VALUES (2099,'LICENCIATURA','jose.moreno','MQJ1984','TOMAR DEL SND','MORENO QUEZADA JOSE ALBERTO','PROFESORES','','MASCULINO','ACTIVO','',0,0,'','PROFESOR');</v>
      </c>
    </row>
    <row r="101" spans="1:12" x14ac:dyDescent="0.35">
      <c r="A101" s="21">
        <v>2100</v>
      </c>
      <c r="B101" s="20" t="s">
        <v>5</v>
      </c>
      <c r="C101" s="15" t="s">
        <v>2891</v>
      </c>
      <c r="D101" t="s">
        <v>3051</v>
      </c>
      <c r="E101" s="19" t="s">
        <v>1149</v>
      </c>
      <c r="F101" t="s">
        <v>1950</v>
      </c>
      <c r="G101" s="19" t="s">
        <v>2789</v>
      </c>
      <c r="I101" t="s">
        <v>2242</v>
      </c>
      <c r="J101" s="15" t="s">
        <v>1786</v>
      </c>
      <c r="K101" s="2" t="str">
        <f t="shared" si="1"/>
        <v>2100,'LICENCIATURA','salvador.magana','MSS2050','TOMAR DEL SND','MAGAÑA SANCHEZ SALVADOR','PROFESORES','','MASCULINO','ACTIVO','',0,0,'','PROFESOR'</v>
      </c>
      <c r="L101" s="2" t="str">
        <f>CONCATENATE($K$1,K101,");")</f>
        <v>INSERT INTO participantes (id,nivel,correo,matricula,clave,nombre,carrera,grado,sexo,situacion,evaluados,num_evaluados,total_evaluaciones,ultimo_acceso,nivel_acceso) VALUES (2100,'LICENCIATURA','salvador.magana','MSS2050','TOMAR DEL SND','MAGAÑA SANCHEZ SALVADOR','PROFESORES','','MASCULINO','ACTIVO','',0,0,'','PROFESOR');</v>
      </c>
    </row>
    <row r="102" spans="1:12" x14ac:dyDescent="0.35">
      <c r="A102" s="21">
        <v>2101</v>
      </c>
      <c r="B102" s="20" t="s">
        <v>5</v>
      </c>
      <c r="C102" s="15" t="s">
        <v>2883</v>
      </c>
      <c r="D102" t="s">
        <v>3044</v>
      </c>
      <c r="E102" s="19" t="s">
        <v>1149</v>
      </c>
      <c r="F102" t="s">
        <v>1942</v>
      </c>
      <c r="G102" s="19" t="s">
        <v>2789</v>
      </c>
      <c r="I102" t="s">
        <v>2243</v>
      </c>
      <c r="J102" s="15" t="s">
        <v>1786</v>
      </c>
      <c r="K102" s="2" t="str">
        <f t="shared" si="1"/>
        <v>2101,'LICENCIATURA','griselda.madrigal','MRG1930','TOMAR DEL SND','MADRIGAL RODRIGUEZ GRISELDA','PROFESORES','','FEMENINO','ACTIVO','',0,0,'','PROFESOR'</v>
      </c>
      <c r="L102" s="2" t="str">
        <f>CONCATENATE($K$1,K102,");")</f>
        <v>INSERT INTO participantes (id,nivel,correo,matricula,clave,nombre,carrera,grado,sexo,situacion,evaluados,num_evaluados,total_evaluaciones,ultimo_acceso,nivel_acceso) VALUES (2101,'LICENCIATURA','griselda.madrigal','MRG1930','TOMAR DEL SND','MADRIGAL RODRIGUEZ GRISELDA','PROFESORES','','FEMENINO','ACTIVO','',0,0,'','PROFESOR');</v>
      </c>
    </row>
    <row r="103" spans="1:12" x14ac:dyDescent="0.35">
      <c r="A103" s="21">
        <v>2102</v>
      </c>
      <c r="B103" s="20" t="s">
        <v>5</v>
      </c>
      <c r="C103" s="15" t="s">
        <v>2887</v>
      </c>
      <c r="D103" t="s">
        <v>3048</v>
      </c>
      <c r="E103" s="19" t="s">
        <v>1149</v>
      </c>
      <c r="F103" t="s">
        <v>1946</v>
      </c>
      <c r="G103" s="19" t="s">
        <v>2789</v>
      </c>
      <c r="I103" t="s">
        <v>2242</v>
      </c>
      <c r="J103" s="15" t="s">
        <v>1786</v>
      </c>
      <c r="K103" s="2" t="str">
        <f t="shared" si="1"/>
        <v>2102,'LICENCIATURA','martin.rodriguez','RRM2026','TOMAR DEL SND','RODRIGUEZ ROBLES MARTIN ONESIMO','PROFESORES','','MASCULINO','ACTIVO','',0,0,'','PROFESOR'</v>
      </c>
      <c r="L103" s="2" t="str">
        <f>CONCATENATE($K$1,K103,");")</f>
        <v>INSERT INTO participantes (id,nivel,correo,matricula,clave,nombre,carrera,grado,sexo,situacion,evaluados,num_evaluados,total_evaluaciones,ultimo_acceso,nivel_acceso) VALUES (2102,'LICENCIATURA','martin.rodriguez','RRM2026','TOMAR DEL SND','RODRIGUEZ ROBLES MARTIN ONESIMO','PROFESORES','','MASCULINO','ACTIVO','',0,0,'','PROFESOR');</v>
      </c>
    </row>
    <row r="104" spans="1:12" x14ac:dyDescent="0.35">
      <c r="A104" s="21">
        <v>2103</v>
      </c>
      <c r="B104" s="20" t="s">
        <v>5</v>
      </c>
      <c r="C104" s="15" t="s">
        <v>2859</v>
      </c>
      <c r="D104" t="s">
        <v>3020</v>
      </c>
      <c r="E104" s="19" t="s">
        <v>1149</v>
      </c>
      <c r="F104" t="s">
        <v>1918</v>
      </c>
      <c r="G104" s="19" t="s">
        <v>2789</v>
      </c>
      <c r="I104" t="s">
        <v>2242</v>
      </c>
      <c r="J104" s="15" t="s">
        <v>1786</v>
      </c>
      <c r="K104" s="2" t="str">
        <f t="shared" si="1"/>
        <v>2103,'LICENCIATURA','alberto.mendez','MJA1950','TOMAR DEL SND','MENDEZ JIMENEZ ALBERTO','PROFESORES','','MASCULINO','ACTIVO','',0,0,'','PROFESOR'</v>
      </c>
      <c r="L104" s="2" t="str">
        <f>CONCATENATE($K$1,K104,");")</f>
        <v>INSERT INTO participantes (id,nivel,correo,matricula,clave,nombre,carrera,grado,sexo,situacion,evaluados,num_evaluados,total_evaluaciones,ultimo_acceso,nivel_acceso) VALUES (2103,'LICENCIATURA','alberto.mendez','MJA1950','TOMAR DEL SND','MENDEZ JIMENEZ ALBERTO','PROFESORES','','MASCULINO','ACTIVO','',0,0,'','PROFESOR');</v>
      </c>
    </row>
    <row r="105" spans="1:12" x14ac:dyDescent="0.35">
      <c r="A105" s="21">
        <v>2104</v>
      </c>
      <c r="B105" s="20" t="s">
        <v>5</v>
      </c>
      <c r="C105" s="15" t="s">
        <v>2901</v>
      </c>
      <c r="D105" t="s">
        <v>3061</v>
      </c>
      <c r="E105" s="19" t="s">
        <v>1149</v>
      </c>
      <c r="F105" t="s">
        <v>1960</v>
      </c>
      <c r="G105" s="19" t="s">
        <v>2789</v>
      </c>
      <c r="I105" t="s">
        <v>2242</v>
      </c>
      <c r="J105" s="15" t="s">
        <v>1786</v>
      </c>
      <c r="K105" s="2" t="str">
        <f t="shared" si="1"/>
        <v>2104,'LICENCIATURA','hector.rodriguez','RAH2003','TOMAR DEL SND','RODRIGUEZ AVILA HECTOR','PROFESORES','','MASCULINO','ACTIVO','',0,0,'','PROFESOR'</v>
      </c>
      <c r="L105" s="2" t="str">
        <f>CONCATENATE($K$1,K105,");")</f>
        <v>INSERT INTO participantes (id,nivel,correo,matricula,clave,nombre,carrera,grado,sexo,situacion,evaluados,num_evaluados,total_evaluaciones,ultimo_acceso,nivel_acceso) VALUES (2104,'LICENCIATURA','hector.rodriguez','RAH2003','TOMAR DEL SND','RODRIGUEZ AVILA HECTOR','PROFESORES','','MASCULINO','ACTIVO','',0,0,'','PROFESOR');</v>
      </c>
    </row>
    <row r="106" spans="1:12" x14ac:dyDescent="0.35">
      <c r="A106" s="21">
        <v>2105</v>
      </c>
      <c r="B106" s="20" t="s">
        <v>5</v>
      </c>
      <c r="C106" s="15" t="s">
        <v>2801</v>
      </c>
      <c r="D106" t="s">
        <v>2970</v>
      </c>
      <c r="E106" s="19" t="s">
        <v>1149</v>
      </c>
      <c r="F106" t="s">
        <v>1860</v>
      </c>
      <c r="G106" s="19" t="s">
        <v>2789</v>
      </c>
      <c r="I106" t="s">
        <v>2242</v>
      </c>
      <c r="J106" s="15" t="s">
        <v>1786</v>
      </c>
      <c r="K106" s="2" t="str">
        <f t="shared" si="1"/>
        <v>2105,'LICENCIATURA','miguel.escarcega','EGM1892','TOMAR DEL SND','ESCARCEGA GARCIA DE LEON MIGUEL ANGEL','PROFESORES','','MASCULINO','ACTIVO','',0,0,'','PROFESOR'</v>
      </c>
      <c r="L106" s="2" t="str">
        <f>CONCATENATE($K$1,K106,");")</f>
        <v>INSERT INTO participantes (id,nivel,correo,matricula,clave,nombre,carrera,grado,sexo,situacion,evaluados,num_evaluados,total_evaluaciones,ultimo_acceso,nivel_acceso) VALUES (2105,'LICENCIATURA','miguel.escarcega','EGM1892','TOMAR DEL SND','ESCARCEGA GARCIA DE LEON MIGUEL ANGEL','PROFESORES','','MASCULINO','ACTIVO','',0,0,'','PROFESOR');</v>
      </c>
    </row>
    <row r="107" spans="1:12" x14ac:dyDescent="0.35">
      <c r="A107" s="21">
        <v>2106</v>
      </c>
      <c r="B107" s="20" t="s">
        <v>5</v>
      </c>
      <c r="C107" s="15" t="s">
        <v>2856</v>
      </c>
      <c r="D107" t="s">
        <v>3017</v>
      </c>
      <c r="E107" s="19" t="s">
        <v>1149</v>
      </c>
      <c r="F107" t="s">
        <v>1915</v>
      </c>
      <c r="G107" s="19" t="s">
        <v>2789</v>
      </c>
      <c r="I107" t="s">
        <v>2242</v>
      </c>
      <c r="J107" s="15" t="s">
        <v>1786</v>
      </c>
      <c r="K107" s="2" t="str">
        <f t="shared" si="1"/>
        <v>2106,'LICENCIATURA','martin.deanda','DDM0468','TOMAR DEL SND','DE ANDA  DEL MURO  MARTIN EDUARDO ','PROFESORES','','MASCULINO','ACTIVO','',0,0,'','PROFESOR'</v>
      </c>
      <c r="L107" s="2" t="str">
        <f>CONCATENATE($K$1,K107,");")</f>
        <v>INSERT INTO participantes (id,nivel,correo,matricula,clave,nombre,carrera,grado,sexo,situacion,evaluados,num_evaluados,total_evaluaciones,ultimo_acceso,nivel_acceso) VALUES (2106,'LICENCIATURA','martin.deanda','DDM0468','TOMAR DEL SND','DE ANDA  DEL MURO  MARTIN EDUARDO ','PROFESORES','','MASCULINO','ACTIVO','',0,0,'','PROFESOR');</v>
      </c>
    </row>
    <row r="108" spans="1:12" x14ac:dyDescent="0.35">
      <c r="A108" s="21">
        <v>2107</v>
      </c>
      <c r="B108" s="20" t="s">
        <v>5</v>
      </c>
      <c r="C108" s="15" t="s">
        <v>2902</v>
      </c>
      <c r="D108" t="s">
        <v>3062</v>
      </c>
      <c r="E108" s="19" t="s">
        <v>1149</v>
      </c>
      <c r="F108" t="s">
        <v>1961</v>
      </c>
      <c r="G108" s="19" t="s">
        <v>2789</v>
      </c>
      <c r="I108" t="s">
        <v>2242</v>
      </c>
      <c r="J108" s="15" t="s">
        <v>1786</v>
      </c>
      <c r="K108" s="2" t="str">
        <f t="shared" si="1"/>
        <v>2107,'LICENCIATURA','daniel.gonzalez','GPD2073','TOMAR DEL SND','GONZALEZ PACAS DANIEL','PROFESORES','','MASCULINO','ACTIVO','',0,0,'','PROFESOR'</v>
      </c>
      <c r="L108" s="2" t="str">
        <f>CONCATENATE($K$1,K108,");")</f>
        <v>INSERT INTO participantes (id,nivel,correo,matricula,clave,nombre,carrera,grado,sexo,situacion,evaluados,num_evaluados,total_evaluaciones,ultimo_acceso,nivel_acceso) VALUES (2107,'LICENCIATURA','daniel.gonzalez','GPD2073','TOMAR DEL SND','GONZALEZ PACAS DANIEL','PROFESORES','','MASCULINO','ACTIVO','',0,0,'','PROFESOR');</v>
      </c>
    </row>
    <row r="109" spans="1:12" x14ac:dyDescent="0.35">
      <c r="A109" s="21">
        <v>2108</v>
      </c>
      <c r="B109" s="20" t="s">
        <v>5</v>
      </c>
      <c r="C109" s="15" t="s">
        <v>2879</v>
      </c>
      <c r="D109" t="s">
        <v>3040</v>
      </c>
      <c r="E109" s="19" t="s">
        <v>1149</v>
      </c>
      <c r="F109" t="s">
        <v>1938</v>
      </c>
      <c r="G109" s="19" t="s">
        <v>2789</v>
      </c>
      <c r="I109" t="s">
        <v>2242</v>
      </c>
      <c r="J109" s="15" t="s">
        <v>1786</v>
      </c>
      <c r="K109" s="2" t="str">
        <f t="shared" si="1"/>
        <v>2108,'LICENCIATURA','alejandro.esquivel','ELA1980','TOMAR DEL SND','ESQUIVEL LEAL ALEJANDRO GUADALUPE','PROFESORES','','MASCULINO','ACTIVO','',0,0,'','PROFESOR'</v>
      </c>
      <c r="L109" s="2" t="str">
        <f>CONCATENATE($K$1,K109,");")</f>
        <v>INSERT INTO participantes (id,nivel,correo,matricula,clave,nombre,carrera,grado,sexo,situacion,evaluados,num_evaluados,total_evaluaciones,ultimo_acceso,nivel_acceso) VALUES (2108,'LICENCIATURA','alejandro.esquivel','ELA1980','TOMAR DEL SND','ESQUIVEL LEAL ALEJANDRO GUADALUPE','PROFESORES','','MASCULINO','ACTIVO','',0,0,'','PROFESOR');</v>
      </c>
    </row>
    <row r="110" spans="1:12" x14ac:dyDescent="0.35">
      <c r="A110" s="21">
        <v>2109</v>
      </c>
      <c r="B110" s="20" t="s">
        <v>5</v>
      </c>
      <c r="C110" s="15" t="s">
        <v>2903</v>
      </c>
      <c r="D110" t="s">
        <v>3063</v>
      </c>
      <c r="E110" s="19" t="s">
        <v>1149</v>
      </c>
      <c r="F110" t="s">
        <v>1962</v>
      </c>
      <c r="G110" s="19" t="s">
        <v>2789</v>
      </c>
      <c r="I110" t="s">
        <v>2242</v>
      </c>
      <c r="J110" s="15" t="s">
        <v>1786</v>
      </c>
      <c r="K110" s="2" t="str">
        <f t="shared" si="1"/>
        <v>2109,'LICENCIATURA','raul.godoy','GBR1147','TOMAR DEL SND','GODOY BERRUETA RAUL','PROFESORES','','MASCULINO','ACTIVO','',0,0,'','PROFESOR'</v>
      </c>
      <c r="L110" s="2" t="str">
        <f>CONCATENATE($K$1,K110,");")</f>
        <v>INSERT INTO participantes (id,nivel,correo,matricula,clave,nombre,carrera,grado,sexo,situacion,evaluados,num_evaluados,total_evaluaciones,ultimo_acceso,nivel_acceso) VALUES (2109,'LICENCIATURA','raul.godoy','GBR1147','TOMAR DEL SND','GODOY BERRUETA RAUL','PROFESORES','','MASCULINO','ACTIVO','',0,0,'','PROFESOR');</v>
      </c>
    </row>
    <row r="111" spans="1:12" x14ac:dyDescent="0.35">
      <c r="A111" s="21">
        <v>2110</v>
      </c>
      <c r="B111" s="20" t="s">
        <v>5</v>
      </c>
      <c r="C111" s="15" t="s">
        <v>2835</v>
      </c>
      <c r="D111" t="s">
        <v>3003</v>
      </c>
      <c r="E111" s="19" t="s">
        <v>1149</v>
      </c>
      <c r="F111" t="s">
        <v>1894</v>
      </c>
      <c r="G111" s="19" t="s">
        <v>2789</v>
      </c>
      <c r="I111" t="s">
        <v>2242</v>
      </c>
      <c r="J111" s="15" t="s">
        <v>1786</v>
      </c>
      <c r="K111" s="2" t="str">
        <f t="shared" si="1"/>
        <v>2110,'LICENCIATURA','alberto.palomera','PJA1958','TOMAR DEL SND','PALOMERA JIMENEZ ALBERTO','PROFESORES','','MASCULINO','ACTIVO','',0,0,'','PROFESOR'</v>
      </c>
      <c r="L111" s="2" t="str">
        <f>CONCATENATE($K$1,K111,");")</f>
        <v>INSERT INTO participantes (id,nivel,correo,matricula,clave,nombre,carrera,grado,sexo,situacion,evaluados,num_evaluados,total_evaluaciones,ultimo_acceso,nivel_acceso) VALUES (2110,'LICENCIATURA','alberto.palomera','PJA1958','TOMAR DEL SND','PALOMERA JIMENEZ ALBERTO','PROFESORES','','MASCULINO','ACTIVO','',0,0,'','PROFESOR');</v>
      </c>
    </row>
    <row r="112" spans="1:12" x14ac:dyDescent="0.35">
      <c r="A112" s="21">
        <v>2111</v>
      </c>
      <c r="B112" s="20" t="s">
        <v>5</v>
      </c>
      <c r="C112" s="15" t="s">
        <v>2905</v>
      </c>
      <c r="D112" t="s">
        <v>3065</v>
      </c>
      <c r="E112" s="19" t="s">
        <v>1149</v>
      </c>
      <c r="F112" t="s">
        <v>1964</v>
      </c>
      <c r="G112" s="19" t="s">
        <v>2789</v>
      </c>
      <c r="I112" t="s">
        <v>2242</v>
      </c>
      <c r="J112" s="15" t="s">
        <v>1786</v>
      </c>
      <c r="K112" s="2" t="str">
        <f t="shared" si="1"/>
        <v>2111,'LICENCIATURA','jose.luna','LHJ1611','TOMAR DEL SND','LUNA HERRERA JOSE CARLOS','PROFESORES','','MASCULINO','ACTIVO','',0,0,'','PROFESOR'</v>
      </c>
      <c r="L112" s="2" t="str">
        <f>CONCATENATE($K$1,K112,");")</f>
        <v>INSERT INTO participantes (id,nivel,correo,matricula,clave,nombre,carrera,grado,sexo,situacion,evaluados,num_evaluados,total_evaluaciones,ultimo_acceso,nivel_acceso) VALUES (2111,'LICENCIATURA','jose.luna','LHJ1611','TOMAR DEL SND','LUNA HERRERA JOSE CARLOS','PROFESORES','','MASCULINO','ACTIVO','',0,0,'','PROFESOR');</v>
      </c>
    </row>
    <row r="113" spans="1:12" x14ac:dyDescent="0.35">
      <c r="A113" s="21">
        <v>2112</v>
      </c>
      <c r="B113" s="20" t="s">
        <v>5</v>
      </c>
      <c r="C113" s="15" t="s">
        <v>2906</v>
      </c>
      <c r="D113" t="s">
        <v>3066</v>
      </c>
      <c r="E113" s="19" t="s">
        <v>1149</v>
      </c>
      <c r="F113" t="s">
        <v>1965</v>
      </c>
      <c r="G113" s="19" t="s">
        <v>2789</v>
      </c>
      <c r="I113" t="s">
        <v>2243</v>
      </c>
      <c r="J113" s="15" t="s">
        <v>1786</v>
      </c>
      <c r="K113" s="2" t="str">
        <f t="shared" si="1"/>
        <v>2112,'LICENCIATURA','erika.salcedo','SRE1199','TOMAR DEL SND','SALCEDO ROSALES ERIKA IVETTE','PROFESORES','','FEMENINO','ACTIVO','',0,0,'','PROFESOR'</v>
      </c>
      <c r="L113" s="2" t="str">
        <f>CONCATENATE($K$1,K113,");")</f>
        <v>INSERT INTO participantes (id,nivel,correo,matricula,clave,nombre,carrera,grado,sexo,situacion,evaluados,num_evaluados,total_evaluaciones,ultimo_acceso,nivel_acceso) VALUES (2112,'LICENCIATURA','erika.salcedo','SRE1199','TOMAR DEL SND','SALCEDO ROSALES ERIKA IVETTE','PROFESORES','','FEMENINO','ACTIVO','',0,0,'','PROFESOR');</v>
      </c>
    </row>
    <row r="114" spans="1:12" x14ac:dyDescent="0.35">
      <c r="A114" s="21">
        <v>2113</v>
      </c>
      <c r="B114" s="20" t="s">
        <v>5</v>
      </c>
      <c r="C114" s="15" t="s">
        <v>2907</v>
      </c>
      <c r="D114" t="s">
        <v>3067</v>
      </c>
      <c r="E114" s="19" t="s">
        <v>1149</v>
      </c>
      <c r="F114" t="s">
        <v>1966</v>
      </c>
      <c r="G114" s="19" t="s">
        <v>2789</v>
      </c>
      <c r="I114" t="s">
        <v>2242</v>
      </c>
      <c r="J114" s="15" t="s">
        <v>1786</v>
      </c>
      <c r="K114" s="2" t="str">
        <f t="shared" si="1"/>
        <v>2113,'LICENCIATURA','francisco.tapia','TVF1344','TOMAR DEL SND','TAPIA VELAZQUEZ FRANCISCO','PROFESORES','','MASCULINO','ACTIVO','',0,0,'','PROFESOR'</v>
      </c>
      <c r="L114" s="2" t="str">
        <f>CONCATENATE($K$1,K114,");")</f>
        <v>INSERT INTO participantes (id,nivel,correo,matricula,clave,nombre,carrera,grado,sexo,situacion,evaluados,num_evaluados,total_evaluaciones,ultimo_acceso,nivel_acceso) VALUES (2113,'LICENCIATURA','francisco.tapia','TVF1344','TOMAR DEL SND','TAPIA VELAZQUEZ FRANCISCO','PROFESORES','','MASCULINO','ACTIVO','',0,0,'','PROFESOR');</v>
      </c>
    </row>
    <row r="115" spans="1:12" x14ac:dyDescent="0.35">
      <c r="A115" s="21">
        <v>2114</v>
      </c>
      <c r="B115" s="20" t="s">
        <v>5</v>
      </c>
      <c r="C115" s="15" t="s">
        <v>2909</v>
      </c>
      <c r="D115" t="s">
        <v>3069</v>
      </c>
      <c r="E115" s="19" t="s">
        <v>1149</v>
      </c>
      <c r="F115" t="s">
        <v>1968</v>
      </c>
      <c r="G115" s="19" t="s">
        <v>2789</v>
      </c>
      <c r="I115" t="s">
        <v>2243</v>
      </c>
      <c r="J115" s="15" t="s">
        <v>1786</v>
      </c>
      <c r="K115" s="2" t="str">
        <f t="shared" si="1"/>
        <v>2114,'LICENCIATURA','mariana.morones','MMM1396','TOMAR DEL SND','MORONES MUÑOZ MARIANA ELISA','PROFESORES','','FEMENINO','ACTIVO','',0,0,'','PROFESOR'</v>
      </c>
      <c r="L115" s="2" t="str">
        <f>CONCATENATE($K$1,K115,");")</f>
        <v>INSERT INTO participantes (id,nivel,correo,matricula,clave,nombre,carrera,grado,sexo,situacion,evaluados,num_evaluados,total_evaluaciones,ultimo_acceso,nivel_acceso) VALUES (2114,'LICENCIATURA','mariana.morones','MMM1396','TOMAR DEL SND','MORONES MUÑOZ MARIANA ELISA','PROFESORES','','FEMENINO','ACTIVO','',0,0,'','PROFESOR');</v>
      </c>
    </row>
    <row r="116" spans="1:12" x14ac:dyDescent="0.35">
      <c r="A116" s="21">
        <v>2115</v>
      </c>
      <c r="B116" s="20" t="s">
        <v>5</v>
      </c>
      <c r="C116" s="15" t="s">
        <v>2910</v>
      </c>
      <c r="D116" t="s">
        <v>3070</v>
      </c>
      <c r="E116" s="19" t="s">
        <v>1149</v>
      </c>
      <c r="F116" t="s">
        <v>1969</v>
      </c>
      <c r="G116" s="19" t="s">
        <v>2789</v>
      </c>
      <c r="I116" t="s">
        <v>2243</v>
      </c>
      <c r="J116" s="15" t="s">
        <v>1786</v>
      </c>
      <c r="K116" s="2" t="str">
        <f t="shared" si="1"/>
        <v>2115,'LICENCIATURA','montserrat.ramos','RRM1422','TOMAR DEL SND','RAMOS RENTERIA MONTSERRAT FABIOLA','PROFESORES','','FEMENINO','ACTIVO','',0,0,'','PROFESOR'</v>
      </c>
      <c r="L116" s="2" t="str">
        <f>CONCATENATE($K$1,K116,");")</f>
        <v>INSERT INTO participantes (id,nivel,correo,matricula,clave,nombre,carrera,grado,sexo,situacion,evaluados,num_evaluados,total_evaluaciones,ultimo_acceso,nivel_acceso) VALUES (2115,'LICENCIATURA','montserrat.ramos','RRM1422','TOMAR DEL SND','RAMOS RENTERIA MONTSERRAT FABIOLA','PROFESORES','','FEMENINO','ACTIVO','',0,0,'','PROFESOR');</v>
      </c>
    </row>
    <row r="117" spans="1:12" x14ac:dyDescent="0.35">
      <c r="A117" s="21">
        <v>2116</v>
      </c>
      <c r="B117" s="20" t="s">
        <v>5</v>
      </c>
      <c r="C117" s="15" t="s">
        <v>2912</v>
      </c>
      <c r="D117" t="s">
        <v>3072</v>
      </c>
      <c r="E117" s="19" t="s">
        <v>1149</v>
      </c>
      <c r="F117" t="s">
        <v>1971</v>
      </c>
      <c r="G117" s="19" t="s">
        <v>2789</v>
      </c>
      <c r="I117" t="s">
        <v>2243</v>
      </c>
      <c r="J117" s="15" t="s">
        <v>1786</v>
      </c>
      <c r="K117" s="2" t="str">
        <f t="shared" si="1"/>
        <v>2116,'LICENCIATURA','liliana.martinez','MML1660','TOMAR DEL SND','MARTINEZ MEDINA LILIANA','PROFESORES','','FEMENINO','ACTIVO','',0,0,'','PROFESOR'</v>
      </c>
      <c r="L117" s="2" t="str">
        <f>CONCATENATE($K$1,K117,");")</f>
        <v>INSERT INTO participantes (id,nivel,correo,matricula,clave,nombre,carrera,grado,sexo,situacion,evaluados,num_evaluados,total_evaluaciones,ultimo_acceso,nivel_acceso) VALUES (2116,'LICENCIATURA','liliana.martinez','MML1660','TOMAR DEL SND','MARTINEZ MEDINA LILIANA','PROFESORES','','FEMENINO','ACTIVO','',0,0,'','PROFESOR');</v>
      </c>
    </row>
    <row r="118" spans="1:12" x14ac:dyDescent="0.35">
      <c r="A118" s="21">
        <v>2117</v>
      </c>
      <c r="B118" s="20" t="s">
        <v>5</v>
      </c>
      <c r="C118" s="15" t="s">
        <v>2911</v>
      </c>
      <c r="D118" t="s">
        <v>3071</v>
      </c>
      <c r="E118" s="19" t="s">
        <v>1149</v>
      </c>
      <c r="F118" t="s">
        <v>1970</v>
      </c>
      <c r="G118" s="19" t="s">
        <v>2789</v>
      </c>
      <c r="I118" t="s">
        <v>2243</v>
      </c>
      <c r="J118" s="15" t="s">
        <v>1786</v>
      </c>
      <c r="K118" s="2" t="str">
        <f t="shared" si="1"/>
        <v>2117,'LICENCIATURA','dhalia.cortes','CSD1537','TOMAR DEL SND','CORTES SORIANO DHALIA','PROFESORES','','FEMENINO','ACTIVO','',0,0,'','PROFESOR'</v>
      </c>
      <c r="L118" s="2" t="str">
        <f>CONCATENATE($K$1,K118,");")</f>
        <v>INSERT INTO participantes (id,nivel,correo,matricula,clave,nombre,carrera,grado,sexo,situacion,evaluados,num_evaluados,total_evaluaciones,ultimo_acceso,nivel_acceso) VALUES (2117,'LICENCIATURA','dhalia.cortes','CSD1537','TOMAR DEL SND','CORTES SORIANO DHALIA','PROFESORES','','FEMENINO','ACTIVO','',0,0,'','PROFESOR');</v>
      </c>
    </row>
    <row r="119" spans="1:12" x14ac:dyDescent="0.35">
      <c r="A119" s="21">
        <v>2118</v>
      </c>
      <c r="B119" s="20" t="s">
        <v>5</v>
      </c>
      <c r="C119" s="15" t="s">
        <v>2913</v>
      </c>
      <c r="D119" t="s">
        <v>3073</v>
      </c>
      <c r="E119" s="19" t="s">
        <v>1149</v>
      </c>
      <c r="F119" t="s">
        <v>1972</v>
      </c>
      <c r="G119" s="19" t="s">
        <v>2789</v>
      </c>
      <c r="I119" t="s">
        <v>2243</v>
      </c>
      <c r="J119" s="15" t="s">
        <v>1786</v>
      </c>
      <c r="K119" s="2" t="str">
        <f t="shared" si="1"/>
        <v>2118,'LICENCIATURA','isis.farias','FCI1701','TOMAR DEL SND','FARIAS CASTELLANOS ISIS','PROFESORES','','FEMENINO','ACTIVO','',0,0,'','PROFESOR'</v>
      </c>
      <c r="L119" s="2" t="str">
        <f>CONCATENATE($K$1,K119,");")</f>
        <v>INSERT INTO participantes (id,nivel,correo,matricula,clave,nombre,carrera,grado,sexo,situacion,evaluados,num_evaluados,total_evaluaciones,ultimo_acceso,nivel_acceso) VALUES (2118,'LICENCIATURA','isis.farias','FCI1701','TOMAR DEL SND','FARIAS CASTELLANOS ISIS','PROFESORES','','FEMENINO','ACTIVO','',0,0,'','PROFESOR');</v>
      </c>
    </row>
    <row r="120" spans="1:12" x14ac:dyDescent="0.35">
      <c r="A120" s="21">
        <v>2119</v>
      </c>
      <c r="B120" s="20" t="s">
        <v>5</v>
      </c>
      <c r="C120" s="15" t="s">
        <v>2916</v>
      </c>
      <c r="D120" t="s">
        <v>3076</v>
      </c>
      <c r="E120" s="19" t="s">
        <v>1149</v>
      </c>
      <c r="F120" t="s">
        <v>1975</v>
      </c>
      <c r="G120" s="19" t="s">
        <v>2789</v>
      </c>
      <c r="I120" t="s">
        <v>2243</v>
      </c>
      <c r="J120" s="15" t="s">
        <v>1786</v>
      </c>
      <c r="K120" s="2" t="str">
        <f t="shared" si="1"/>
        <v>2119,'LICENCIATURA','ana.anguiano','ASA1552','TOMAR DEL SND','ANGUIANO SUAREZ DEL REAL ANA LORENA','PROFESORES','','FEMENINO','ACTIVO','',0,0,'','PROFESOR'</v>
      </c>
      <c r="L120" s="2" t="str">
        <f>CONCATENATE($K$1,K120,");")</f>
        <v>INSERT INTO participantes (id,nivel,correo,matricula,clave,nombre,carrera,grado,sexo,situacion,evaluados,num_evaluados,total_evaluaciones,ultimo_acceso,nivel_acceso) VALUES (2119,'LICENCIATURA','ana.anguiano','ASA1552','TOMAR DEL SND','ANGUIANO SUAREZ DEL REAL ANA LORENA','PROFESORES','','FEMENINO','ACTIVO','',0,0,'','PROFESOR');</v>
      </c>
    </row>
    <row r="121" spans="1:12" x14ac:dyDescent="0.35">
      <c r="A121" s="21">
        <v>2120</v>
      </c>
      <c r="B121" s="20" t="s">
        <v>5</v>
      </c>
      <c r="C121" s="15" t="s">
        <v>2914</v>
      </c>
      <c r="D121" t="s">
        <v>3074</v>
      </c>
      <c r="E121" s="19" t="s">
        <v>1149</v>
      </c>
      <c r="F121" t="s">
        <v>1973</v>
      </c>
      <c r="G121" s="19" t="s">
        <v>2789</v>
      </c>
      <c r="I121" t="s">
        <v>2243</v>
      </c>
      <c r="J121" s="15" t="s">
        <v>1786</v>
      </c>
      <c r="K121" s="2" t="str">
        <f t="shared" si="1"/>
        <v>2120,'LICENCIATURA','maria.chan','CNM0034','TOMAR DEL SND','CHAN  NUÑEZ MARIA ELENA','PROFESORES','','FEMENINO','ACTIVO','',0,0,'','PROFESOR'</v>
      </c>
      <c r="L121" s="2" t="str">
        <f>CONCATENATE($K$1,K121,");")</f>
        <v>INSERT INTO participantes (id,nivel,correo,matricula,clave,nombre,carrera,grado,sexo,situacion,evaluados,num_evaluados,total_evaluaciones,ultimo_acceso,nivel_acceso) VALUES (2120,'LICENCIATURA','maria.chan','CNM0034','TOMAR DEL SND','CHAN  NUÑEZ MARIA ELENA','PROFESORES','','FEMENINO','ACTIVO','',0,0,'','PROFESOR');</v>
      </c>
    </row>
    <row r="122" spans="1:12" x14ac:dyDescent="0.35">
      <c r="A122" s="21">
        <v>2121</v>
      </c>
      <c r="B122" s="20" t="s">
        <v>5</v>
      </c>
      <c r="C122" s="15" t="s">
        <v>2915</v>
      </c>
      <c r="D122" t="s">
        <v>3075</v>
      </c>
      <c r="E122" s="19" t="s">
        <v>1149</v>
      </c>
      <c r="F122" t="s">
        <v>1974</v>
      </c>
      <c r="G122" s="19" t="s">
        <v>2789</v>
      </c>
      <c r="I122" t="s">
        <v>2242</v>
      </c>
      <c r="J122" s="15" t="s">
        <v>1786</v>
      </c>
      <c r="K122" s="2" t="str">
        <f t="shared" si="1"/>
        <v>2121,'LICENCIATURA','victor.gudino','GSV2055','TOMAR DEL SND','GUDIÑO SEGOVIANO VICTOR MANUEL','PROFESORES','','MASCULINO','ACTIVO','',0,0,'','PROFESOR'</v>
      </c>
      <c r="L122" s="2" t="str">
        <f>CONCATENATE($K$1,K122,");")</f>
        <v>INSERT INTO participantes (id,nivel,correo,matricula,clave,nombre,carrera,grado,sexo,situacion,evaluados,num_evaluados,total_evaluaciones,ultimo_acceso,nivel_acceso) VALUES (2121,'LICENCIATURA','victor.gudino','GSV2055','TOMAR DEL SND','GUDIÑO SEGOVIANO VICTOR MANUEL','PROFESORES','','MASCULINO','ACTIVO','',0,0,'','PROFESOR');</v>
      </c>
    </row>
    <row r="123" spans="1:12" x14ac:dyDescent="0.35">
      <c r="A123" s="21">
        <v>2122</v>
      </c>
      <c r="B123" s="20" t="s">
        <v>5</v>
      </c>
      <c r="C123" s="15" t="s">
        <v>2917</v>
      </c>
      <c r="D123" t="s">
        <v>3077</v>
      </c>
      <c r="E123" s="19" t="s">
        <v>1149</v>
      </c>
      <c r="F123" t="s">
        <v>1976</v>
      </c>
      <c r="G123" s="19" t="s">
        <v>2789</v>
      </c>
      <c r="I123" t="s">
        <v>2242</v>
      </c>
      <c r="J123" s="15" t="s">
        <v>1786</v>
      </c>
      <c r="K123" s="2" t="str">
        <f t="shared" si="1"/>
        <v>2122,'LICENCIATURA','ivan.flores','FFI2048','TOMAR DEL SND','FLORES FERNANDEZ IVAN','PROFESORES','','MASCULINO','ACTIVO','',0,0,'','PROFESOR'</v>
      </c>
      <c r="L123" s="2" t="str">
        <f>CONCATENATE($K$1,K123,");")</f>
        <v>INSERT INTO participantes (id,nivel,correo,matricula,clave,nombre,carrera,grado,sexo,situacion,evaluados,num_evaluados,total_evaluaciones,ultimo_acceso,nivel_acceso) VALUES (2122,'LICENCIATURA','ivan.flores','FFI2048','TOMAR DEL SND','FLORES FERNANDEZ IVAN','PROFESORES','','MASCULINO','ACTIVO','',0,0,'','PROFESOR');</v>
      </c>
    </row>
    <row r="124" spans="1:12" x14ac:dyDescent="0.35">
      <c r="A124" s="21">
        <v>2123</v>
      </c>
      <c r="B124" s="20" t="s">
        <v>5</v>
      </c>
      <c r="C124" s="15" t="s">
        <v>2792</v>
      </c>
      <c r="D124" t="s">
        <v>2961</v>
      </c>
      <c r="E124" s="19" t="s">
        <v>1149</v>
      </c>
      <c r="F124" t="s">
        <v>1851</v>
      </c>
      <c r="G124" s="19" t="s">
        <v>2789</v>
      </c>
      <c r="I124" t="s">
        <v>2242</v>
      </c>
      <c r="J124" s="15" t="s">
        <v>1786</v>
      </c>
      <c r="K124" s="2" t="str">
        <f t="shared" si="1"/>
        <v>2123,'LICENCIATURA','jesus.gomez','GLJ1802','TOMAR DEL SND','GOMEZ LEDEZMA JESUS ALEJANDRO','PROFESORES','','MASCULINO','ACTIVO','',0,0,'','PROFESOR'</v>
      </c>
      <c r="L124" s="2" t="str">
        <f>CONCATENATE($K$1,K124,");")</f>
        <v>INSERT INTO participantes (id,nivel,correo,matricula,clave,nombre,carrera,grado,sexo,situacion,evaluados,num_evaluados,total_evaluaciones,ultimo_acceso,nivel_acceso) VALUES (2123,'LICENCIATURA','jesus.gomez','GLJ1802','TOMAR DEL SND','GOMEZ LEDEZMA JESUS ALEJANDRO','PROFESORES','','MASCULINO','ACTIVO','',0,0,'','PROFESOR');</v>
      </c>
    </row>
    <row r="125" spans="1:12" x14ac:dyDescent="0.35">
      <c r="A125" s="21">
        <v>2124</v>
      </c>
      <c r="B125" s="20" t="s">
        <v>5</v>
      </c>
      <c r="C125" s="15" t="s">
        <v>2904</v>
      </c>
      <c r="D125" t="s">
        <v>3064</v>
      </c>
      <c r="E125" s="19" t="s">
        <v>1149</v>
      </c>
      <c r="F125" t="s">
        <v>1963</v>
      </c>
      <c r="G125" s="19" t="s">
        <v>2789</v>
      </c>
      <c r="I125" t="s">
        <v>2243</v>
      </c>
      <c r="J125" s="15" t="s">
        <v>1786</v>
      </c>
      <c r="K125" s="2" t="str">
        <f t="shared" si="1"/>
        <v>2124,'LICENCIATURA','aida.hernandez','HMA1841','TOMAR DEL SND','HERNANDEZ MONTAÑO AIDA CITLALI','PROFESORES','','FEMENINO','ACTIVO','',0,0,'','PROFESOR'</v>
      </c>
      <c r="L125" s="2" t="str">
        <f>CONCATENATE($K$1,K125,");")</f>
        <v>INSERT INTO participantes (id,nivel,correo,matricula,clave,nombre,carrera,grado,sexo,situacion,evaluados,num_evaluados,total_evaluaciones,ultimo_acceso,nivel_acceso) VALUES (2124,'LICENCIATURA','aida.hernandez','HMA1841','TOMAR DEL SND','HERNANDEZ MONTAÑO AIDA CITLALI','PROFESORES','','FEMENINO','ACTIVO','',0,0,'','PROFESOR');</v>
      </c>
    </row>
    <row r="126" spans="1:12" x14ac:dyDescent="0.35">
      <c r="A126" s="21">
        <v>2125</v>
      </c>
      <c r="B126" s="20" t="s">
        <v>5</v>
      </c>
      <c r="C126" s="15" t="s">
        <v>2918</v>
      </c>
      <c r="D126" t="s">
        <v>3078</v>
      </c>
      <c r="E126" s="19" t="s">
        <v>1149</v>
      </c>
      <c r="F126" t="s">
        <v>1977</v>
      </c>
      <c r="G126" s="19" t="s">
        <v>2789</v>
      </c>
      <c r="I126" t="s">
        <v>2242</v>
      </c>
      <c r="J126" s="15" t="s">
        <v>1786</v>
      </c>
      <c r="K126" s="2" t="str">
        <f t="shared" si="1"/>
        <v>2125,'LICENCIATURA','victor.flores','FMV1835','TOMAR DEL SND','FLORES MARTIN VICTOR DIEGO','PROFESORES','','MASCULINO','ACTIVO','',0,0,'','PROFESOR'</v>
      </c>
      <c r="L126" s="2" t="str">
        <f>CONCATENATE($K$1,K126,");")</f>
        <v>INSERT INTO participantes (id,nivel,correo,matricula,clave,nombre,carrera,grado,sexo,situacion,evaluados,num_evaluados,total_evaluaciones,ultimo_acceso,nivel_acceso) VALUES (2125,'LICENCIATURA','victor.flores','FMV1835','TOMAR DEL SND','FLORES MARTIN VICTOR DIEGO','PROFESORES','','MASCULINO','ACTIVO','',0,0,'','PROFESOR');</v>
      </c>
    </row>
    <row r="127" spans="1:12" x14ac:dyDescent="0.35">
      <c r="A127" s="21">
        <v>2126</v>
      </c>
      <c r="B127" s="20" t="s">
        <v>5</v>
      </c>
      <c r="C127" s="15" t="s">
        <v>2919</v>
      </c>
      <c r="D127" t="s">
        <v>3079</v>
      </c>
      <c r="E127" s="19" t="s">
        <v>1149</v>
      </c>
      <c r="F127" t="s">
        <v>1978</v>
      </c>
      <c r="G127" s="19" t="s">
        <v>2789</v>
      </c>
      <c r="I127" t="s">
        <v>2242</v>
      </c>
      <c r="J127" s="15" t="s">
        <v>1786</v>
      </c>
      <c r="K127" s="2" t="str">
        <f t="shared" si="1"/>
        <v>2126,'LICENCIATURA','cesar.deleon','DGC1832','TOMAR DEL SND','DE LEON GUTIERREZ CESAR JAVIER','PROFESORES','','MASCULINO','ACTIVO','',0,0,'','PROFESOR'</v>
      </c>
      <c r="L127" s="2" t="str">
        <f>CONCATENATE($K$1,K127,");")</f>
        <v>INSERT INTO participantes (id,nivel,correo,matricula,clave,nombre,carrera,grado,sexo,situacion,evaluados,num_evaluados,total_evaluaciones,ultimo_acceso,nivel_acceso) VALUES (2126,'LICENCIATURA','cesar.deleon','DGC1832','TOMAR DEL SND','DE LEON GUTIERREZ CESAR JAVIER','PROFESORES','','MASCULINO','ACTIVO','',0,0,'','PROFESOR');</v>
      </c>
    </row>
    <row r="128" spans="1:12" x14ac:dyDescent="0.35">
      <c r="A128" s="21">
        <v>2127</v>
      </c>
      <c r="B128" s="20" t="s">
        <v>5</v>
      </c>
      <c r="C128" s="15" t="s">
        <v>2920</v>
      </c>
      <c r="D128" t="s">
        <v>3080</v>
      </c>
      <c r="E128" s="19" t="s">
        <v>1149</v>
      </c>
      <c r="F128" t="s">
        <v>1979</v>
      </c>
      <c r="G128" s="19" t="s">
        <v>2789</v>
      </c>
      <c r="I128" t="s">
        <v>2242</v>
      </c>
      <c r="J128" s="15" t="s">
        <v>1786</v>
      </c>
      <c r="K128" s="2" t="str">
        <f t="shared" si="1"/>
        <v>2127,'LICENCIATURA','jose.bartolo','BTJ2046','TOMAR DEL SND','BARTOLO TONIX JOSE DE JESUS','PROFESORES','','MASCULINO','ACTIVO','',0,0,'','PROFESOR'</v>
      </c>
      <c r="L128" s="2" t="str">
        <f>CONCATENATE($K$1,K128,");")</f>
        <v>INSERT INTO participantes (id,nivel,correo,matricula,clave,nombre,carrera,grado,sexo,situacion,evaluados,num_evaluados,total_evaluaciones,ultimo_acceso,nivel_acceso) VALUES (2127,'LICENCIATURA','jose.bartolo','BTJ2046','TOMAR DEL SND','BARTOLO TONIX JOSE DE JESUS','PROFESORES','','MASCULINO','ACTIVO','',0,0,'','PROFESOR');</v>
      </c>
    </row>
    <row r="129" spans="1:12" x14ac:dyDescent="0.35">
      <c r="A129" s="21">
        <v>2128</v>
      </c>
      <c r="B129" s="20" t="s">
        <v>5</v>
      </c>
      <c r="C129" s="15" t="s">
        <v>2921</v>
      </c>
      <c r="D129" t="s">
        <v>3081</v>
      </c>
      <c r="E129" s="19" t="s">
        <v>1149</v>
      </c>
      <c r="F129" t="s">
        <v>1980</v>
      </c>
      <c r="G129" s="19" t="s">
        <v>2789</v>
      </c>
      <c r="I129" t="s">
        <v>2243</v>
      </c>
      <c r="J129" s="15" t="s">
        <v>1786</v>
      </c>
      <c r="K129" s="2" t="str">
        <f t="shared" si="1"/>
        <v>2128,'LICENCIATURA','maria.miranda','MMM1414','TOMAR DEL SND','MIRANDA MORTERA MARIA DOLORES','PROFESORES','','FEMENINO','ACTIVO','',0,0,'','PROFESOR'</v>
      </c>
      <c r="L129" s="2" t="str">
        <f>CONCATENATE($K$1,K129,");")</f>
        <v>INSERT INTO participantes (id,nivel,correo,matricula,clave,nombre,carrera,grado,sexo,situacion,evaluados,num_evaluados,total_evaluaciones,ultimo_acceso,nivel_acceso) VALUES (2128,'LICENCIATURA','maria.miranda','MMM1414','TOMAR DEL SND','MIRANDA MORTERA MARIA DOLORES','PROFESORES','','FEMENINO','ACTIVO','',0,0,'','PROFESOR');</v>
      </c>
    </row>
    <row r="130" spans="1:12" x14ac:dyDescent="0.35">
      <c r="A130" s="21">
        <v>2129</v>
      </c>
      <c r="B130" s="20" t="s">
        <v>5</v>
      </c>
      <c r="C130" s="15" t="s">
        <v>2922</v>
      </c>
      <c r="D130" t="s">
        <v>3082</v>
      </c>
      <c r="E130" s="19" t="s">
        <v>1149</v>
      </c>
      <c r="F130" t="s">
        <v>1981</v>
      </c>
      <c r="G130" s="19" t="s">
        <v>2789</v>
      </c>
      <c r="I130" t="s">
        <v>2243</v>
      </c>
      <c r="J130" s="15" t="s">
        <v>1786</v>
      </c>
      <c r="K130" s="2" t="str">
        <f t="shared" si="1"/>
        <v>2129,'LICENCIATURA','marlen.rivas','RMM1724','TOMAR DEL SND','RIVAS MELANO MARLEN','PROFESORES','','FEMENINO','ACTIVO','',0,0,'','PROFESOR'</v>
      </c>
      <c r="L130" s="2" t="str">
        <f>CONCATENATE($K$1,K130,");")</f>
        <v>INSERT INTO participantes (id,nivel,correo,matricula,clave,nombre,carrera,grado,sexo,situacion,evaluados,num_evaluados,total_evaluaciones,ultimo_acceso,nivel_acceso) VALUES (2129,'LICENCIATURA','marlen.rivas','RMM1724','TOMAR DEL SND','RIVAS MELANO MARLEN','PROFESORES','','FEMENINO','ACTIVO','',0,0,'','PROFESOR');</v>
      </c>
    </row>
    <row r="131" spans="1:12" x14ac:dyDescent="0.35">
      <c r="A131" s="21">
        <v>2130</v>
      </c>
      <c r="B131" s="20" t="s">
        <v>5</v>
      </c>
      <c r="C131" s="15" t="s">
        <v>2923</v>
      </c>
      <c r="D131" t="s">
        <v>3083</v>
      </c>
      <c r="E131" s="19" t="s">
        <v>1149</v>
      </c>
      <c r="F131" t="s">
        <v>1982</v>
      </c>
      <c r="G131" s="19" t="s">
        <v>2789</v>
      </c>
      <c r="I131" t="s">
        <v>2243</v>
      </c>
      <c r="J131" s="15" t="s">
        <v>1786</v>
      </c>
      <c r="K131" s="2" t="str">
        <f t="shared" ref="K131:K161" si="2">CONCATENATE(A131,",'",B131,"','",C131,"','",D131,"','",E131,"','",F131,"','",G131,"','",H131,"','",UPPER(I131),"','",UPPER(J131),"','',0,0,'','PROFESOR'")</f>
        <v>2130,'LICENCIATURA','citlain.vega','VRC1859','TOMAR DEL SND','VEGA ROMAN CITLALIN','PROFESORES','','FEMENINO','ACTIVO','',0,0,'','PROFESOR'</v>
      </c>
      <c r="L131" s="2" t="str">
        <f>CONCATENATE($K$1,K131,");")</f>
        <v>INSERT INTO participantes (id,nivel,correo,matricula,clave,nombre,carrera,grado,sexo,situacion,evaluados,num_evaluados,total_evaluaciones,ultimo_acceso,nivel_acceso) VALUES (2130,'LICENCIATURA','citlain.vega','VRC1859','TOMAR DEL SND','VEGA ROMAN CITLALIN','PROFESORES','','FEMENINO','ACTIVO','',0,0,'','PROFESOR');</v>
      </c>
    </row>
    <row r="132" spans="1:12" x14ac:dyDescent="0.35">
      <c r="A132" s="21">
        <v>2131</v>
      </c>
      <c r="B132" s="20" t="s">
        <v>5</v>
      </c>
      <c r="C132" s="15" t="s">
        <v>2925</v>
      </c>
      <c r="D132" t="s">
        <v>3085</v>
      </c>
      <c r="E132" s="19" t="s">
        <v>1149</v>
      </c>
      <c r="F132" t="s">
        <v>1984</v>
      </c>
      <c r="G132" s="19" t="s">
        <v>2789</v>
      </c>
      <c r="I132" t="s">
        <v>2242</v>
      </c>
      <c r="J132" s="15" t="s">
        <v>1786</v>
      </c>
      <c r="K132" s="2" t="str">
        <f t="shared" si="2"/>
        <v>2131,'LICENCIATURA','elias.munoz','MAE1513','TOMAR DEL SND','MUÑOZ ALVAREZ ELIAS ISAAC','PROFESORES','','MASCULINO','ACTIVO','',0,0,'','PROFESOR'</v>
      </c>
      <c r="L132" s="2" t="str">
        <f>CONCATENATE($K$1,K132,");")</f>
        <v>INSERT INTO participantes (id,nivel,correo,matricula,clave,nombre,carrera,grado,sexo,situacion,evaluados,num_evaluados,total_evaluaciones,ultimo_acceso,nivel_acceso) VALUES (2131,'LICENCIATURA','elias.munoz','MAE1513','TOMAR DEL SND','MUÑOZ ALVAREZ ELIAS ISAAC','PROFESORES','','MASCULINO','ACTIVO','',0,0,'','PROFESOR');</v>
      </c>
    </row>
    <row r="133" spans="1:12" x14ac:dyDescent="0.35">
      <c r="A133" s="21">
        <v>2132</v>
      </c>
      <c r="B133" s="20" t="s">
        <v>5</v>
      </c>
      <c r="C133" s="15" t="s">
        <v>2926</v>
      </c>
      <c r="D133" t="s">
        <v>3086</v>
      </c>
      <c r="E133" s="19" t="s">
        <v>1149</v>
      </c>
      <c r="F133" t="s">
        <v>1985</v>
      </c>
      <c r="G133" s="19" t="s">
        <v>2789</v>
      </c>
      <c r="I133" t="s">
        <v>2242</v>
      </c>
      <c r="J133" s="15" t="s">
        <v>1786</v>
      </c>
      <c r="K133" s="2" t="str">
        <f t="shared" si="2"/>
        <v>2132,'LICENCIATURA','jesus.begines','BCJ1210','TOMAR DEL SND','BEGINES CINCO JESUS HIRAM','PROFESORES','','MASCULINO','ACTIVO','',0,0,'','PROFESOR'</v>
      </c>
      <c r="L133" s="2" t="str">
        <f>CONCATENATE($K$1,K133,");")</f>
        <v>INSERT INTO participantes (id,nivel,correo,matricula,clave,nombre,carrera,grado,sexo,situacion,evaluados,num_evaluados,total_evaluaciones,ultimo_acceso,nivel_acceso) VALUES (2132,'LICENCIATURA','jesus.begines','BCJ1210','TOMAR DEL SND','BEGINES CINCO JESUS HIRAM','PROFESORES','','MASCULINO','ACTIVO','',0,0,'','PROFESOR');</v>
      </c>
    </row>
    <row r="134" spans="1:12" x14ac:dyDescent="0.35">
      <c r="A134" s="21">
        <v>2133</v>
      </c>
      <c r="B134" s="20" t="s">
        <v>5</v>
      </c>
      <c r="C134" s="15" t="s">
        <v>2927</v>
      </c>
      <c r="D134" t="s">
        <v>3087</v>
      </c>
      <c r="E134" s="19" t="s">
        <v>1149</v>
      </c>
      <c r="F134" t="s">
        <v>1986</v>
      </c>
      <c r="G134" s="19" t="s">
        <v>2789</v>
      </c>
      <c r="I134" t="s">
        <v>2242</v>
      </c>
      <c r="J134" s="15" t="s">
        <v>1786</v>
      </c>
      <c r="K134" s="2" t="str">
        <f t="shared" si="2"/>
        <v>2133,'LICENCIATURA','hernan.cavallo','CMH1305','TOMAR DEL SND','CAVALLO  MAZZITELLI HERNAN ANDRES','PROFESORES','','MASCULINO','ACTIVO','',0,0,'','PROFESOR'</v>
      </c>
      <c r="L134" s="2" t="str">
        <f>CONCATENATE($K$1,K134,");")</f>
        <v>INSERT INTO participantes (id,nivel,correo,matricula,clave,nombre,carrera,grado,sexo,situacion,evaluados,num_evaluados,total_evaluaciones,ultimo_acceso,nivel_acceso) VALUES (2133,'LICENCIATURA','hernan.cavallo','CMH1305','TOMAR DEL SND','CAVALLO  MAZZITELLI HERNAN ANDRES','PROFESORES','','MASCULINO','ACTIVO','',0,0,'','PROFESOR');</v>
      </c>
    </row>
    <row r="135" spans="1:12" x14ac:dyDescent="0.35">
      <c r="A135" s="21">
        <v>2134</v>
      </c>
      <c r="B135" s="20" t="s">
        <v>5</v>
      </c>
      <c r="C135" s="15" t="s">
        <v>2928</v>
      </c>
      <c r="D135" t="s">
        <v>3088</v>
      </c>
      <c r="E135" s="19" t="s">
        <v>1149</v>
      </c>
      <c r="F135" t="s">
        <v>1987</v>
      </c>
      <c r="G135" s="19" t="s">
        <v>2789</v>
      </c>
      <c r="I135" t="s">
        <v>2243</v>
      </c>
      <c r="J135" s="15" t="s">
        <v>1786</v>
      </c>
      <c r="K135" s="2" t="str">
        <f t="shared" si="2"/>
        <v>2134,'LICENCIATURA','laura.rivas','RRL1304','TOMAR DEL SND','RIVAS RODRIGUEZ LAURA','PROFESORES','','FEMENINO','ACTIVO','',0,0,'','PROFESOR'</v>
      </c>
      <c r="L135" s="2" t="str">
        <f>CONCATENATE($K$1,K135,");")</f>
        <v>INSERT INTO participantes (id,nivel,correo,matricula,clave,nombre,carrera,grado,sexo,situacion,evaluados,num_evaluados,total_evaluaciones,ultimo_acceso,nivel_acceso) VALUES (2134,'LICENCIATURA','laura.rivas','RRL1304','TOMAR DEL SND','RIVAS RODRIGUEZ LAURA','PROFESORES','','FEMENINO','ACTIVO','',0,0,'','PROFESOR');</v>
      </c>
    </row>
    <row r="136" spans="1:12" x14ac:dyDescent="0.35">
      <c r="A136" s="21">
        <v>2135</v>
      </c>
      <c r="B136" s="20" t="s">
        <v>5</v>
      </c>
      <c r="C136" s="15" t="s">
        <v>2924</v>
      </c>
      <c r="D136" t="s">
        <v>3084</v>
      </c>
      <c r="E136" s="19" t="s">
        <v>1149</v>
      </c>
      <c r="F136" t="s">
        <v>1983</v>
      </c>
      <c r="G136" s="19" t="s">
        <v>2789</v>
      </c>
      <c r="I136" t="s">
        <v>2243</v>
      </c>
      <c r="J136" s="15" t="s">
        <v>1786</v>
      </c>
      <c r="K136" s="2" t="str">
        <f t="shared" si="2"/>
        <v>2135,'LICENCIATURA','abigail.chilpa','CAA1971','TOMAR DEL SND','CHILPA ABOYTES ABIGAIL NOHEMI','PROFESORES','','FEMENINO','ACTIVO','',0,0,'','PROFESOR'</v>
      </c>
      <c r="L136" s="2" t="str">
        <f>CONCATENATE($K$1,K136,");")</f>
        <v>INSERT INTO participantes (id,nivel,correo,matricula,clave,nombre,carrera,grado,sexo,situacion,evaluados,num_evaluados,total_evaluaciones,ultimo_acceso,nivel_acceso) VALUES (2135,'LICENCIATURA','abigail.chilpa','CAA1971','TOMAR DEL SND','CHILPA ABOYTES ABIGAIL NOHEMI','PROFESORES','','FEMENINO','ACTIVO','',0,0,'','PROFESOR');</v>
      </c>
    </row>
    <row r="137" spans="1:12" x14ac:dyDescent="0.35">
      <c r="A137" s="21">
        <v>2136</v>
      </c>
      <c r="B137" s="20" t="s">
        <v>5</v>
      </c>
      <c r="C137" s="15" t="s">
        <v>2931</v>
      </c>
      <c r="D137" t="s">
        <v>3091</v>
      </c>
      <c r="E137" s="19" t="s">
        <v>1149</v>
      </c>
      <c r="F137" t="s">
        <v>1990</v>
      </c>
      <c r="G137" s="19" t="s">
        <v>2789</v>
      </c>
      <c r="I137" t="s">
        <v>2242</v>
      </c>
      <c r="J137" s="15" t="s">
        <v>1786</v>
      </c>
      <c r="K137" s="2" t="str">
        <f t="shared" si="2"/>
        <v>2136,'LICENCIATURA','irving.rodriguez','RAI1236','TOMAR DEL SND','RODRIGUEZ ALONSO IRVING TRINIDAD','PROFESORES','','MASCULINO','ACTIVO','',0,0,'','PROFESOR'</v>
      </c>
      <c r="L137" s="2" t="str">
        <f>CONCATENATE($K$1,K137,");")</f>
        <v>INSERT INTO participantes (id,nivel,correo,matricula,clave,nombre,carrera,grado,sexo,situacion,evaluados,num_evaluados,total_evaluaciones,ultimo_acceso,nivel_acceso) VALUES (2136,'LICENCIATURA','irving.rodriguez','RAI1236','TOMAR DEL SND','RODRIGUEZ ALONSO IRVING TRINIDAD','PROFESORES','','MASCULINO','ACTIVO','',0,0,'','PROFESOR');</v>
      </c>
    </row>
    <row r="138" spans="1:12" x14ac:dyDescent="0.35">
      <c r="A138" s="21">
        <v>2137</v>
      </c>
      <c r="B138" s="20" t="s">
        <v>5</v>
      </c>
      <c r="C138" s="15" t="s">
        <v>2932</v>
      </c>
      <c r="D138" t="s">
        <v>3093</v>
      </c>
      <c r="E138" s="19" t="s">
        <v>1149</v>
      </c>
      <c r="F138" t="s">
        <v>1992</v>
      </c>
      <c r="G138" s="19" t="s">
        <v>2789</v>
      </c>
      <c r="I138" t="s">
        <v>2242</v>
      </c>
      <c r="J138" s="15" t="s">
        <v>1786</v>
      </c>
      <c r="K138" s="2" t="str">
        <f t="shared" si="2"/>
        <v>2137,'LICENCIATURA','francisco.marquez','MCF1923','TOMAR DEL SND','MARQUEZ CORONA FRANCISCO ALBERTO','PROFESORES','','MASCULINO','ACTIVO','',0,0,'','PROFESOR'</v>
      </c>
      <c r="L138" s="2" t="str">
        <f>CONCATENATE($K$1,K138,");")</f>
        <v>INSERT INTO participantes (id,nivel,correo,matricula,clave,nombre,carrera,grado,sexo,situacion,evaluados,num_evaluados,total_evaluaciones,ultimo_acceso,nivel_acceso) VALUES (2137,'LICENCIATURA','francisco.marquez','MCF1923','TOMAR DEL SND','MARQUEZ CORONA FRANCISCO ALBERTO','PROFESORES','','MASCULINO','ACTIVO','',0,0,'','PROFESOR');</v>
      </c>
    </row>
    <row r="139" spans="1:12" x14ac:dyDescent="0.35">
      <c r="A139" s="21">
        <v>2138</v>
      </c>
      <c r="B139" s="20" t="s">
        <v>5</v>
      </c>
      <c r="C139" s="15" t="s">
        <v>2933</v>
      </c>
      <c r="D139" t="s">
        <v>3094</v>
      </c>
      <c r="E139" s="19" t="s">
        <v>1149</v>
      </c>
      <c r="F139" t="s">
        <v>1993</v>
      </c>
      <c r="G139" s="19" t="s">
        <v>2789</v>
      </c>
      <c r="I139" t="s">
        <v>2243</v>
      </c>
      <c r="J139" s="15" t="s">
        <v>1786</v>
      </c>
      <c r="K139" s="2" t="str">
        <f t="shared" si="2"/>
        <v>2138,'LICENCIATURA','maria.dominguez','DLM0970','TOMAR DEL SND','DOMINGUEZ LOPEZ MARIA ALEJANDRA','PROFESORES','','FEMENINO','ACTIVO','',0,0,'','PROFESOR'</v>
      </c>
      <c r="L139" s="2" t="str">
        <f>CONCATENATE($K$1,K139,");")</f>
        <v>INSERT INTO participantes (id,nivel,correo,matricula,clave,nombre,carrera,grado,sexo,situacion,evaluados,num_evaluados,total_evaluaciones,ultimo_acceso,nivel_acceso) VALUES (2138,'LICENCIATURA','maria.dominguez','DLM0970','TOMAR DEL SND','DOMINGUEZ LOPEZ MARIA ALEJANDRA','PROFESORES','','FEMENINO','ACTIVO','',0,0,'','PROFESOR');</v>
      </c>
    </row>
    <row r="140" spans="1:12" x14ac:dyDescent="0.35">
      <c r="A140" s="21">
        <v>2139</v>
      </c>
      <c r="B140" s="20" t="s">
        <v>5</v>
      </c>
      <c r="C140" s="15" t="s">
        <v>2934</v>
      </c>
      <c r="D140" t="s">
        <v>3095</v>
      </c>
      <c r="E140" s="19" t="s">
        <v>1149</v>
      </c>
      <c r="F140" t="s">
        <v>1994</v>
      </c>
      <c r="G140" s="19" t="s">
        <v>2789</v>
      </c>
      <c r="I140" t="s">
        <v>2242</v>
      </c>
      <c r="J140" s="15" t="s">
        <v>1786</v>
      </c>
      <c r="K140" s="2" t="str">
        <f t="shared" si="2"/>
        <v>2139,'LICENCIATURA','rodrigo.pena','PCR0609','TOMAR DEL SND','PEÑA CAMACHO RODRIGO','PROFESORES','','MASCULINO','ACTIVO','',0,0,'','PROFESOR'</v>
      </c>
      <c r="L140" s="2" t="str">
        <f>CONCATENATE($K$1,K140,");")</f>
        <v>INSERT INTO participantes (id,nivel,correo,matricula,clave,nombre,carrera,grado,sexo,situacion,evaluados,num_evaluados,total_evaluaciones,ultimo_acceso,nivel_acceso) VALUES (2139,'LICENCIATURA','rodrigo.pena','PCR0609','TOMAR DEL SND','PEÑA CAMACHO RODRIGO','PROFESORES','','MASCULINO','ACTIVO','',0,0,'','PROFESOR');</v>
      </c>
    </row>
    <row r="141" spans="1:12" x14ac:dyDescent="0.35">
      <c r="A141" s="21">
        <v>2140</v>
      </c>
      <c r="B141" s="20" t="s">
        <v>5</v>
      </c>
      <c r="C141" s="15" t="s">
        <v>2935</v>
      </c>
      <c r="D141" t="s">
        <v>3096</v>
      </c>
      <c r="E141" s="19" t="s">
        <v>1149</v>
      </c>
      <c r="F141" t="s">
        <v>1995</v>
      </c>
      <c r="G141" s="19" t="s">
        <v>2789</v>
      </c>
      <c r="I141" t="s">
        <v>2243</v>
      </c>
      <c r="J141" s="15" t="s">
        <v>1786</v>
      </c>
      <c r="K141" s="2" t="str">
        <f t="shared" si="2"/>
        <v>2140,'LICENCIATURA','lucila.aguilar','AFL0465','TOMAR DEL SND','AGUILAR FLETES LUCILA GORETY','PROFESORES','','FEMENINO','ACTIVO','',0,0,'','PROFESOR'</v>
      </c>
      <c r="L141" s="2" t="str">
        <f>CONCATENATE($K$1,K141,");")</f>
        <v>INSERT INTO participantes (id,nivel,correo,matricula,clave,nombre,carrera,grado,sexo,situacion,evaluados,num_evaluados,total_evaluaciones,ultimo_acceso,nivel_acceso) VALUES (2140,'LICENCIATURA','lucila.aguilar','AFL0465','TOMAR DEL SND','AGUILAR FLETES LUCILA GORETY','PROFESORES','','FEMENINO','ACTIVO','',0,0,'','PROFESOR');</v>
      </c>
    </row>
    <row r="142" spans="1:12" x14ac:dyDescent="0.35">
      <c r="A142" s="21">
        <v>2141</v>
      </c>
      <c r="B142" s="20" t="s">
        <v>5</v>
      </c>
      <c r="C142" s="15" t="s">
        <v>2936</v>
      </c>
      <c r="D142" t="s">
        <v>3097</v>
      </c>
      <c r="E142" s="19" t="s">
        <v>1149</v>
      </c>
      <c r="F142" t="s">
        <v>1996</v>
      </c>
      <c r="G142" s="19" t="s">
        <v>2789</v>
      </c>
      <c r="I142" t="s">
        <v>2242</v>
      </c>
      <c r="J142" s="15" t="s">
        <v>1786</v>
      </c>
      <c r="K142" s="2" t="str">
        <f t="shared" si="2"/>
        <v>2141,'LICENCIATURA','jesus.banuelos','BMJ1960','TOMAR DEL SND','BAÑUELOS MAGAÑA JESUS','PROFESORES','','MASCULINO','ACTIVO','',0,0,'','PROFESOR'</v>
      </c>
      <c r="L142" s="2" t="str">
        <f>CONCATENATE($K$1,K142,");")</f>
        <v>INSERT INTO participantes (id,nivel,correo,matricula,clave,nombre,carrera,grado,sexo,situacion,evaluados,num_evaluados,total_evaluaciones,ultimo_acceso,nivel_acceso) VALUES (2141,'LICENCIATURA','jesus.banuelos','BMJ1960','TOMAR DEL SND','BAÑUELOS MAGAÑA JESUS','PROFESORES','','MASCULINO','ACTIVO','',0,0,'','PROFESOR');</v>
      </c>
    </row>
    <row r="143" spans="1:12" x14ac:dyDescent="0.35">
      <c r="A143" s="21">
        <v>2142</v>
      </c>
      <c r="B143" s="20" t="s">
        <v>5</v>
      </c>
      <c r="C143" s="15" t="s">
        <v>2930</v>
      </c>
      <c r="D143" t="s">
        <v>3090</v>
      </c>
      <c r="E143" s="19" t="s">
        <v>1149</v>
      </c>
      <c r="F143" t="s">
        <v>1989</v>
      </c>
      <c r="G143" s="19" t="s">
        <v>2789</v>
      </c>
      <c r="I143" t="s">
        <v>2243</v>
      </c>
      <c r="J143" s="15" t="s">
        <v>1786</v>
      </c>
      <c r="K143" s="2" t="str">
        <f t="shared" si="2"/>
        <v>2142,'LICENCIATURA','maria.gonzalez','GAM0556','TOMAR DEL SND','GONZALEZ ALVAREZ MARIA TERESA','PROFESORES','','FEMENINO','ACTIVO','',0,0,'','PROFESOR'</v>
      </c>
      <c r="L143" s="2" t="str">
        <f>CONCATENATE($K$1,K143,");")</f>
        <v>INSERT INTO participantes (id,nivel,correo,matricula,clave,nombre,carrera,grado,sexo,situacion,evaluados,num_evaluados,total_evaluaciones,ultimo_acceso,nivel_acceso) VALUES (2142,'LICENCIATURA','maria.gonzalez','GAM0556','TOMAR DEL SND','GONZALEZ ALVAREZ MARIA TERESA','PROFESORES','','FEMENINO','ACTIVO','',0,0,'','PROFESOR');</v>
      </c>
    </row>
    <row r="144" spans="1:12" x14ac:dyDescent="0.35">
      <c r="A144" s="21">
        <v>2143</v>
      </c>
      <c r="B144" s="20" t="s">
        <v>5</v>
      </c>
      <c r="C144" s="15" t="s">
        <v>2929</v>
      </c>
      <c r="D144" t="s">
        <v>3089</v>
      </c>
      <c r="E144" s="19" t="s">
        <v>1149</v>
      </c>
      <c r="F144" t="s">
        <v>1988</v>
      </c>
      <c r="G144" s="19" t="s">
        <v>2789</v>
      </c>
      <c r="I144" t="s">
        <v>2242</v>
      </c>
      <c r="J144" s="15" t="s">
        <v>1786</v>
      </c>
      <c r="K144" s="2" t="str">
        <f t="shared" si="2"/>
        <v>2143,'LICENCIATURA','horacio.arteaga','ACH1131','TOMAR DEL SND','ARTEAGA CARDONA HORACIO','PROFESORES','','MASCULINO','ACTIVO','',0,0,'','PROFESOR'</v>
      </c>
      <c r="L144" s="2" t="str">
        <f>CONCATENATE($K$1,K144,");")</f>
        <v>INSERT INTO participantes (id,nivel,correo,matricula,clave,nombre,carrera,grado,sexo,situacion,evaluados,num_evaluados,total_evaluaciones,ultimo_acceso,nivel_acceso) VALUES (2143,'LICENCIATURA','horacio.arteaga','ACH1131','TOMAR DEL SND','ARTEAGA CARDONA HORACIO','PROFESORES','','MASCULINO','ACTIVO','',0,0,'','PROFESOR');</v>
      </c>
    </row>
    <row r="145" spans="1:12" x14ac:dyDescent="0.35">
      <c r="A145" s="21">
        <v>2144</v>
      </c>
      <c r="B145" s="20" t="s">
        <v>5</v>
      </c>
      <c r="C145" s="15" t="s">
        <v>2937</v>
      </c>
      <c r="D145" t="s">
        <v>3098</v>
      </c>
      <c r="E145" s="19" t="s">
        <v>1149</v>
      </c>
      <c r="F145" t="s">
        <v>1997</v>
      </c>
      <c r="G145" s="19" t="s">
        <v>2789</v>
      </c>
      <c r="I145" t="s">
        <v>2243</v>
      </c>
      <c r="J145" s="15" t="s">
        <v>1786</v>
      </c>
      <c r="K145" s="2" t="str">
        <f t="shared" si="2"/>
        <v>2144,'LICENCIATURA','erika.ponce','PSE2004','TOMAR DEL SND','PONCE SAAVEDRA ERIKA ALICIA','PROFESORES','','FEMENINO','ACTIVO','',0,0,'','PROFESOR'</v>
      </c>
      <c r="L145" s="2" t="str">
        <f>CONCATENATE($K$1,K145,");")</f>
        <v>INSERT INTO participantes (id,nivel,correo,matricula,clave,nombre,carrera,grado,sexo,situacion,evaluados,num_evaluados,total_evaluaciones,ultimo_acceso,nivel_acceso) VALUES (2144,'LICENCIATURA','erika.ponce','PSE2004','TOMAR DEL SND','PONCE SAAVEDRA ERIKA ALICIA','PROFESORES','','FEMENINO','ACTIVO','',0,0,'','PROFESOR');</v>
      </c>
    </row>
    <row r="146" spans="1:12" x14ac:dyDescent="0.35">
      <c r="A146" s="21">
        <v>2145</v>
      </c>
      <c r="B146" s="20" t="s">
        <v>5</v>
      </c>
      <c r="C146" s="15" t="s">
        <v>2938</v>
      </c>
      <c r="D146" t="s">
        <v>3099</v>
      </c>
      <c r="E146" s="19" t="s">
        <v>1149</v>
      </c>
      <c r="F146" t="s">
        <v>1998</v>
      </c>
      <c r="G146" s="19" t="s">
        <v>2789</v>
      </c>
      <c r="I146" t="s">
        <v>2243</v>
      </c>
      <c r="J146" s="15" t="s">
        <v>1786</v>
      </c>
      <c r="K146" s="2" t="str">
        <f t="shared" si="2"/>
        <v>2145,'LICENCIATURA','dennis.camacho','CBD0795','TOMAR DEL SND','CAMACHO BUENROSTRO DENNIS','PROFESORES','','FEMENINO','ACTIVO','',0,0,'','PROFESOR'</v>
      </c>
      <c r="L146" s="2" t="str">
        <f>CONCATENATE($K$1,K146,");")</f>
        <v>INSERT INTO participantes (id,nivel,correo,matricula,clave,nombre,carrera,grado,sexo,situacion,evaluados,num_evaluados,total_evaluaciones,ultimo_acceso,nivel_acceso) VALUES (2145,'LICENCIATURA','dennis.camacho','CBD0795','TOMAR DEL SND','CAMACHO BUENROSTRO DENNIS','PROFESORES','','FEMENINO','ACTIVO','',0,0,'','PROFESOR');</v>
      </c>
    </row>
    <row r="147" spans="1:12" x14ac:dyDescent="0.35">
      <c r="A147" s="21">
        <v>2146</v>
      </c>
      <c r="B147" s="20" t="s">
        <v>5</v>
      </c>
      <c r="C147" s="15" t="s">
        <v>2908</v>
      </c>
      <c r="D147" t="s">
        <v>3068</v>
      </c>
      <c r="E147" s="19" t="s">
        <v>1149</v>
      </c>
      <c r="F147" t="s">
        <v>1967</v>
      </c>
      <c r="G147" s="19" t="s">
        <v>2789</v>
      </c>
      <c r="I147" t="s">
        <v>2242</v>
      </c>
      <c r="J147" s="15" t="s">
        <v>1786</v>
      </c>
      <c r="K147" s="2" t="str">
        <f t="shared" si="2"/>
        <v>2146,'LICENCIATURA','daniel.restrepo','RMD2043','TOMAR DEL SND','RESTREPO MUÑOZ DANIEL','PROFESORES','','MASCULINO','ACTIVO','',0,0,'','PROFESOR'</v>
      </c>
      <c r="L147" s="2" t="str">
        <f>CONCATENATE($K$1,K147,");")</f>
        <v>INSERT INTO participantes (id,nivel,correo,matricula,clave,nombre,carrera,grado,sexo,situacion,evaluados,num_evaluados,total_evaluaciones,ultimo_acceso,nivel_acceso) VALUES (2146,'LICENCIATURA','daniel.restrepo','RMD2043','TOMAR DEL SND','RESTREPO MUÑOZ DANIEL','PROFESORES','','MASCULINO','ACTIVO','',0,0,'','PROFESOR');</v>
      </c>
    </row>
    <row r="148" spans="1:12" x14ac:dyDescent="0.35">
      <c r="A148" s="21">
        <v>2147</v>
      </c>
      <c r="B148" s="20" t="s">
        <v>5</v>
      </c>
      <c r="C148" s="15" t="s">
        <v>2889</v>
      </c>
      <c r="D148" t="s">
        <v>3092</v>
      </c>
      <c r="E148" s="19" t="s">
        <v>1149</v>
      </c>
      <c r="F148" t="s">
        <v>1991</v>
      </c>
      <c r="G148" s="19" t="s">
        <v>2789</v>
      </c>
      <c r="I148" t="s">
        <v>2242</v>
      </c>
      <c r="J148" s="15" t="s">
        <v>1786</v>
      </c>
      <c r="K148" s="2" t="str">
        <f t="shared" si="2"/>
        <v>2147,'LICENCIATURA','enrique.gonzalez','GGE1133','TOMAR DEL SND','GONZALEZ GONZALEZ ENRIQUE','PROFESORES','','MASCULINO','ACTIVO','',0,0,'','PROFESOR'</v>
      </c>
      <c r="L148" s="2" t="str">
        <f>CONCATENATE($K$1,K148,");")</f>
        <v>INSERT INTO participantes (id,nivel,correo,matricula,clave,nombre,carrera,grado,sexo,situacion,evaluados,num_evaluados,total_evaluaciones,ultimo_acceso,nivel_acceso) VALUES (2147,'LICENCIATURA','enrique.gonzalez','GGE1133','TOMAR DEL SND','GONZALEZ GONZALEZ ENRIQUE','PROFESORES','','MASCULINO','ACTIVO','',0,0,'','PROFESOR');</v>
      </c>
    </row>
    <row r="149" spans="1:12" x14ac:dyDescent="0.35">
      <c r="A149" s="21">
        <v>2148</v>
      </c>
      <c r="B149" s="20" t="s">
        <v>5</v>
      </c>
      <c r="C149" s="15" t="s">
        <v>2939</v>
      </c>
      <c r="D149" t="s">
        <v>3100</v>
      </c>
      <c r="E149" s="19" t="s">
        <v>1149</v>
      </c>
      <c r="F149" t="s">
        <v>1999</v>
      </c>
      <c r="G149" s="19" t="s">
        <v>2789</v>
      </c>
      <c r="I149" t="s">
        <v>2242</v>
      </c>
      <c r="J149" s="15" t="s">
        <v>1786</v>
      </c>
      <c r="K149" s="2" t="str">
        <f t="shared" si="2"/>
        <v>2148,'LICENCIATURA','ricardo.robles','RAR1948','TOMAR DEL SND','ROBLES AVALOS RICARDO','PROFESORES','','MASCULINO','ACTIVO','',0,0,'','PROFESOR'</v>
      </c>
      <c r="L149" s="2" t="str">
        <f>CONCATENATE($K$1,K149,");")</f>
        <v>INSERT INTO participantes (id,nivel,correo,matricula,clave,nombre,carrera,grado,sexo,situacion,evaluados,num_evaluados,total_evaluaciones,ultimo_acceso,nivel_acceso) VALUES (2148,'LICENCIATURA','ricardo.robles','RAR1948','TOMAR DEL SND','ROBLES AVALOS RICARDO','PROFESORES','','MASCULINO','ACTIVO','',0,0,'','PROFESOR');</v>
      </c>
    </row>
    <row r="150" spans="1:12" x14ac:dyDescent="0.35">
      <c r="A150" s="21">
        <v>2149</v>
      </c>
      <c r="B150" s="20" t="s">
        <v>5</v>
      </c>
      <c r="C150" s="15" t="s">
        <v>2842</v>
      </c>
      <c r="D150" t="s">
        <v>3010</v>
      </c>
      <c r="E150" s="19" t="s">
        <v>1149</v>
      </c>
      <c r="F150" t="s">
        <v>1901</v>
      </c>
      <c r="G150" s="19" t="s">
        <v>2789</v>
      </c>
      <c r="I150" t="s">
        <v>2242</v>
      </c>
      <c r="J150" s="15" t="s">
        <v>1786</v>
      </c>
      <c r="K150" s="2" t="str">
        <f t="shared" si="2"/>
        <v>2149,'LICENCIATURA','hector.moreno','MLH1052','TOMAR DEL SND','MORENO LLAMAS HECTOR RAUL','PROFESORES','','MASCULINO','ACTIVO','',0,0,'','PROFESOR'</v>
      </c>
      <c r="L150" s="2" t="str">
        <f>CONCATENATE($K$1,K150,");")</f>
        <v>INSERT INTO participantes (id,nivel,correo,matricula,clave,nombre,carrera,grado,sexo,situacion,evaluados,num_evaluados,total_evaluaciones,ultimo_acceso,nivel_acceso) VALUES (2149,'LICENCIATURA','hector.moreno','MLH1052','TOMAR DEL SND','MORENO LLAMAS HECTOR RAUL','PROFESORES','','MASCULINO','ACTIVO','',0,0,'','PROFESOR');</v>
      </c>
    </row>
    <row r="151" spans="1:12" x14ac:dyDescent="0.35">
      <c r="A151" s="21">
        <v>2150</v>
      </c>
      <c r="B151" s="20" t="s">
        <v>5</v>
      </c>
      <c r="C151" s="15" t="s">
        <v>2940</v>
      </c>
      <c r="D151" t="s">
        <v>3101</v>
      </c>
      <c r="E151" s="19" t="s">
        <v>1149</v>
      </c>
      <c r="F151" t="s">
        <v>2000</v>
      </c>
      <c r="G151" s="19" t="s">
        <v>2789</v>
      </c>
      <c r="I151" t="s">
        <v>2242</v>
      </c>
      <c r="J151" s="15" t="s">
        <v>1786</v>
      </c>
      <c r="K151" s="2" t="str">
        <f t="shared" si="2"/>
        <v>2150,'LICENCIATURA','alejandro.uribe','ULA0927','TOMAR DEL SND','URIBE LOPEZ ALEJANDRO','PROFESORES','','MASCULINO','ACTIVO','',0,0,'','PROFESOR'</v>
      </c>
      <c r="L151" s="2" t="str">
        <f>CONCATENATE($K$1,K151,");")</f>
        <v>INSERT INTO participantes (id,nivel,correo,matricula,clave,nombre,carrera,grado,sexo,situacion,evaluados,num_evaluados,total_evaluaciones,ultimo_acceso,nivel_acceso) VALUES (2150,'LICENCIATURA','alejandro.uribe','ULA0927','TOMAR DEL SND','URIBE LOPEZ ALEJANDRO','PROFESORES','','MASCULINO','ACTIVO','',0,0,'','PROFESOR');</v>
      </c>
    </row>
    <row r="152" spans="1:12" x14ac:dyDescent="0.35">
      <c r="A152" s="21">
        <v>2151</v>
      </c>
      <c r="B152" s="20" t="s">
        <v>5</v>
      </c>
      <c r="C152" s="15" t="s">
        <v>2941</v>
      </c>
      <c r="D152" t="s">
        <v>3102</v>
      </c>
      <c r="E152" s="19" t="s">
        <v>1149</v>
      </c>
      <c r="F152" t="s">
        <v>2001</v>
      </c>
      <c r="G152" s="19" t="s">
        <v>2789</v>
      </c>
      <c r="I152" t="s">
        <v>2242</v>
      </c>
      <c r="J152" s="15" t="s">
        <v>1786</v>
      </c>
      <c r="K152" s="2" t="str">
        <f t="shared" si="2"/>
        <v>2151,'LICENCIATURA','hector.flores','FGH1934','TOMAR DEL SND','FLORES GUZMAN HECTOR ALFONSO','PROFESORES','','MASCULINO','ACTIVO','',0,0,'','PROFESOR'</v>
      </c>
      <c r="L152" s="2" t="str">
        <f>CONCATENATE($K$1,K152,");")</f>
        <v>INSERT INTO participantes (id,nivel,correo,matricula,clave,nombre,carrera,grado,sexo,situacion,evaluados,num_evaluados,total_evaluaciones,ultimo_acceso,nivel_acceso) VALUES (2151,'LICENCIATURA','hector.flores','FGH1934','TOMAR DEL SND','FLORES GUZMAN HECTOR ALFONSO','PROFESORES','','MASCULINO','ACTIVO','',0,0,'','PROFESOR');</v>
      </c>
    </row>
    <row r="153" spans="1:12" x14ac:dyDescent="0.35">
      <c r="A153" s="21">
        <v>2152</v>
      </c>
      <c r="B153" s="20" t="s">
        <v>5</v>
      </c>
      <c r="C153" s="15" t="s">
        <v>2942</v>
      </c>
      <c r="D153" t="s">
        <v>3103</v>
      </c>
      <c r="E153" s="19" t="s">
        <v>1149</v>
      </c>
      <c r="F153" t="s">
        <v>2002</v>
      </c>
      <c r="G153" s="19" t="s">
        <v>2789</v>
      </c>
      <c r="I153" t="s">
        <v>2242</v>
      </c>
      <c r="J153" s="15" t="s">
        <v>1786</v>
      </c>
      <c r="K153" s="2" t="str">
        <f t="shared" si="2"/>
        <v>2152,'LICENCIATURA','ricardo.ramirez','RRR2052','TOMAR DEL SND','RAMIREZ RAMIREZ RICARDO','PROFESORES','','MASCULINO','ACTIVO','',0,0,'','PROFESOR'</v>
      </c>
      <c r="L153" s="2" t="str">
        <f>CONCATENATE($K$1,K153,");")</f>
        <v>INSERT INTO participantes (id,nivel,correo,matricula,clave,nombre,carrera,grado,sexo,situacion,evaluados,num_evaluados,total_evaluaciones,ultimo_acceso,nivel_acceso) VALUES (2152,'LICENCIATURA','ricardo.ramirez','RRR2052','TOMAR DEL SND','RAMIREZ RAMIREZ RICARDO','PROFESORES','','MASCULINO','ACTIVO','',0,0,'','PROFESOR');</v>
      </c>
    </row>
    <row r="154" spans="1:12" x14ac:dyDescent="0.35">
      <c r="A154" s="21">
        <v>2153</v>
      </c>
      <c r="B154" s="20" t="s">
        <v>5</v>
      </c>
      <c r="C154" s="15" t="s">
        <v>2943</v>
      </c>
      <c r="D154" t="s">
        <v>3104</v>
      </c>
      <c r="E154" s="19" t="s">
        <v>1149</v>
      </c>
      <c r="F154" t="s">
        <v>2003</v>
      </c>
      <c r="G154" s="19" t="s">
        <v>2789</v>
      </c>
      <c r="I154" t="s">
        <v>2242</v>
      </c>
      <c r="J154" s="15" t="s">
        <v>1786</v>
      </c>
      <c r="K154" s="2" t="str">
        <f t="shared" si="2"/>
        <v>2153,'LICENCIATURA','david.herrera','HAD0939','TOMAR DEL SND','HERRERA ARAGON DAVID','PROFESORES','','MASCULINO','ACTIVO','',0,0,'','PROFESOR'</v>
      </c>
      <c r="L154" s="2" t="str">
        <f>CONCATENATE($K$1,K154,");")</f>
        <v>INSERT INTO participantes (id,nivel,correo,matricula,clave,nombre,carrera,grado,sexo,situacion,evaluados,num_evaluados,total_evaluaciones,ultimo_acceso,nivel_acceso) VALUES (2153,'LICENCIATURA','david.herrera','HAD0939','TOMAR DEL SND','HERRERA ARAGON DAVID','PROFESORES','','MASCULINO','ACTIVO','',0,0,'','PROFESOR');</v>
      </c>
    </row>
    <row r="155" spans="1:12" x14ac:dyDescent="0.35">
      <c r="A155" s="21">
        <v>2154</v>
      </c>
      <c r="B155" s="20" t="s">
        <v>5</v>
      </c>
      <c r="C155" s="15" t="s">
        <v>2945</v>
      </c>
      <c r="D155" t="s">
        <v>3106</v>
      </c>
      <c r="E155" s="19" t="s">
        <v>1149</v>
      </c>
      <c r="F155" t="s">
        <v>2005</v>
      </c>
      <c r="G155" s="19" t="s">
        <v>2789</v>
      </c>
      <c r="I155" t="s">
        <v>2242</v>
      </c>
      <c r="J155" s="15" t="s">
        <v>1786</v>
      </c>
      <c r="K155" s="2" t="str">
        <f t="shared" si="2"/>
        <v>2154,'LICENCIATURA','jose.rizo','RAJ1773','TOMAR DEL SND','RIZO AVALOS JOSE DE JESUS','PROFESORES','','MASCULINO','ACTIVO','',0,0,'','PROFESOR'</v>
      </c>
      <c r="L155" s="2" t="str">
        <f>CONCATENATE($K$1,K155,");")</f>
        <v>INSERT INTO participantes (id,nivel,correo,matricula,clave,nombre,carrera,grado,sexo,situacion,evaluados,num_evaluados,total_evaluaciones,ultimo_acceso,nivel_acceso) VALUES (2154,'LICENCIATURA','jose.rizo','RAJ1773','TOMAR DEL SND','RIZO AVALOS JOSE DE JESUS','PROFESORES','','MASCULINO','ACTIVO','',0,0,'','PROFESOR');</v>
      </c>
    </row>
    <row r="156" spans="1:12" x14ac:dyDescent="0.35">
      <c r="A156" s="21">
        <v>2155</v>
      </c>
      <c r="B156" s="20" t="s">
        <v>5</v>
      </c>
      <c r="C156" s="15" t="s">
        <v>2946</v>
      </c>
      <c r="D156" t="s">
        <v>3107</v>
      </c>
      <c r="E156" s="19" t="s">
        <v>1149</v>
      </c>
      <c r="F156" t="s">
        <v>2006</v>
      </c>
      <c r="G156" s="19" t="s">
        <v>2789</v>
      </c>
      <c r="I156" t="s">
        <v>2242</v>
      </c>
      <c r="J156" s="15" t="s">
        <v>1786</v>
      </c>
      <c r="K156" s="2" t="str">
        <f t="shared" si="2"/>
        <v>2155,'LICENCIATURA','ian.barrera','BSI1910','TOMAR DEL SND','BARRERA SANCHEZ IAN ALEJANDRO','PROFESORES','','MASCULINO','ACTIVO','',0,0,'','PROFESOR'</v>
      </c>
      <c r="L156" s="2" t="str">
        <f>CONCATENATE($K$1,K156,");")</f>
        <v>INSERT INTO participantes (id,nivel,correo,matricula,clave,nombre,carrera,grado,sexo,situacion,evaluados,num_evaluados,total_evaluaciones,ultimo_acceso,nivel_acceso) VALUES (2155,'LICENCIATURA','ian.barrera','BSI1910','TOMAR DEL SND','BARRERA SANCHEZ IAN ALEJANDRO','PROFESORES','','MASCULINO','ACTIVO','',0,0,'','PROFESOR');</v>
      </c>
    </row>
    <row r="157" spans="1:12" x14ac:dyDescent="0.35">
      <c r="A157" s="21">
        <v>2156</v>
      </c>
      <c r="B157" s="20" t="s">
        <v>5</v>
      </c>
      <c r="C157" s="15" t="s">
        <v>2947</v>
      </c>
      <c r="D157" t="s">
        <v>3108</v>
      </c>
      <c r="E157" s="19" t="s">
        <v>1149</v>
      </c>
      <c r="F157" t="s">
        <v>2007</v>
      </c>
      <c r="G157" s="19" t="s">
        <v>2789</v>
      </c>
      <c r="I157" t="s">
        <v>2242</v>
      </c>
      <c r="J157" s="15" t="s">
        <v>1786</v>
      </c>
      <c r="K157" s="2" t="str">
        <f t="shared" si="2"/>
        <v>2156,'LICENCIATURA','manuel.zepeda','ZGM1566','TOMAR DEL SND','ZEPEDA  GOMEZ MANUEL GUSTAVO','PROFESORES','','MASCULINO','ACTIVO','',0,0,'','PROFESOR'</v>
      </c>
      <c r="L157" s="2" t="str">
        <f>CONCATENATE($K$1,K157,");")</f>
        <v>INSERT INTO participantes (id,nivel,correo,matricula,clave,nombre,carrera,grado,sexo,situacion,evaluados,num_evaluados,total_evaluaciones,ultimo_acceso,nivel_acceso) VALUES (2156,'LICENCIATURA','manuel.zepeda','ZGM1566','TOMAR DEL SND','ZEPEDA  GOMEZ MANUEL GUSTAVO','PROFESORES','','MASCULINO','ACTIVO','',0,0,'','PROFESOR');</v>
      </c>
    </row>
    <row r="158" spans="1:12" x14ac:dyDescent="0.35">
      <c r="A158" s="21">
        <v>2157</v>
      </c>
      <c r="B158" s="20" t="s">
        <v>5</v>
      </c>
      <c r="C158" s="15" t="s">
        <v>2948</v>
      </c>
      <c r="D158" t="s">
        <v>3109</v>
      </c>
      <c r="E158" s="19" t="s">
        <v>1149</v>
      </c>
      <c r="F158" t="s">
        <v>2008</v>
      </c>
      <c r="G158" s="19" t="s">
        <v>2789</v>
      </c>
      <c r="I158" t="s">
        <v>2243</v>
      </c>
      <c r="J158" s="15" t="s">
        <v>1786</v>
      </c>
      <c r="K158" s="2" t="str">
        <f t="shared" si="2"/>
        <v>2157,'LICENCIATURA','monserrat.perez','PCM1848','TOMAR DEL SND','PEREZ CAMACHO MONSERRAT MARLEM','PROFESORES','','FEMENINO','ACTIVO','',0,0,'','PROFESOR'</v>
      </c>
      <c r="L158" s="2" t="str">
        <f>CONCATENATE($K$1,K158,");")</f>
        <v>INSERT INTO participantes (id,nivel,correo,matricula,clave,nombre,carrera,grado,sexo,situacion,evaluados,num_evaluados,total_evaluaciones,ultimo_acceso,nivel_acceso) VALUES (2157,'LICENCIATURA','monserrat.perez','PCM1848','TOMAR DEL SND','PEREZ CAMACHO MONSERRAT MARLEM','PROFESORES','','FEMENINO','ACTIVO','',0,0,'','PROFESOR');</v>
      </c>
    </row>
    <row r="159" spans="1:12" x14ac:dyDescent="0.35">
      <c r="A159" s="21">
        <v>2158</v>
      </c>
      <c r="B159" s="20" t="s">
        <v>5</v>
      </c>
      <c r="C159" s="15" t="s">
        <v>2949</v>
      </c>
      <c r="D159" t="s">
        <v>3110</v>
      </c>
      <c r="E159" s="19" t="s">
        <v>1149</v>
      </c>
      <c r="F159" t="s">
        <v>2009</v>
      </c>
      <c r="G159" s="19" t="s">
        <v>2789</v>
      </c>
      <c r="I159" t="s">
        <v>2243</v>
      </c>
      <c r="J159" s="15" t="s">
        <v>1786</v>
      </c>
      <c r="K159" s="2" t="str">
        <f t="shared" si="2"/>
        <v>2158,'LICENCIATURA','erika.valerio','VPE1088','TOMAR DEL SND','VALERIO PRIETO ERIKA','PROFESORES','','FEMENINO','ACTIVO','',0,0,'','PROFESOR'</v>
      </c>
      <c r="L159" s="2" t="str">
        <f>CONCATENATE($K$1,K159,");")</f>
        <v>INSERT INTO participantes (id,nivel,correo,matricula,clave,nombre,carrera,grado,sexo,situacion,evaluados,num_evaluados,total_evaluaciones,ultimo_acceso,nivel_acceso) VALUES (2158,'LICENCIATURA','erika.valerio','VPE1088','TOMAR DEL SND','VALERIO PRIETO ERIKA','PROFESORES','','FEMENINO','ACTIVO','',0,0,'','PROFESOR');</v>
      </c>
    </row>
    <row r="160" spans="1:12" x14ac:dyDescent="0.35">
      <c r="A160" s="21">
        <v>2159</v>
      </c>
      <c r="B160" s="20" t="s">
        <v>5</v>
      </c>
      <c r="C160" s="15" t="s">
        <v>2944</v>
      </c>
      <c r="D160" t="s">
        <v>3105</v>
      </c>
      <c r="E160" s="19" t="s">
        <v>1149</v>
      </c>
      <c r="F160" t="s">
        <v>2004</v>
      </c>
      <c r="G160" s="19" t="s">
        <v>2789</v>
      </c>
      <c r="I160" t="s">
        <v>2242</v>
      </c>
      <c r="J160" s="15" t="s">
        <v>1786</v>
      </c>
      <c r="K160" s="2" t="str">
        <f t="shared" si="2"/>
        <v>2159,'LICENCIATURA','david.gomez','GPD1665','TOMAR DEL SND','GOMEZ PEREZ DAVID UBALDO','PROFESORES','','MASCULINO','ACTIVO','',0,0,'','PROFESOR'</v>
      </c>
      <c r="L160" s="2" t="str">
        <f>CONCATENATE($K$1,K160,");")</f>
        <v>INSERT INTO participantes (id,nivel,correo,matricula,clave,nombre,carrera,grado,sexo,situacion,evaluados,num_evaluados,total_evaluaciones,ultimo_acceso,nivel_acceso) VALUES (2159,'LICENCIATURA','david.gomez','GPD1665','TOMAR DEL SND','GOMEZ PEREZ DAVID UBALDO','PROFESORES','','MASCULINO','ACTIVO','',0,0,'','PROFESOR');</v>
      </c>
    </row>
    <row r="161" spans="1:12" x14ac:dyDescent="0.35">
      <c r="A161" s="21">
        <v>2160</v>
      </c>
      <c r="B161" s="20" t="s">
        <v>5</v>
      </c>
      <c r="C161" s="15" t="s">
        <v>2950</v>
      </c>
      <c r="D161" t="s">
        <v>3111</v>
      </c>
      <c r="E161" s="19" t="s">
        <v>1149</v>
      </c>
      <c r="F161" t="s">
        <v>2010</v>
      </c>
      <c r="G161" s="19" t="s">
        <v>2789</v>
      </c>
      <c r="I161" t="s">
        <v>2243</v>
      </c>
      <c r="J161" s="15" t="s">
        <v>1786</v>
      </c>
      <c r="K161" s="2" t="str">
        <f t="shared" si="2"/>
        <v>2160,'LICENCIATURA','brenda.guerra','GRB0956','TOMAR DEL SND','GUERRA RIOS BRENDA JEANNETTE','PROFESORES','','FEMENINO','ACTIVO','',0,0,'','PROFESOR'</v>
      </c>
      <c r="L161" s="2" t="str">
        <f>CONCATENATE($K$1,K161,");")</f>
        <v>INSERT INTO participantes (id,nivel,correo,matricula,clave,nombre,carrera,grado,sexo,situacion,evaluados,num_evaluados,total_evaluaciones,ultimo_acceso,nivel_acceso) VALUES (2160,'LICENCIATURA','brenda.guerra','GRB0956','TOMAR DEL SND','GUERRA RIOS BRENDA JEANNETTE','PROFESORES','','FEMENINO','ACTIVO','',0,0,'','PROFESOR');</v>
      </c>
    </row>
  </sheetData>
  <autoFilter ref="A1:L161" xr:uid="{387F92BF-D5FF-4295-BA60-8484DCD42E92}">
    <sortState xmlns:xlrd2="http://schemas.microsoft.com/office/spreadsheetml/2017/richdata2" ref="A2:L161">
      <sortCondition ref="A1:A161"/>
    </sortState>
  </autoFilter>
  <phoneticPr fontId="4" type="noConversion"/>
  <conditionalFormatting sqref="C1">
    <cfRule type="duplicateValues" dxfId="3" priority="3"/>
  </conditionalFormatting>
  <conditionalFormatting sqref="C1:C1048576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FAE7-BCF8-4909-98B3-DEC93985B313}">
  <dimension ref="A1:J295"/>
  <sheetViews>
    <sheetView topLeftCell="F291" workbookViewId="0">
      <selection activeCell="J2" sqref="J2:J295"/>
    </sheetView>
  </sheetViews>
  <sheetFormatPr baseColWidth="10" defaultRowHeight="14.5" x14ac:dyDescent="0.35"/>
  <cols>
    <col min="1" max="1" width="4.81640625" bestFit="1" customWidth="1"/>
    <col min="2" max="2" width="13.08984375" bestFit="1" customWidth="1"/>
    <col min="3" max="3" width="33.81640625" customWidth="1"/>
    <col min="9" max="10" width="43.6328125" style="12" customWidth="1"/>
  </cols>
  <sheetData>
    <row r="1" spans="1:10" ht="43.5" x14ac:dyDescent="0.35">
      <c r="A1" s="4" t="s">
        <v>4</v>
      </c>
      <c r="B1" s="1" t="s">
        <v>1787</v>
      </c>
      <c r="C1" s="4" t="s">
        <v>1722</v>
      </c>
      <c r="D1" s="1" t="s">
        <v>1745</v>
      </c>
      <c r="E1" s="1" t="s">
        <v>1150</v>
      </c>
      <c r="F1" s="1" t="s">
        <v>2011</v>
      </c>
      <c r="G1" s="1" t="s">
        <v>1742</v>
      </c>
      <c r="H1" s="1" t="s">
        <v>1789</v>
      </c>
      <c r="I1" s="13" t="s">
        <v>1790</v>
      </c>
    </row>
    <row r="2" spans="1:10" ht="101.5" x14ac:dyDescent="0.35">
      <c r="A2">
        <v>1001</v>
      </c>
      <c r="B2" t="s">
        <v>5</v>
      </c>
      <c r="C2" t="s">
        <v>1727</v>
      </c>
      <c r="D2" t="s">
        <v>1768</v>
      </c>
      <c r="E2" t="s">
        <v>1850</v>
      </c>
      <c r="F2" t="s">
        <v>2012</v>
      </c>
      <c r="G2" t="s">
        <v>2242</v>
      </c>
      <c r="H2">
        <v>0</v>
      </c>
      <c r="I2" s="14" t="str">
        <f>CONCATENATE(A2,",'",B2,"','",C2,"','",D2,"','",E2,"','",F2,"','",G2,"',",H2)</f>
        <v>1001,'LICENCIATURA','ADMINISTRACION Y DIRECCION DE NEGOCIOS','ADMON 5°','HERNANDEZ SALDIVAR LUIS FERNANDO','ADMINISTRACION DE LA CALIDAD I','MASCULINO',0</v>
      </c>
      <c r="J2" s="12" t="str">
        <f t="shared" ref="J2:J65" si="0">CONCATENATE($I$1,I2,");")</f>
        <v>INSERT INTO profesores (id,nivel,carrera,grupo,nombre,materia,sexo,sello) VALUES (1001,'LICENCIATURA','ADMINISTRACION Y DIRECCION DE NEGOCIOS','ADMON 5°','HERNANDEZ SALDIVAR LUIS FERNANDO','ADMINISTRACION DE LA CALIDAD I','MASCULINO',0);</v>
      </c>
    </row>
    <row r="3" spans="1:10" ht="101.5" x14ac:dyDescent="0.35">
      <c r="A3">
        <v>1002</v>
      </c>
      <c r="B3" t="s">
        <v>5</v>
      </c>
      <c r="C3" t="s">
        <v>1729</v>
      </c>
      <c r="D3" t="s">
        <v>1754</v>
      </c>
      <c r="E3" t="s">
        <v>1879</v>
      </c>
      <c r="F3" t="s">
        <v>2049</v>
      </c>
      <c r="G3" t="s">
        <v>2242</v>
      </c>
      <c r="H3">
        <v>0</v>
      </c>
      <c r="I3" s="14" t="str">
        <f t="shared" ref="I3:I66" si="1">CONCATENATE(A3,",'",B3,"','",C3,"','",D3,"','",E3,"','",F3,"','",G3,"',",H3)</f>
        <v>1002,'LICENCIATURA','ARQUITECTURA','ARQ 7°','PONCE CUEVAS JUAN','ADMINISTRACION DE LA EMPRESA CONSTRUCTORA  Y PROMOCION DEL ARQUITECTO','MASCULINO',0</v>
      </c>
      <c r="J3" s="12" t="str">
        <f t="shared" si="0"/>
        <v>INSERT INTO profesores (id,nivel,carrera,grupo,nombre,materia,sexo,sello) VALUES (1002,'LICENCIATURA','ARQUITECTURA','ARQ 7°','PONCE CUEVAS JUAN','ADMINISTRACION DE LA EMPRESA CONSTRUCTORA  Y PROMOCION DEL ARQUITECTO','MASCULINO',0);</v>
      </c>
    </row>
    <row r="4" spans="1:10" ht="101.5" x14ac:dyDescent="0.35">
      <c r="A4">
        <v>1003</v>
      </c>
      <c r="B4" t="s">
        <v>5</v>
      </c>
      <c r="C4" t="s">
        <v>1728</v>
      </c>
      <c r="D4" t="s">
        <v>1751</v>
      </c>
      <c r="E4" t="s">
        <v>1860</v>
      </c>
      <c r="F4" t="s">
        <v>2176</v>
      </c>
      <c r="G4" t="s">
        <v>2242</v>
      </c>
      <c r="H4">
        <v>0</v>
      </c>
      <c r="I4" s="14" t="str">
        <f t="shared" si="1"/>
        <v>1003,'LICENCIATURA','INGENIERIA INDUSTRIAL Y EN SISTEMAS ORGANIZACIONALES','IND 7°','ESCARCEGA GARCIA DE LEON MIGUEL ANGEL','ADMINISTRACION DE PRODUCCION II','MASCULINO',0</v>
      </c>
      <c r="J4" s="12" t="str">
        <f t="shared" si="0"/>
        <v>INSERT INTO profesores (id,nivel,carrera,grupo,nombre,materia,sexo,sello) VALUES (1003,'LICENCIATURA','INGENIERIA INDUSTRIAL Y EN SISTEMAS ORGANIZACIONALES','IND 7°','ESCARCEGA GARCIA DE LEON MIGUEL ANGEL','ADMINISTRACION DE PRODUCCION II','MASCULINO',0);</v>
      </c>
    </row>
    <row r="5" spans="1:10" ht="101.5" x14ac:dyDescent="0.35">
      <c r="A5">
        <v>1004</v>
      </c>
      <c r="B5" t="s">
        <v>5</v>
      </c>
      <c r="C5" t="s">
        <v>1724</v>
      </c>
      <c r="D5" t="s">
        <v>1747</v>
      </c>
      <c r="E5" t="s">
        <v>1980</v>
      </c>
      <c r="F5" t="s">
        <v>2193</v>
      </c>
      <c r="G5" t="s">
        <v>2243</v>
      </c>
      <c r="H5">
        <v>0</v>
      </c>
      <c r="I5" s="14" t="str">
        <f t="shared" si="1"/>
        <v>1004,'LICENCIATURA','NUTRICION Y GASTRONOMIA','NUT 9°','MIRANDA MORTERA MARIA DOLORES','ADMINISTRACION EN LA ALIMENTACION INSTITUCIONAL','FEMENINO',0</v>
      </c>
      <c r="J5" s="12" t="str">
        <f t="shared" si="0"/>
        <v>INSERT INTO profesores (id,nivel,carrera,grupo,nombre,materia,sexo,sello) VALUES (1004,'LICENCIATURA','NUTRICION Y GASTRONOMIA','NUT 9°','MIRANDA MORTERA MARIA DOLORES','ADMINISTRACION EN LA ALIMENTACION INSTITUCIONAL','FEMENINO',0);</v>
      </c>
    </row>
    <row r="6" spans="1:10" ht="101.5" x14ac:dyDescent="0.35">
      <c r="A6">
        <v>1005</v>
      </c>
      <c r="B6" t="s">
        <v>5</v>
      </c>
      <c r="C6" t="s">
        <v>1727</v>
      </c>
      <c r="D6" t="s">
        <v>1750</v>
      </c>
      <c r="E6" t="s">
        <v>1851</v>
      </c>
      <c r="F6" t="s">
        <v>2013</v>
      </c>
      <c r="G6" t="s">
        <v>2242</v>
      </c>
      <c r="H6">
        <v>0</v>
      </c>
      <c r="I6" s="14" t="str">
        <f t="shared" si="1"/>
        <v>1005,'LICENCIATURA','ADMINISTRACION Y DIRECCION DE NEGOCIOS','ADMON 7°','GOMEZ LEDEZMA JESUS ALEJANDRO','ADMINISTRACION Y DESARROLLO SUSTENTABLE','MASCULINO',0</v>
      </c>
      <c r="J6" s="12" t="str">
        <f t="shared" si="0"/>
        <v>INSERT INTO profesores (id,nivel,carrera,grupo,nombre,materia,sexo,sello) VALUES (1005,'LICENCIATURA','ADMINISTRACION Y DIRECCION DE NEGOCIOS','ADMON 7°','GOMEZ LEDEZMA JESUS ALEJANDRO','ADMINISTRACION Y DESARROLLO SUSTENTABLE','MASCULINO',0);</v>
      </c>
    </row>
    <row r="7" spans="1:10" ht="101.5" x14ac:dyDescent="0.35">
      <c r="A7">
        <v>1006</v>
      </c>
      <c r="B7" t="s">
        <v>5</v>
      </c>
      <c r="C7" t="s">
        <v>1727</v>
      </c>
      <c r="D7" t="s">
        <v>1750</v>
      </c>
      <c r="E7" t="s">
        <v>1852</v>
      </c>
      <c r="F7" t="s">
        <v>2014</v>
      </c>
      <c r="G7" t="s">
        <v>2243</v>
      </c>
      <c r="H7">
        <v>0</v>
      </c>
      <c r="I7" s="14" t="str">
        <f t="shared" si="1"/>
        <v>1006,'LICENCIATURA','ADMINISTRACION Y DIRECCION DE NEGOCIOS','ADMON 7°','RENTERIA JIMENEZ AMANDA JANETTE','ADQUISICIONES Y ABASTECIMIENTO','FEMENINO',0</v>
      </c>
      <c r="J7" s="12" t="str">
        <f t="shared" si="0"/>
        <v>INSERT INTO profesores (id,nivel,carrera,grupo,nombre,materia,sexo,sello) VALUES (1006,'LICENCIATURA','ADMINISTRACION Y DIRECCION DE NEGOCIOS','ADMON 7°','RENTERIA JIMENEZ AMANDA JANETTE','ADQUISICIONES Y ABASTECIMIENTO','FEMENINO',0);</v>
      </c>
    </row>
    <row r="8" spans="1:10" ht="101.5" x14ac:dyDescent="0.35">
      <c r="A8">
        <v>1007</v>
      </c>
      <c r="B8" t="s">
        <v>5</v>
      </c>
      <c r="C8" t="s">
        <v>1725</v>
      </c>
      <c r="D8" t="s">
        <v>1767</v>
      </c>
      <c r="E8" t="s">
        <v>1913</v>
      </c>
      <c r="F8" t="s">
        <v>2098</v>
      </c>
      <c r="G8" t="s">
        <v>2242</v>
      </c>
      <c r="H8">
        <v>0</v>
      </c>
      <c r="I8" s="14" t="str">
        <f t="shared" si="1"/>
        <v>1007,'LICENCIATURA','INGENIERIA AEROESPACIAL','AERO 5°A','TRUJILLO TORRES RAFAEL','AERODINAMICA I','MASCULINO',0</v>
      </c>
      <c r="J8" s="12" t="str">
        <f t="shared" si="0"/>
        <v>INSERT INTO profesores (id,nivel,carrera,grupo,nombre,materia,sexo,sello) VALUES (1007,'LICENCIATURA','INGENIERIA AEROESPACIAL','AERO 5°A','TRUJILLO TORRES RAFAEL','AERODINAMICA I','MASCULINO',0);</v>
      </c>
    </row>
    <row r="9" spans="1:10" ht="101.5" x14ac:dyDescent="0.35">
      <c r="A9">
        <v>1008</v>
      </c>
      <c r="B9" t="s">
        <v>5</v>
      </c>
      <c r="C9" t="s">
        <v>1725</v>
      </c>
      <c r="D9" t="s">
        <v>1769</v>
      </c>
      <c r="E9" t="s">
        <v>1913</v>
      </c>
      <c r="F9" t="s">
        <v>2098</v>
      </c>
      <c r="G9" t="s">
        <v>2242</v>
      </c>
      <c r="H9">
        <v>0</v>
      </c>
      <c r="I9" s="14" t="str">
        <f t="shared" si="1"/>
        <v>1008,'LICENCIATURA','INGENIERIA AEROESPACIAL','AERO 5°B','TRUJILLO TORRES RAFAEL','AERODINAMICA I','MASCULINO',0</v>
      </c>
      <c r="J9" s="12" t="str">
        <f t="shared" si="0"/>
        <v>INSERT INTO profesores (id,nivel,carrera,grupo,nombre,materia,sexo,sello) VALUES (1008,'LICENCIATURA','INGENIERIA AEROESPACIAL','AERO 5°B','TRUJILLO TORRES RAFAEL','AERODINAMICA I','MASCULINO',0);</v>
      </c>
    </row>
    <row r="10" spans="1:10" ht="101.5" x14ac:dyDescent="0.35">
      <c r="A10">
        <v>1009</v>
      </c>
      <c r="B10" t="s">
        <v>5</v>
      </c>
      <c r="C10" t="s">
        <v>1725</v>
      </c>
      <c r="D10" t="s">
        <v>1752</v>
      </c>
      <c r="E10" t="s">
        <v>1914</v>
      </c>
      <c r="F10" t="s">
        <v>2099</v>
      </c>
      <c r="G10" t="s">
        <v>2242</v>
      </c>
      <c r="H10">
        <v>0</v>
      </c>
      <c r="I10" s="14" t="str">
        <f t="shared" si="1"/>
        <v>1009,'LICENCIATURA','INGENIERIA AEROESPACIAL','AERO 7°','ZARATE  TOMAS CIRO','AERODINAMICA II','MASCULINO',0</v>
      </c>
      <c r="J10" s="12" t="str">
        <f t="shared" si="0"/>
        <v>INSERT INTO profesores (id,nivel,carrera,grupo,nombre,materia,sexo,sello) VALUES (1009,'LICENCIATURA','INGENIERIA AEROESPACIAL','AERO 7°','ZARATE  TOMAS CIRO','AERODINAMICA II','MASCULINO',0);</v>
      </c>
    </row>
    <row r="11" spans="1:10" ht="101.5" x14ac:dyDescent="0.35">
      <c r="A11">
        <v>1010</v>
      </c>
      <c r="B11" t="s">
        <v>5</v>
      </c>
      <c r="C11" t="s">
        <v>1734</v>
      </c>
      <c r="D11" t="s">
        <v>1780</v>
      </c>
      <c r="E11" t="s">
        <v>1954</v>
      </c>
      <c r="F11" t="s">
        <v>2159</v>
      </c>
      <c r="G11" t="s">
        <v>2242</v>
      </c>
      <c r="H11">
        <v>0</v>
      </c>
      <c r="I11" s="14" t="str">
        <f t="shared" si="1"/>
        <v>1010,'LICENCIATURA','INGENIERÍA EN INTELIGENCIA ARTIFICIAL','IA 3°','MEJIA GONZALEZ LUIS ANDRES','ALGEBRA LINEAL','MASCULINO',0</v>
      </c>
      <c r="J11" s="12" t="str">
        <f t="shared" si="0"/>
        <v>INSERT INTO profesores (id,nivel,carrera,grupo,nombre,materia,sexo,sello) VALUES (1010,'LICENCIATURA','INGENIERÍA EN INTELIGENCIA ARTIFICIAL','IA 3°','MEJIA GONZALEZ LUIS ANDRES','ALGEBRA LINEAL','MASCULINO',0);</v>
      </c>
    </row>
    <row r="12" spans="1:10" ht="101.5" x14ac:dyDescent="0.35">
      <c r="A12">
        <v>1011</v>
      </c>
      <c r="B12" t="s">
        <v>5</v>
      </c>
      <c r="C12" t="s">
        <v>1725</v>
      </c>
      <c r="D12" t="s">
        <v>1783</v>
      </c>
      <c r="E12" t="s">
        <v>1915</v>
      </c>
      <c r="F12" t="s">
        <v>2100</v>
      </c>
      <c r="G12" t="s">
        <v>2242</v>
      </c>
      <c r="H12">
        <v>0</v>
      </c>
      <c r="I12" s="14" t="str">
        <f t="shared" si="1"/>
        <v>1011,'LICENCIATURA','INGENIERIA AEROESPACIAL','AERO 1°A','DE ANDA  DEL MURO  MARTIN EDUARDO ','ÁLGEBRA LINEAL','MASCULINO',0</v>
      </c>
      <c r="J12" s="12" t="str">
        <f t="shared" si="0"/>
        <v>INSERT INTO profesores (id,nivel,carrera,grupo,nombre,materia,sexo,sello) VALUES (1011,'LICENCIATURA','INGENIERIA AEROESPACIAL','AERO 1°A','DE ANDA  DEL MURO  MARTIN EDUARDO ','ÁLGEBRA LINEAL','MASCULINO',0);</v>
      </c>
    </row>
    <row r="13" spans="1:10" ht="101.5" x14ac:dyDescent="0.35">
      <c r="A13">
        <v>1014</v>
      </c>
      <c r="B13" t="s">
        <v>5</v>
      </c>
      <c r="C13" t="s">
        <v>1729</v>
      </c>
      <c r="D13" t="s">
        <v>1759</v>
      </c>
      <c r="E13" t="s">
        <v>1880</v>
      </c>
      <c r="F13" t="s">
        <v>2050</v>
      </c>
      <c r="G13" t="s">
        <v>2242</v>
      </c>
      <c r="H13">
        <v>0</v>
      </c>
      <c r="I13" s="14" t="str">
        <f t="shared" si="1"/>
        <v>1014,'LICENCIATURA','ARQUITECTURA','ARQ 3°','SEGOVIANO MARTINEZ HUGO MIGUEL','ANALISIS ESTRUCTURAL','MASCULINO',0</v>
      </c>
      <c r="J13" s="12" t="str">
        <f t="shared" si="0"/>
        <v>INSERT INTO profesores (id,nivel,carrera,grupo,nombre,materia,sexo,sello) VALUES (1014,'LICENCIATURA','ARQUITECTURA','ARQ 3°','SEGOVIANO MARTINEZ HUGO MIGUEL','ANALISIS ESTRUCTURAL','MASCULINO',0);</v>
      </c>
    </row>
    <row r="14" spans="1:10" ht="101.5" x14ac:dyDescent="0.35">
      <c r="A14">
        <v>1015</v>
      </c>
      <c r="B14" t="s">
        <v>5</v>
      </c>
      <c r="C14" t="s">
        <v>1730</v>
      </c>
      <c r="D14" t="s">
        <v>1777</v>
      </c>
      <c r="E14" t="s">
        <v>1864</v>
      </c>
      <c r="F14" t="s">
        <v>2029</v>
      </c>
      <c r="G14" t="s">
        <v>2243</v>
      </c>
      <c r="H14">
        <v>0</v>
      </c>
      <c r="I14" s="14" t="str">
        <f t="shared" si="1"/>
        <v>1015,'LICENCIATURA','ANIMACION DIGITAL Y VIDEOJUEGOS','ANIM 3°','HOBART GARCIA ELISA','ANIMACION 2D II','FEMENINO',0</v>
      </c>
      <c r="J14" s="12" t="str">
        <f t="shared" si="0"/>
        <v>INSERT INTO profesores (id,nivel,carrera,grupo,nombre,materia,sexo,sello) VALUES (1015,'LICENCIATURA','ANIMACION DIGITAL Y VIDEOJUEGOS','ANIM 3°','HOBART GARCIA ELISA','ANIMACION 2D II','FEMENINO',0);</v>
      </c>
    </row>
    <row r="15" spans="1:10" ht="101.5" x14ac:dyDescent="0.35">
      <c r="A15">
        <v>1016</v>
      </c>
      <c r="B15" t="s">
        <v>5</v>
      </c>
      <c r="C15" t="s">
        <v>1726</v>
      </c>
      <c r="D15" t="s">
        <v>1784</v>
      </c>
      <c r="E15" t="s">
        <v>1967</v>
      </c>
      <c r="F15" t="s">
        <v>2219</v>
      </c>
      <c r="G15" t="s">
        <v>2242</v>
      </c>
      <c r="H15">
        <v>0</v>
      </c>
      <c r="I15" s="14" t="str">
        <f t="shared" si="1"/>
        <v>1016,'LICENCIATURA','PSICOLOGIA','PSI 1°','RESTREPO MUÑOZ DANIEL','ANTROPOLOGIA','MASCULINO',0</v>
      </c>
      <c r="J15" s="12" t="str">
        <f t="shared" si="0"/>
        <v>INSERT INTO profesores (id,nivel,carrera,grupo,nombre,materia,sexo,sello) VALUES (1016,'LICENCIATURA','PSICOLOGIA','PSI 1°','RESTREPO MUÑOZ DANIEL','ANTROPOLOGIA','MASCULINO',0);</v>
      </c>
    </row>
    <row r="16" spans="1:10" ht="101.5" x14ac:dyDescent="0.35">
      <c r="A16">
        <v>1017</v>
      </c>
      <c r="B16" t="s">
        <v>5</v>
      </c>
      <c r="C16" t="s">
        <v>1734</v>
      </c>
      <c r="D16" t="s">
        <v>1765</v>
      </c>
      <c r="E16" t="s">
        <v>1955</v>
      </c>
      <c r="F16" t="s">
        <v>2160</v>
      </c>
      <c r="G16" t="s">
        <v>2242</v>
      </c>
      <c r="H16">
        <v>0</v>
      </c>
      <c r="I16" s="14" t="str">
        <f t="shared" si="1"/>
        <v>1017,'LICENCIATURA','INGENIERÍA EN INTELIGENCIA ARTIFICIAL','IA 7°','ESQUIVEL VARAS JOSE MANUEL','APLICACIONES CON REALIDAD AUMENTADA ','MASCULINO',0</v>
      </c>
      <c r="J16" s="12" t="str">
        <f t="shared" si="0"/>
        <v>INSERT INTO profesores (id,nivel,carrera,grupo,nombre,materia,sexo,sello) VALUES (1017,'LICENCIATURA','INGENIERÍA EN INTELIGENCIA ARTIFICIAL','IA 7°','ESQUIVEL VARAS JOSE MANUEL','APLICACIONES CON REALIDAD AUMENTADA ','MASCULINO',0);</v>
      </c>
    </row>
    <row r="17" spans="1:10" ht="101.5" x14ac:dyDescent="0.35">
      <c r="A17">
        <v>1018</v>
      </c>
      <c r="B17" t="s">
        <v>5</v>
      </c>
      <c r="C17" t="s">
        <v>1730</v>
      </c>
      <c r="D17" t="s">
        <v>1777</v>
      </c>
      <c r="E17" t="s">
        <v>1865</v>
      </c>
      <c r="F17" t="s">
        <v>2030</v>
      </c>
      <c r="G17" t="s">
        <v>2243</v>
      </c>
      <c r="H17">
        <v>0</v>
      </c>
      <c r="I17" s="14" t="str">
        <f t="shared" si="1"/>
        <v>1018,'LICENCIATURA','ANIMACION DIGITAL Y VIDEOJUEGOS','ANIM 3°','MORELOS VELAZQUEZ CARLA DANIELA','APRECIACION ARTISTICA','FEMENINO',0</v>
      </c>
      <c r="J17" s="12" t="str">
        <f t="shared" si="0"/>
        <v>INSERT INTO profesores (id,nivel,carrera,grupo,nombre,materia,sexo,sello) VALUES (1018,'LICENCIATURA','ANIMACION DIGITAL Y VIDEOJUEGOS','ANIM 3°','MORELOS VELAZQUEZ CARLA DANIELA','APRECIACION ARTISTICA','FEMENINO',0);</v>
      </c>
    </row>
    <row r="18" spans="1:10" ht="101.5" x14ac:dyDescent="0.35">
      <c r="A18">
        <v>1019</v>
      </c>
      <c r="B18" t="s">
        <v>5</v>
      </c>
      <c r="C18" t="s">
        <v>1723</v>
      </c>
      <c r="D18" t="s">
        <v>1746</v>
      </c>
      <c r="E18" t="s">
        <v>1948</v>
      </c>
      <c r="F18" t="s">
        <v>2149</v>
      </c>
      <c r="G18" t="s">
        <v>2242</v>
      </c>
      <c r="H18">
        <v>0</v>
      </c>
      <c r="I18" s="14" t="str">
        <f t="shared" si="1"/>
        <v>1019,'LICENCIATURA','INGENIERIA CIBERNETICA Y EN SISTEMAS COMPUTACIONALES','CIB 9°','GONZALEZ AMADOR ENRIQUE ALEJANDRO','APRENDIZAJE AUTOMATICO','MASCULINO',0</v>
      </c>
      <c r="J18" s="12" t="str">
        <f t="shared" si="0"/>
        <v>INSERT INTO profesores (id,nivel,carrera,grupo,nombre,materia,sexo,sello) VALUES (1019,'LICENCIATURA','INGENIERIA CIBERNETICA Y EN SISTEMAS COMPUTACIONALES','CIB 9°','GONZALEZ AMADOR ENRIQUE ALEJANDRO','APRENDIZAJE AUTOMATICO','MASCULINO',0);</v>
      </c>
    </row>
    <row r="19" spans="1:10" ht="101.5" x14ac:dyDescent="0.35">
      <c r="A19">
        <v>1020</v>
      </c>
      <c r="B19" t="s">
        <v>5</v>
      </c>
      <c r="C19" t="s">
        <v>1734</v>
      </c>
      <c r="D19" t="s">
        <v>1771</v>
      </c>
      <c r="E19" t="s">
        <v>1943</v>
      </c>
      <c r="F19" t="s">
        <v>2161</v>
      </c>
      <c r="G19" t="s">
        <v>2242</v>
      </c>
      <c r="H19">
        <v>0</v>
      </c>
      <c r="I19" s="14" t="str">
        <f t="shared" si="1"/>
        <v>1020,'LICENCIATURA','INGENIERÍA EN INTELIGENCIA ARTIFICIAL','IA 5°','PARRA ALDRETE JOSE LUIS','APRENDIZAJE MÁQUINA','MASCULINO',0</v>
      </c>
      <c r="J19" s="12" t="str">
        <f t="shared" si="0"/>
        <v>INSERT INTO profesores (id,nivel,carrera,grupo,nombre,materia,sexo,sello) VALUES (1020,'LICENCIATURA','INGENIERÍA EN INTELIGENCIA ARTIFICIAL','IA 5°','PARRA ALDRETE JOSE LUIS','APRENDIZAJE MÁQUINA','MASCULINO',0);</v>
      </c>
    </row>
    <row r="20" spans="1:10" ht="101.5" x14ac:dyDescent="0.35">
      <c r="A20">
        <v>1021</v>
      </c>
      <c r="B20" t="s">
        <v>5</v>
      </c>
      <c r="C20" t="s">
        <v>1732</v>
      </c>
      <c r="D20" t="s">
        <v>1762</v>
      </c>
      <c r="E20" t="s">
        <v>1893</v>
      </c>
      <c r="F20" t="s">
        <v>2078</v>
      </c>
      <c r="G20" t="s">
        <v>2242</v>
      </c>
      <c r="H20">
        <v>0</v>
      </c>
      <c r="I20" s="14" t="str">
        <f t="shared" si="1"/>
        <v>1021,'LICENCIATURA','DERECHO','DER 9°','RUIZ VELASCO RESENDIZ DIEGO RAUL','ARBITRAJE INTERNACIONAL','MASCULINO',0</v>
      </c>
      <c r="J20" s="12" t="str">
        <f t="shared" si="0"/>
        <v>INSERT INTO profesores (id,nivel,carrera,grupo,nombre,materia,sexo,sello) VALUES (1021,'LICENCIATURA','DERECHO','DER 9°','RUIZ VELASCO RESENDIZ DIEGO RAUL','ARBITRAJE INTERNACIONAL','MASCULINO',0);</v>
      </c>
    </row>
    <row r="21" spans="1:10" ht="101.5" x14ac:dyDescent="0.35">
      <c r="A21">
        <v>1022</v>
      </c>
      <c r="B21" t="s">
        <v>5</v>
      </c>
      <c r="C21" t="s">
        <v>1728</v>
      </c>
      <c r="D21" t="s">
        <v>1751</v>
      </c>
      <c r="E21" t="s">
        <v>1940</v>
      </c>
      <c r="F21" t="s">
        <v>2177</v>
      </c>
      <c r="G21" t="s">
        <v>2242</v>
      </c>
      <c r="H21">
        <v>0</v>
      </c>
      <c r="I21" s="14" t="str">
        <f t="shared" si="1"/>
        <v>1022,'LICENCIATURA','INGENIERIA INDUSTRIAL Y EN SISTEMAS ORGANIZACIONALES','IND 7°','CARDENAS CASTILLO SANTIAGO','ASEGURAMIENTO Y AUDITORIA DE LA CALIDAD','MASCULINO',0</v>
      </c>
      <c r="J21" s="12" t="str">
        <f t="shared" si="0"/>
        <v>INSERT INTO profesores (id,nivel,carrera,grupo,nombre,materia,sexo,sello) VALUES (1022,'LICENCIATURA','INGENIERIA INDUSTRIAL Y EN SISTEMAS ORGANIZACIONALES','IND 7°','CARDENAS CASTILLO SANTIAGO','ASEGURAMIENTO Y AUDITORIA DE LA CALIDAD','MASCULINO',0);</v>
      </c>
    </row>
    <row r="22" spans="1:10" ht="101.5" x14ac:dyDescent="0.35">
      <c r="A22">
        <v>1023</v>
      </c>
      <c r="B22" t="s">
        <v>5</v>
      </c>
      <c r="C22" t="s">
        <v>1792</v>
      </c>
      <c r="D22" t="s">
        <v>1801</v>
      </c>
      <c r="E22" t="s">
        <v>1962</v>
      </c>
      <c r="F22" t="s">
        <v>2182</v>
      </c>
      <c r="G22" t="s">
        <v>2242</v>
      </c>
      <c r="H22">
        <v>1</v>
      </c>
      <c r="I22" s="14" t="str">
        <f t="shared" si="1"/>
        <v>1023,'LICENCIATURA','MATERIAS INSTITUCIONALES','TC0702_1','GODOY BERRUETA RAUL','ASPECTOS LEGALES DE PROYECTOS DE NEGOCIOS','MASCULINO',1</v>
      </c>
      <c r="J22" s="12" t="str">
        <f t="shared" si="0"/>
        <v>INSERT INTO profesores (id,nivel,carrera,grupo,nombre,materia,sexo,sello) VALUES (1023,'LICENCIATURA','MATERIAS INSTITUCIONALES','TC0702_1','GODOY BERRUETA RAUL','ASPECTOS LEGALES DE PROYECTOS DE NEGOCIOS','MASCULINO',1);</v>
      </c>
    </row>
    <row r="23" spans="1:10" ht="101.5" x14ac:dyDescent="0.35">
      <c r="A23">
        <v>1024</v>
      </c>
      <c r="B23" t="s">
        <v>5</v>
      </c>
      <c r="C23" t="s">
        <v>1792</v>
      </c>
      <c r="D23" t="s">
        <v>1802</v>
      </c>
      <c r="E23" t="s">
        <v>1894</v>
      </c>
      <c r="F23" t="s">
        <v>2182</v>
      </c>
      <c r="G23" t="s">
        <v>2242</v>
      </c>
      <c r="H23">
        <v>1</v>
      </c>
      <c r="I23" s="14" t="str">
        <f t="shared" si="1"/>
        <v>1024,'LICENCIATURA','MATERIAS INSTITUCIONALES','TC0702_2','PALOMERA JIMENEZ ALBERTO','ASPECTOS LEGALES DE PROYECTOS DE NEGOCIOS','MASCULINO',1</v>
      </c>
      <c r="J23" s="12" t="str">
        <f t="shared" si="0"/>
        <v>INSERT INTO profesores (id,nivel,carrera,grupo,nombre,materia,sexo,sello) VALUES (1024,'LICENCIATURA','MATERIAS INSTITUCIONALES','TC0702_2','PALOMERA JIMENEZ ALBERTO','ASPECTOS LEGALES DE PROYECTOS DE NEGOCIOS','MASCULINO',1);</v>
      </c>
    </row>
    <row r="24" spans="1:10" ht="101.5" x14ac:dyDescent="0.35">
      <c r="A24">
        <v>1025</v>
      </c>
      <c r="B24" t="s">
        <v>5</v>
      </c>
      <c r="C24" t="s">
        <v>1792</v>
      </c>
      <c r="D24" t="s">
        <v>1803</v>
      </c>
      <c r="E24" t="s">
        <v>1851</v>
      </c>
      <c r="F24" t="s">
        <v>2182</v>
      </c>
      <c r="G24" t="s">
        <v>2242</v>
      </c>
      <c r="H24">
        <v>1</v>
      </c>
      <c r="I24" s="14" t="str">
        <f t="shared" si="1"/>
        <v>1025,'LICENCIATURA','MATERIAS INSTITUCIONALES','TC0702_3','GOMEZ LEDEZMA JESUS ALEJANDRO','ASPECTOS LEGALES DE PROYECTOS DE NEGOCIOS','MASCULINO',1</v>
      </c>
      <c r="J24" s="12" t="str">
        <f t="shared" si="0"/>
        <v>INSERT INTO profesores (id,nivel,carrera,grupo,nombre,materia,sexo,sello) VALUES (1025,'LICENCIATURA','MATERIAS INSTITUCIONALES','TC0702_3','GOMEZ LEDEZMA JESUS ALEJANDRO','ASPECTOS LEGALES DE PROYECTOS DE NEGOCIOS','MASCULINO',1);</v>
      </c>
    </row>
    <row r="25" spans="1:10" ht="101.5" x14ac:dyDescent="0.35">
      <c r="A25">
        <v>1026</v>
      </c>
      <c r="B25" t="s">
        <v>5</v>
      </c>
      <c r="C25" t="s">
        <v>1792</v>
      </c>
      <c r="D25" t="s">
        <v>1804</v>
      </c>
      <c r="E25" t="s">
        <v>1962</v>
      </c>
      <c r="F25" t="s">
        <v>2182</v>
      </c>
      <c r="G25" t="s">
        <v>2242</v>
      </c>
      <c r="H25">
        <v>1</v>
      </c>
      <c r="I25" s="14" t="str">
        <f t="shared" si="1"/>
        <v>1026,'LICENCIATURA','MATERIAS INSTITUCIONALES','TC0702_4','GODOY BERRUETA RAUL','ASPECTOS LEGALES DE PROYECTOS DE NEGOCIOS','MASCULINO',1</v>
      </c>
      <c r="J25" s="12" t="str">
        <f t="shared" si="0"/>
        <v>INSERT INTO profesores (id,nivel,carrera,grupo,nombre,materia,sexo,sello) VALUES (1026,'LICENCIATURA','MATERIAS INSTITUCIONALES','TC0702_4','GODOY BERRUETA RAUL','ASPECTOS LEGALES DE PROYECTOS DE NEGOCIOS','MASCULINO',1);</v>
      </c>
    </row>
    <row r="26" spans="1:10" ht="101.5" x14ac:dyDescent="0.35">
      <c r="A26">
        <v>1027</v>
      </c>
      <c r="B26" t="s">
        <v>5</v>
      </c>
      <c r="C26" t="s">
        <v>1792</v>
      </c>
      <c r="D26" t="s">
        <v>1805</v>
      </c>
      <c r="E26" t="s">
        <v>1894</v>
      </c>
      <c r="F26" t="s">
        <v>2182</v>
      </c>
      <c r="G26" t="s">
        <v>2242</v>
      </c>
      <c r="H26">
        <v>1</v>
      </c>
      <c r="I26" s="14" t="str">
        <f t="shared" si="1"/>
        <v>1027,'LICENCIATURA','MATERIAS INSTITUCIONALES','TC0702_5','PALOMERA JIMENEZ ALBERTO','ASPECTOS LEGALES DE PROYECTOS DE NEGOCIOS','MASCULINO',1</v>
      </c>
      <c r="J26" s="12" t="str">
        <f t="shared" si="0"/>
        <v>INSERT INTO profesores (id,nivel,carrera,grupo,nombre,materia,sexo,sello) VALUES (1027,'LICENCIATURA','MATERIAS INSTITUCIONALES','TC0702_5','PALOMERA JIMENEZ ALBERTO','ASPECTOS LEGALES DE PROYECTOS DE NEGOCIOS','MASCULINO',1);</v>
      </c>
    </row>
    <row r="27" spans="1:10" ht="101.5" x14ac:dyDescent="0.35">
      <c r="A27">
        <v>1028</v>
      </c>
      <c r="B27" t="s">
        <v>5</v>
      </c>
      <c r="C27" t="s">
        <v>1792</v>
      </c>
      <c r="D27" t="s">
        <v>1806</v>
      </c>
      <c r="E27" t="s">
        <v>1851</v>
      </c>
      <c r="F27" t="s">
        <v>2182</v>
      </c>
      <c r="G27" t="s">
        <v>2242</v>
      </c>
      <c r="H27">
        <v>1</v>
      </c>
      <c r="I27" s="14" t="str">
        <f t="shared" si="1"/>
        <v>1028,'LICENCIATURA','MATERIAS INSTITUCIONALES','TC0702_6','GOMEZ LEDEZMA JESUS ALEJANDRO','ASPECTOS LEGALES DE PROYECTOS DE NEGOCIOS','MASCULINO',1</v>
      </c>
      <c r="J27" s="12" t="str">
        <f t="shared" si="0"/>
        <v>INSERT INTO profesores (id,nivel,carrera,grupo,nombre,materia,sexo,sello) VALUES (1028,'LICENCIATURA','MATERIAS INSTITUCIONALES','TC0702_6','GOMEZ LEDEZMA JESUS ALEJANDRO','ASPECTOS LEGALES DE PROYECTOS DE NEGOCIOS','MASCULINO',1);</v>
      </c>
    </row>
    <row r="28" spans="1:10" ht="101.5" x14ac:dyDescent="0.35">
      <c r="A28">
        <v>1029</v>
      </c>
      <c r="B28" t="s">
        <v>5</v>
      </c>
      <c r="C28" t="s">
        <v>1731</v>
      </c>
      <c r="D28" t="s">
        <v>1782</v>
      </c>
      <c r="E28" t="s">
        <v>1933</v>
      </c>
      <c r="F28" t="s">
        <v>2126</v>
      </c>
      <c r="G28" t="s">
        <v>2242</v>
      </c>
      <c r="H28">
        <v>0</v>
      </c>
      <c r="I28" s="14" t="str">
        <f t="shared" si="1"/>
        <v>1029,'LICENCIATURA','INGENIERÍA AUTOMOTRIZ','AUTO 1° A','ZAPARI ROMERO CESAR FERNANDO','AUTOMOTIVE ANATOMY I ','MASCULINO',0</v>
      </c>
      <c r="J28" s="12" t="str">
        <f t="shared" si="0"/>
        <v>INSERT INTO profesores (id,nivel,carrera,grupo,nombre,materia,sexo,sello) VALUES (1029,'LICENCIATURA','INGENIERÍA AUTOMOTRIZ','AUTO 1° A','ZAPARI ROMERO CESAR FERNANDO','AUTOMOTIVE ANATOMY I ','MASCULINO',0);</v>
      </c>
    </row>
    <row r="29" spans="1:10" ht="101.5" x14ac:dyDescent="0.35">
      <c r="A29">
        <v>1030</v>
      </c>
      <c r="B29" t="s">
        <v>5</v>
      </c>
      <c r="C29" t="s">
        <v>1731</v>
      </c>
      <c r="D29" t="s">
        <v>1773</v>
      </c>
      <c r="E29" t="s">
        <v>1933</v>
      </c>
      <c r="F29" t="s">
        <v>2126</v>
      </c>
      <c r="G29" t="s">
        <v>2242</v>
      </c>
      <c r="H29">
        <v>0</v>
      </c>
      <c r="I29" s="14" t="str">
        <f t="shared" si="1"/>
        <v>1030,'LICENCIATURA','INGENIERÍA AUTOMOTRIZ','AUTO 1° B','ZAPARI ROMERO CESAR FERNANDO','AUTOMOTIVE ANATOMY I ','MASCULINO',0</v>
      </c>
      <c r="J29" s="12" t="str">
        <f t="shared" si="0"/>
        <v>INSERT INTO profesores (id,nivel,carrera,grupo,nombre,materia,sexo,sello) VALUES (1030,'LICENCIATURA','INGENIERÍA AUTOMOTRIZ','AUTO 1° B','ZAPARI ROMERO CESAR FERNANDO','AUTOMOTIVE ANATOMY I ','MASCULINO',0);</v>
      </c>
    </row>
    <row r="30" spans="1:10" ht="101.5" x14ac:dyDescent="0.35">
      <c r="A30">
        <v>1031</v>
      </c>
      <c r="B30" t="s">
        <v>5</v>
      </c>
      <c r="C30" t="s">
        <v>1731</v>
      </c>
      <c r="D30" t="s">
        <v>1774</v>
      </c>
      <c r="E30" t="s">
        <v>1933</v>
      </c>
      <c r="F30" t="s">
        <v>2127</v>
      </c>
      <c r="G30" t="s">
        <v>2242</v>
      </c>
      <c r="H30">
        <v>0</v>
      </c>
      <c r="I30" s="14" t="str">
        <f t="shared" si="1"/>
        <v>1031,'LICENCIATURA','INGENIERÍA AUTOMOTRIZ','AUTO 3° A','ZAPARI ROMERO CESAR FERNANDO','AUTOMOTIVE ANATOMY II','MASCULINO',0</v>
      </c>
      <c r="J30" s="12" t="str">
        <f t="shared" si="0"/>
        <v>INSERT INTO profesores (id,nivel,carrera,grupo,nombre,materia,sexo,sello) VALUES (1031,'LICENCIATURA','INGENIERÍA AUTOMOTRIZ','AUTO 3° A','ZAPARI ROMERO CESAR FERNANDO','AUTOMOTIVE ANATOMY II','MASCULINO',0);</v>
      </c>
    </row>
    <row r="31" spans="1:10" ht="101.5" x14ac:dyDescent="0.35">
      <c r="A31">
        <v>1032</v>
      </c>
      <c r="B31" t="s">
        <v>5</v>
      </c>
      <c r="C31" t="s">
        <v>1731</v>
      </c>
      <c r="D31" t="s">
        <v>1778</v>
      </c>
      <c r="E31" t="s">
        <v>1933</v>
      </c>
      <c r="F31" t="s">
        <v>2127</v>
      </c>
      <c r="G31" t="s">
        <v>2242</v>
      </c>
      <c r="H31">
        <v>0</v>
      </c>
      <c r="I31" s="14" t="str">
        <f t="shared" si="1"/>
        <v>1032,'LICENCIATURA','INGENIERÍA AUTOMOTRIZ','AUTO 3° B','ZAPARI ROMERO CESAR FERNANDO','AUTOMOTIVE ANATOMY II','MASCULINO',0</v>
      </c>
      <c r="J31" s="12" t="str">
        <f t="shared" si="0"/>
        <v>INSERT INTO profesores (id,nivel,carrera,grupo,nombre,materia,sexo,sello) VALUES (1032,'LICENCIATURA','INGENIERÍA AUTOMOTRIZ','AUTO 3° B','ZAPARI ROMERO CESAR FERNANDO','AUTOMOTIVE ANATOMY II','MASCULINO',0);</v>
      </c>
    </row>
    <row r="32" spans="1:10" ht="101.5" x14ac:dyDescent="0.35">
      <c r="A32">
        <v>1033</v>
      </c>
      <c r="B32" t="s">
        <v>5</v>
      </c>
      <c r="C32" t="s">
        <v>1725</v>
      </c>
      <c r="D32" t="s">
        <v>1748</v>
      </c>
      <c r="E32" t="s">
        <v>1916</v>
      </c>
      <c r="F32" t="s">
        <v>2101</v>
      </c>
      <c r="G32" t="s">
        <v>2242</v>
      </c>
      <c r="H32">
        <v>0</v>
      </c>
      <c r="I32" s="14" t="str">
        <f t="shared" si="1"/>
        <v>1033,'LICENCIATURA','INGENIERIA AEROESPACIAL','AERO 9°','RODRIGUEZ MIRANDA JOSE BENJAMIN','AVIONICA','MASCULINO',0</v>
      </c>
      <c r="J32" s="12" t="str">
        <f t="shared" si="0"/>
        <v>INSERT INTO profesores (id,nivel,carrera,grupo,nombre,materia,sexo,sello) VALUES (1033,'LICENCIATURA','INGENIERIA AEROESPACIAL','AERO 9°','RODRIGUEZ MIRANDA JOSE BENJAMIN','AVIONICA','MASCULINO',0);</v>
      </c>
    </row>
    <row r="33" spans="1:10" ht="101.5" x14ac:dyDescent="0.35">
      <c r="A33">
        <v>1034</v>
      </c>
      <c r="B33" t="s">
        <v>5</v>
      </c>
      <c r="C33" t="s">
        <v>1726</v>
      </c>
      <c r="D33" t="s">
        <v>1784</v>
      </c>
      <c r="E33" t="s">
        <v>1991</v>
      </c>
      <c r="F33" t="s">
        <v>2220</v>
      </c>
      <c r="G33" t="s">
        <v>2242</v>
      </c>
      <c r="H33">
        <v>0</v>
      </c>
      <c r="I33" s="14" t="str">
        <f t="shared" si="1"/>
        <v>1034,'LICENCIATURA','PSICOLOGIA','PSI 1°','GONZALEZ GONZALEZ ENRIQUE','BASES BIOLOGICAS','MASCULINO',0</v>
      </c>
      <c r="J33" s="12" t="str">
        <f t="shared" si="0"/>
        <v>INSERT INTO profesores (id,nivel,carrera,grupo,nombre,materia,sexo,sello) VALUES (1034,'LICENCIATURA','PSICOLOGIA','PSI 1°','GONZALEZ GONZALEZ ENRIQUE','BASES BIOLOGICAS','MASCULINO',0);</v>
      </c>
    </row>
    <row r="34" spans="1:10" ht="101.5" x14ac:dyDescent="0.35">
      <c r="A34">
        <v>1035</v>
      </c>
      <c r="B34" t="s">
        <v>5</v>
      </c>
      <c r="C34" t="s">
        <v>1734</v>
      </c>
      <c r="D34" t="s">
        <v>1780</v>
      </c>
      <c r="E34" t="s">
        <v>1956</v>
      </c>
      <c r="F34" t="s">
        <v>2162</v>
      </c>
      <c r="G34" t="s">
        <v>2243</v>
      </c>
      <c r="H34">
        <v>0</v>
      </c>
      <c r="I34" s="14" t="str">
        <f t="shared" si="1"/>
        <v>1035,'LICENCIATURA','INGENIERÍA EN INTELIGENCIA ARTIFICIAL','IA 3°','GARCIA  SANCHEZ  MARIA LUISA ','BASES DE DATOS','FEMENINO',0</v>
      </c>
      <c r="J34" s="12" t="str">
        <f t="shared" si="0"/>
        <v>INSERT INTO profesores (id,nivel,carrera,grupo,nombre,materia,sexo,sello) VALUES (1035,'LICENCIATURA','INGENIERÍA EN INTELIGENCIA ARTIFICIAL','IA 3°','GARCIA  SANCHEZ  MARIA LUISA ','BASES DE DATOS','FEMENINO',0);</v>
      </c>
    </row>
    <row r="35" spans="1:10" ht="101.5" x14ac:dyDescent="0.35">
      <c r="A35">
        <v>1036</v>
      </c>
      <c r="B35" t="s">
        <v>5</v>
      </c>
      <c r="C35" t="s">
        <v>1792</v>
      </c>
      <c r="D35" t="s">
        <v>1807</v>
      </c>
      <c r="E35" t="s">
        <v>1963</v>
      </c>
      <c r="F35" t="s">
        <v>2183</v>
      </c>
      <c r="G35" t="s">
        <v>2243</v>
      </c>
      <c r="H35">
        <v>1</v>
      </c>
      <c r="I35" s="14" t="str">
        <f t="shared" si="1"/>
        <v>1036,'LICENCIATURA','MATERIAS INSTITUCIONALES','TC0103_1','HERNANDEZ MONTAÑO AIDA CITLALI','BASES PARA EL DESARROLLO PERSONAL','FEMENINO',1</v>
      </c>
      <c r="J35" s="12" t="str">
        <f t="shared" si="0"/>
        <v>INSERT INTO profesores (id,nivel,carrera,grupo,nombre,materia,sexo,sello) VALUES (1036,'LICENCIATURA','MATERIAS INSTITUCIONALES','TC0103_1','HERNANDEZ MONTAÑO AIDA CITLALI','BASES PARA EL DESARROLLO PERSONAL','FEMENINO',1);</v>
      </c>
    </row>
    <row r="36" spans="1:10" ht="101.5" x14ac:dyDescent="0.35">
      <c r="A36">
        <v>1037</v>
      </c>
      <c r="B36" t="s">
        <v>5</v>
      </c>
      <c r="C36" t="s">
        <v>1792</v>
      </c>
      <c r="D36" t="s">
        <v>1808</v>
      </c>
      <c r="E36" t="s">
        <v>1964</v>
      </c>
      <c r="F36" t="s">
        <v>2183</v>
      </c>
      <c r="G36" t="s">
        <v>2242</v>
      </c>
      <c r="H36">
        <v>1</v>
      </c>
      <c r="I36" s="14" t="str">
        <f t="shared" si="1"/>
        <v>1037,'LICENCIATURA','MATERIAS INSTITUCIONALES','TC0103_2','LUNA HERRERA JOSE CARLOS','BASES PARA EL DESARROLLO PERSONAL','MASCULINO',1</v>
      </c>
      <c r="J36" s="12" t="str">
        <f t="shared" si="0"/>
        <v>INSERT INTO profesores (id,nivel,carrera,grupo,nombre,materia,sexo,sello) VALUES (1037,'LICENCIATURA','MATERIAS INSTITUCIONALES','TC0103_2','LUNA HERRERA JOSE CARLOS','BASES PARA EL DESARROLLO PERSONAL','MASCULINO',1);</v>
      </c>
    </row>
    <row r="37" spans="1:10" ht="101.5" x14ac:dyDescent="0.35">
      <c r="A37">
        <v>1038</v>
      </c>
      <c r="B37" t="s">
        <v>5</v>
      </c>
      <c r="C37" t="s">
        <v>1724</v>
      </c>
      <c r="D37" t="s">
        <v>1756</v>
      </c>
      <c r="E37" t="s">
        <v>1981</v>
      </c>
      <c r="F37" t="s">
        <v>2194</v>
      </c>
      <c r="G37" t="s">
        <v>2243</v>
      </c>
      <c r="H37">
        <v>0</v>
      </c>
      <c r="I37" s="14" t="str">
        <f t="shared" si="1"/>
        <v>1038,'LICENCIATURA','NUTRICION Y GASTRONOMIA','NUT 5°','RIVAS MELANO MARLEN','BEBIDAS BASICAS','FEMENINO',0</v>
      </c>
      <c r="J37" s="12" t="str">
        <f t="shared" si="0"/>
        <v>INSERT INTO profesores (id,nivel,carrera,grupo,nombre,materia,sexo,sello) VALUES (1038,'LICENCIATURA','NUTRICION Y GASTRONOMIA','NUT 5°','RIVAS MELANO MARLEN','BEBIDAS BASICAS','FEMENINO',0);</v>
      </c>
    </row>
    <row r="38" spans="1:10" ht="101.5" x14ac:dyDescent="0.35">
      <c r="A38">
        <v>1039</v>
      </c>
      <c r="B38" t="s">
        <v>5</v>
      </c>
      <c r="C38" t="s">
        <v>1724</v>
      </c>
      <c r="D38" t="s">
        <v>1772</v>
      </c>
      <c r="E38" t="s">
        <v>1982</v>
      </c>
      <c r="F38" t="s">
        <v>2195</v>
      </c>
      <c r="G38" t="s">
        <v>2243</v>
      </c>
      <c r="H38">
        <v>0</v>
      </c>
      <c r="I38" s="14" t="str">
        <f t="shared" si="1"/>
        <v>1039,'LICENCIATURA','NUTRICION Y GASTRONOMIA','NUT 3°','VEGA ROMAN CITLALIN','BIOLOGIA CELULAR Y BIOQUIMICA','FEMENINO',0</v>
      </c>
      <c r="J38" s="12" t="str">
        <f t="shared" si="0"/>
        <v>INSERT INTO profesores (id,nivel,carrera,grupo,nombre,materia,sexo,sello) VALUES (1039,'LICENCIATURA','NUTRICION Y GASTRONOMIA','NUT 3°','VEGA ROMAN CITLALIN','BIOLOGIA CELULAR Y BIOQUIMICA','FEMENINO',0);</v>
      </c>
    </row>
    <row r="39" spans="1:10" ht="101.5" x14ac:dyDescent="0.35">
      <c r="A39">
        <v>1040</v>
      </c>
      <c r="B39" t="s">
        <v>5</v>
      </c>
      <c r="C39" t="s">
        <v>1724</v>
      </c>
      <c r="D39" t="s">
        <v>1756</v>
      </c>
      <c r="E39" t="s">
        <v>1982</v>
      </c>
      <c r="F39" t="s">
        <v>2196</v>
      </c>
      <c r="G39" t="s">
        <v>2243</v>
      </c>
      <c r="H39">
        <v>0</v>
      </c>
      <c r="I39" s="14" t="str">
        <f t="shared" si="1"/>
        <v>1040,'LICENCIATURA','NUTRICION Y GASTRONOMIA','NUT 5°','VEGA ROMAN CITLALIN','BIOLOGIA MOLECULAR Y NUTRIGENETICA','FEMENINO',0</v>
      </c>
      <c r="J39" s="12" t="str">
        <f t="shared" si="0"/>
        <v>INSERT INTO profesores (id,nivel,carrera,grupo,nombre,materia,sexo,sello) VALUES (1040,'LICENCIATURA','NUTRICION Y GASTRONOMIA','NUT 5°','VEGA ROMAN CITLALIN','BIOLOGIA MOLECULAR Y NUTRIGENETICA','FEMENINO',0);</v>
      </c>
    </row>
    <row r="40" spans="1:10" ht="101.5" x14ac:dyDescent="0.35">
      <c r="A40">
        <v>1041</v>
      </c>
      <c r="B40" t="s">
        <v>5</v>
      </c>
      <c r="C40" t="s">
        <v>1734</v>
      </c>
      <c r="D40" t="s">
        <v>1765</v>
      </c>
      <c r="E40" t="s">
        <v>1957</v>
      </c>
      <c r="F40" t="s">
        <v>2163</v>
      </c>
      <c r="G40" t="s">
        <v>2242</v>
      </c>
      <c r="H40">
        <v>0</v>
      </c>
      <c r="I40" s="14" t="str">
        <f t="shared" si="1"/>
        <v>1041,'LICENCIATURA','INGENIERÍA EN INTELIGENCIA ARTIFICIAL','IA 7°','AVALOS MEDINA SALVADOR','BIÓNICA','MASCULINO',0</v>
      </c>
      <c r="J40" s="12" t="str">
        <f t="shared" si="0"/>
        <v>INSERT INTO profesores (id,nivel,carrera,grupo,nombre,materia,sexo,sello) VALUES (1041,'LICENCIATURA','INGENIERÍA EN INTELIGENCIA ARTIFICIAL','IA 7°','AVALOS MEDINA SALVADOR','BIÓNICA','MASCULINO',0);</v>
      </c>
    </row>
    <row r="41" spans="1:10" ht="101.5" x14ac:dyDescent="0.35">
      <c r="A41">
        <v>1042</v>
      </c>
      <c r="B41" t="s">
        <v>5</v>
      </c>
      <c r="C41" t="s">
        <v>1724</v>
      </c>
      <c r="D41" t="s">
        <v>1772</v>
      </c>
      <c r="E41" t="s">
        <v>1983</v>
      </c>
      <c r="F41" t="s">
        <v>2197</v>
      </c>
      <c r="G41" t="s">
        <v>2243</v>
      </c>
      <c r="H41">
        <v>0</v>
      </c>
      <c r="I41" s="14" t="str">
        <f t="shared" si="1"/>
        <v>1042,'LICENCIATURA','NUTRICION Y GASTRONOMIA','NUT 3°','CHILPA ABOYTES ABIGAIL NOHEMI','BIOTECNOLOGIA','FEMENINO',0</v>
      </c>
      <c r="J41" s="12" t="str">
        <f t="shared" si="0"/>
        <v>INSERT INTO profesores (id,nivel,carrera,grupo,nombre,materia,sexo,sello) VALUES (1042,'LICENCIATURA','NUTRICION Y GASTRONOMIA','NUT 3°','CHILPA ABOYTES ABIGAIL NOHEMI','BIOTECNOLOGIA','FEMENINO',0);</v>
      </c>
    </row>
    <row r="42" spans="1:10" ht="101.5" x14ac:dyDescent="0.35">
      <c r="A42">
        <v>1043</v>
      </c>
      <c r="B42" t="s">
        <v>5</v>
      </c>
      <c r="C42" t="s">
        <v>1724</v>
      </c>
      <c r="D42" t="s">
        <v>1756</v>
      </c>
      <c r="E42" t="s">
        <v>1984</v>
      </c>
      <c r="F42" t="s">
        <v>2198</v>
      </c>
      <c r="G42" t="s">
        <v>2242</v>
      </c>
      <c r="H42">
        <v>0</v>
      </c>
      <c r="I42" s="14" t="str">
        <f t="shared" si="1"/>
        <v>1043,'LICENCIATURA','NUTRICION Y GASTRONOMIA','NUT 5°','MUÑOZ ALVAREZ ELIAS ISAAC','BROMATOLOGIA','MASCULINO',0</v>
      </c>
      <c r="J42" s="12" t="str">
        <f t="shared" si="0"/>
        <v>INSERT INTO profesores (id,nivel,carrera,grupo,nombre,materia,sexo,sello) VALUES (1043,'LICENCIATURA','NUTRICION Y GASTRONOMIA','NUT 5°','MUÑOZ ALVAREZ ELIAS ISAAC','BROMATOLOGIA','MASCULINO',0);</v>
      </c>
    </row>
    <row r="43" spans="1:10" ht="101.5" x14ac:dyDescent="0.35">
      <c r="A43">
        <v>1044</v>
      </c>
      <c r="B43" t="s">
        <v>5</v>
      </c>
      <c r="C43" t="s">
        <v>1725</v>
      </c>
      <c r="D43" t="s">
        <v>1783</v>
      </c>
      <c r="E43" t="s">
        <v>1917</v>
      </c>
      <c r="F43" t="s">
        <v>2102</v>
      </c>
      <c r="G43" t="s">
        <v>2242</v>
      </c>
      <c r="H43">
        <v>0</v>
      </c>
      <c r="I43" s="14" t="str">
        <f t="shared" si="1"/>
        <v>1044,'LICENCIATURA','INGENIERIA AEROESPACIAL','AERO 1°A','SALDIVAR OROZCO EMMANUEL','CÁLCULO DIFERENCIAL','MASCULINO',0</v>
      </c>
      <c r="J43" s="12" t="str">
        <f t="shared" si="0"/>
        <v>INSERT INTO profesores (id,nivel,carrera,grupo,nombre,materia,sexo,sello) VALUES (1044,'LICENCIATURA','INGENIERIA AEROESPACIAL','AERO 1°A','SALDIVAR OROZCO EMMANUEL','CÁLCULO DIFERENCIAL','MASCULINO',0);</v>
      </c>
    </row>
    <row r="44" spans="1:10" ht="101.5" x14ac:dyDescent="0.35">
      <c r="A44">
        <v>1045</v>
      </c>
      <c r="B44" t="s">
        <v>5</v>
      </c>
      <c r="C44" t="s">
        <v>1731</v>
      </c>
      <c r="D44" t="s">
        <v>1782</v>
      </c>
      <c r="E44" t="s">
        <v>1915</v>
      </c>
      <c r="F44" t="s">
        <v>2128</v>
      </c>
      <c r="G44" t="s">
        <v>2242</v>
      </c>
      <c r="H44">
        <v>0</v>
      </c>
      <c r="I44" s="14" t="str">
        <f t="shared" si="1"/>
        <v>1045,'LICENCIATURA','INGENIERÍA AUTOMOTRIZ','AUTO 1° A','DE ANDA  DEL MURO  MARTIN EDUARDO ','CALCULO DIFERENCIAL E INTEGRAL ','MASCULINO',0</v>
      </c>
      <c r="J44" s="12" t="str">
        <f t="shared" si="0"/>
        <v>INSERT INTO profesores (id,nivel,carrera,grupo,nombre,materia,sexo,sello) VALUES (1045,'LICENCIATURA','INGENIERÍA AUTOMOTRIZ','AUTO 1° A','DE ANDA  DEL MURO  MARTIN EDUARDO ','CALCULO DIFERENCIAL E INTEGRAL ','MASCULINO',0);</v>
      </c>
    </row>
    <row r="45" spans="1:10" ht="101.5" x14ac:dyDescent="0.35">
      <c r="A45">
        <v>1046</v>
      </c>
      <c r="B45" t="s">
        <v>5</v>
      </c>
      <c r="C45" t="s">
        <v>1731</v>
      </c>
      <c r="D45" t="s">
        <v>1773</v>
      </c>
      <c r="E45" t="s">
        <v>1934</v>
      </c>
      <c r="F45" t="s">
        <v>2128</v>
      </c>
      <c r="G45" t="s">
        <v>2243</v>
      </c>
      <c r="H45">
        <v>0</v>
      </c>
      <c r="I45" s="14" t="str">
        <f t="shared" si="1"/>
        <v>1046,'LICENCIATURA','INGENIERÍA AUTOMOTRIZ','AUTO 1° B','VELA TORRES FATIMA ALEJANDRA','CALCULO DIFERENCIAL E INTEGRAL ','FEMENINO',0</v>
      </c>
      <c r="J45" s="12" t="str">
        <f t="shared" si="0"/>
        <v>INSERT INTO profesores (id,nivel,carrera,grupo,nombre,materia,sexo,sello) VALUES (1046,'LICENCIATURA','INGENIERÍA AUTOMOTRIZ','AUTO 1° B','VELA TORRES FATIMA ALEJANDRA','CALCULO DIFERENCIAL E INTEGRAL ','FEMENINO',0);</v>
      </c>
    </row>
    <row r="46" spans="1:10" ht="101.5" x14ac:dyDescent="0.35">
      <c r="A46">
        <v>1047</v>
      </c>
      <c r="B46" t="s">
        <v>5</v>
      </c>
      <c r="C46" t="s">
        <v>1725</v>
      </c>
      <c r="D46" t="s">
        <v>1776</v>
      </c>
      <c r="E46" t="s">
        <v>1917</v>
      </c>
      <c r="F46" t="s">
        <v>2103</v>
      </c>
      <c r="G46" t="s">
        <v>2242</v>
      </c>
      <c r="H46">
        <v>0</v>
      </c>
      <c r="I46" s="14" t="str">
        <f t="shared" si="1"/>
        <v>1047,'LICENCIATURA','INGENIERIA AEROESPACIAL','AERO 3°A','SALDIVAR OROZCO EMMANUEL','CALCULO MULTIVARIABLE','MASCULINO',0</v>
      </c>
      <c r="J46" s="12" t="str">
        <f t="shared" si="0"/>
        <v>INSERT INTO profesores (id,nivel,carrera,grupo,nombre,materia,sexo,sello) VALUES (1047,'LICENCIATURA','INGENIERIA AEROESPACIAL','AERO 3°A','SALDIVAR OROZCO EMMANUEL','CALCULO MULTIVARIABLE','MASCULINO',0);</v>
      </c>
    </row>
    <row r="47" spans="1:10" ht="101.5" x14ac:dyDescent="0.35">
      <c r="A47">
        <v>1048</v>
      </c>
      <c r="B47" t="s">
        <v>5</v>
      </c>
      <c r="C47" t="s">
        <v>1725</v>
      </c>
      <c r="D47" t="s">
        <v>1775</v>
      </c>
      <c r="E47" t="s">
        <v>1917</v>
      </c>
      <c r="F47" t="s">
        <v>2103</v>
      </c>
      <c r="G47" t="s">
        <v>2242</v>
      </c>
      <c r="H47">
        <v>0</v>
      </c>
      <c r="I47" s="14" t="str">
        <f t="shared" si="1"/>
        <v>1048,'LICENCIATURA','INGENIERIA AEROESPACIAL','AERO 3°B','SALDIVAR OROZCO EMMANUEL','CALCULO MULTIVARIABLE','MASCULINO',0</v>
      </c>
      <c r="J47" s="12" t="str">
        <f t="shared" si="0"/>
        <v>INSERT INTO profesores (id,nivel,carrera,grupo,nombre,materia,sexo,sello) VALUES (1048,'LICENCIATURA','INGENIERIA AEROESPACIAL','AERO 3°B','SALDIVAR OROZCO EMMANUEL','CALCULO MULTIVARIABLE','MASCULINO',0);</v>
      </c>
    </row>
    <row r="48" spans="1:10" ht="101.5" x14ac:dyDescent="0.35">
      <c r="A48">
        <v>1049</v>
      </c>
      <c r="B48" t="s">
        <v>5</v>
      </c>
      <c r="C48" t="s">
        <v>1731</v>
      </c>
      <c r="D48" t="s">
        <v>1774</v>
      </c>
      <c r="E48" t="s">
        <v>1935</v>
      </c>
      <c r="F48" t="s">
        <v>2129</v>
      </c>
      <c r="G48" t="s">
        <v>2242</v>
      </c>
      <c r="H48">
        <v>0</v>
      </c>
      <c r="I48" s="14" t="str">
        <f t="shared" si="1"/>
        <v>1049,'LICENCIATURA','INGENIERÍA AUTOMOTRIZ','AUTO 3° A','MARTINEZ  ALVARADO JUAN CARLOS','CALCULO VECTORIAL Y VARIABLE COMPLEJA ','MASCULINO',0</v>
      </c>
      <c r="J48" s="12" t="str">
        <f t="shared" si="0"/>
        <v>INSERT INTO profesores (id,nivel,carrera,grupo,nombre,materia,sexo,sello) VALUES (1049,'LICENCIATURA','INGENIERÍA AUTOMOTRIZ','AUTO 3° A','MARTINEZ  ALVARADO JUAN CARLOS','CALCULO VECTORIAL Y VARIABLE COMPLEJA ','MASCULINO',0);</v>
      </c>
    </row>
    <row r="49" spans="1:10" ht="101.5" x14ac:dyDescent="0.35">
      <c r="A49">
        <v>1050</v>
      </c>
      <c r="B49" t="s">
        <v>5</v>
      </c>
      <c r="C49" t="s">
        <v>1731</v>
      </c>
      <c r="D49" t="s">
        <v>1778</v>
      </c>
      <c r="E49" t="s">
        <v>1935</v>
      </c>
      <c r="F49" t="s">
        <v>2129</v>
      </c>
      <c r="G49" t="s">
        <v>2242</v>
      </c>
      <c r="H49">
        <v>0</v>
      </c>
      <c r="I49" s="14" t="str">
        <f t="shared" si="1"/>
        <v>1050,'LICENCIATURA','INGENIERÍA AUTOMOTRIZ','AUTO 3° B','MARTINEZ  ALVARADO JUAN CARLOS','CALCULO VECTORIAL Y VARIABLE COMPLEJA ','MASCULINO',0</v>
      </c>
      <c r="J49" s="12" t="str">
        <f t="shared" si="0"/>
        <v>INSERT INTO profesores (id,nivel,carrera,grupo,nombre,materia,sexo,sello) VALUES (1050,'LICENCIATURA','INGENIERÍA AUTOMOTRIZ','AUTO 3° B','MARTINEZ  ALVARADO JUAN CARLOS','CALCULO VECTORIAL Y VARIABLE COMPLEJA ','MASCULINO',0);</v>
      </c>
    </row>
    <row r="50" spans="1:10" ht="101.5" x14ac:dyDescent="0.35">
      <c r="A50">
        <v>1051</v>
      </c>
      <c r="B50" t="s">
        <v>5</v>
      </c>
      <c r="C50" t="s">
        <v>1734</v>
      </c>
      <c r="D50" t="s">
        <v>1765</v>
      </c>
      <c r="E50" t="s">
        <v>1948</v>
      </c>
      <c r="F50" t="s">
        <v>2164</v>
      </c>
      <c r="G50" t="s">
        <v>2242</v>
      </c>
      <c r="H50">
        <v>0</v>
      </c>
      <c r="I50" s="14" t="str">
        <f t="shared" si="1"/>
        <v>1051,'LICENCIATURA','INGENIERÍA EN INTELIGENCIA ARTIFICIAL','IA 7°','GONZALEZ AMADOR ENRIQUE ALEJANDRO','CIENCIA DE DATOS II','MASCULINO',0</v>
      </c>
      <c r="J50" s="12" t="str">
        <f t="shared" si="0"/>
        <v>INSERT INTO profesores (id,nivel,carrera,grupo,nombre,materia,sexo,sello) VALUES (1051,'LICENCIATURA','INGENIERÍA EN INTELIGENCIA ARTIFICIAL','IA 7°','GONZALEZ AMADOR ENRIQUE ALEJANDRO','CIENCIA DE DATOS II','MASCULINO',0);</v>
      </c>
    </row>
    <row r="51" spans="1:10" ht="101.5" x14ac:dyDescent="0.35">
      <c r="A51">
        <v>1052</v>
      </c>
      <c r="B51" t="s">
        <v>5</v>
      </c>
      <c r="C51" t="s">
        <v>1725</v>
      </c>
      <c r="D51" t="s">
        <v>1776</v>
      </c>
      <c r="E51" t="s">
        <v>1918</v>
      </c>
      <c r="F51" t="s">
        <v>2104</v>
      </c>
      <c r="G51" t="s">
        <v>2242</v>
      </c>
      <c r="H51">
        <v>0</v>
      </c>
      <c r="I51" s="14" t="str">
        <f t="shared" si="1"/>
        <v>1052,'LICENCIATURA','INGENIERIA AEROESPACIAL','AERO 3°A','MENDEZ JIMENEZ ALBERTO','CIRCUITOS ELECTRONICOS','MASCULINO',0</v>
      </c>
      <c r="J51" s="12" t="str">
        <f t="shared" si="0"/>
        <v>INSERT INTO profesores (id,nivel,carrera,grupo,nombre,materia,sexo,sello) VALUES (1052,'LICENCIATURA','INGENIERIA AEROESPACIAL','AERO 3°A','MENDEZ JIMENEZ ALBERTO','CIRCUITOS ELECTRONICOS','MASCULINO',0);</v>
      </c>
    </row>
    <row r="52" spans="1:10" ht="101.5" x14ac:dyDescent="0.35">
      <c r="A52">
        <v>1053</v>
      </c>
      <c r="B52" t="s">
        <v>5</v>
      </c>
      <c r="C52" t="s">
        <v>1725</v>
      </c>
      <c r="D52" t="s">
        <v>1775</v>
      </c>
      <c r="E52" t="s">
        <v>1918</v>
      </c>
      <c r="F52" t="s">
        <v>2104</v>
      </c>
      <c r="G52" t="s">
        <v>2242</v>
      </c>
      <c r="H52">
        <v>0</v>
      </c>
      <c r="I52" s="14" t="str">
        <f t="shared" si="1"/>
        <v>1053,'LICENCIATURA','INGENIERIA AEROESPACIAL','AERO 3°B','MENDEZ JIMENEZ ALBERTO','CIRCUITOS ELECTRONICOS','MASCULINO',0</v>
      </c>
      <c r="J52" s="12" t="str">
        <f t="shared" si="0"/>
        <v>INSERT INTO profesores (id,nivel,carrera,grupo,nombre,materia,sexo,sello) VALUES (1053,'LICENCIATURA','INGENIERIA AEROESPACIAL','AERO 3°B','MENDEZ JIMENEZ ALBERTO','CIRCUITOS ELECTRONICOS','MASCULINO',0);</v>
      </c>
    </row>
    <row r="53" spans="1:10" ht="101.5" x14ac:dyDescent="0.35">
      <c r="A53">
        <v>1054</v>
      </c>
      <c r="B53" t="s">
        <v>5</v>
      </c>
      <c r="C53" t="s">
        <v>1792</v>
      </c>
      <c r="D53" t="s">
        <v>1809</v>
      </c>
      <c r="E53" t="s">
        <v>1964</v>
      </c>
      <c r="F53" t="s">
        <v>2184</v>
      </c>
      <c r="G53" t="s">
        <v>2242</v>
      </c>
      <c r="H53">
        <v>1</v>
      </c>
      <c r="I53" s="14" t="str">
        <f t="shared" si="1"/>
        <v>1054,'LICENCIATURA','MATERIAS INSTITUCIONALES','TC0503_1','LUNA HERRERA JOSE CARLOS','CIUDADANIA Y DESARROLLO PROFESIONAL','MASCULINO',1</v>
      </c>
      <c r="J53" s="12" t="str">
        <f t="shared" si="0"/>
        <v>INSERT INTO profesores (id,nivel,carrera,grupo,nombre,materia,sexo,sello) VALUES (1054,'LICENCIATURA','MATERIAS INSTITUCIONALES','TC0503_1','LUNA HERRERA JOSE CARLOS','CIUDADANIA Y DESARROLLO PROFESIONAL','MASCULINO',1);</v>
      </c>
    </row>
    <row r="54" spans="1:10" ht="101.5" x14ac:dyDescent="0.35">
      <c r="A54">
        <v>1055</v>
      </c>
      <c r="B54" t="s">
        <v>5</v>
      </c>
      <c r="C54" t="s">
        <v>1792</v>
      </c>
      <c r="D54" t="s">
        <v>1810</v>
      </c>
      <c r="E54" t="s">
        <v>1965</v>
      </c>
      <c r="F54" t="s">
        <v>2184</v>
      </c>
      <c r="G54" t="s">
        <v>2243</v>
      </c>
      <c r="H54">
        <v>1</v>
      </c>
      <c r="I54" s="14" t="str">
        <f t="shared" si="1"/>
        <v>1055,'LICENCIATURA','MATERIAS INSTITUCIONALES','TC0503_2','SALCEDO ROSALES ERIKA IVETTE','CIUDADANIA Y DESARROLLO PROFESIONAL','FEMENINO',1</v>
      </c>
      <c r="J54" s="12" t="str">
        <f t="shared" si="0"/>
        <v>INSERT INTO profesores (id,nivel,carrera,grupo,nombre,materia,sexo,sello) VALUES (1055,'LICENCIATURA','MATERIAS INSTITUCIONALES','TC0503_2','SALCEDO ROSALES ERIKA IVETTE','CIUDADANIA Y DESARROLLO PROFESIONAL','FEMENINO',1);</v>
      </c>
    </row>
    <row r="55" spans="1:10" ht="101.5" x14ac:dyDescent="0.35">
      <c r="A55">
        <v>1056</v>
      </c>
      <c r="B55" t="s">
        <v>5</v>
      </c>
      <c r="C55" t="s">
        <v>1792</v>
      </c>
      <c r="D55" t="s">
        <v>1811</v>
      </c>
      <c r="E55" t="s">
        <v>1966</v>
      </c>
      <c r="F55" t="s">
        <v>2184</v>
      </c>
      <c r="G55" t="s">
        <v>2242</v>
      </c>
      <c r="H55">
        <v>1</v>
      </c>
      <c r="I55" s="14" t="str">
        <f t="shared" si="1"/>
        <v>1056,'LICENCIATURA','MATERIAS INSTITUCIONALES','TC0503_3','TAPIA VELAZQUEZ FRANCISCO','CIUDADANIA Y DESARROLLO PROFESIONAL','MASCULINO',1</v>
      </c>
      <c r="J55" s="12" t="str">
        <f t="shared" si="0"/>
        <v>INSERT INTO profesores (id,nivel,carrera,grupo,nombre,materia,sexo,sello) VALUES (1056,'LICENCIATURA','MATERIAS INSTITUCIONALES','TC0503_3','TAPIA VELAZQUEZ FRANCISCO','CIUDADANIA Y DESARROLLO PROFESIONAL','MASCULINO',1);</v>
      </c>
    </row>
    <row r="56" spans="1:10" ht="101.5" x14ac:dyDescent="0.35">
      <c r="A56">
        <v>1057</v>
      </c>
      <c r="B56" t="s">
        <v>5</v>
      </c>
      <c r="C56" t="s">
        <v>1792</v>
      </c>
      <c r="D56" t="s">
        <v>1812</v>
      </c>
      <c r="E56" t="s">
        <v>1967</v>
      </c>
      <c r="F56" t="s">
        <v>2184</v>
      </c>
      <c r="G56" t="s">
        <v>2242</v>
      </c>
      <c r="H56">
        <v>1</v>
      </c>
      <c r="I56" s="14" t="str">
        <f t="shared" si="1"/>
        <v>1057,'LICENCIATURA','MATERIAS INSTITUCIONALES','TC0503_4','RESTREPO MUÑOZ DANIEL','CIUDADANIA Y DESARROLLO PROFESIONAL','MASCULINO',1</v>
      </c>
      <c r="J56" s="12" t="str">
        <f t="shared" si="0"/>
        <v>INSERT INTO profesores (id,nivel,carrera,grupo,nombre,materia,sexo,sello) VALUES (1057,'LICENCIATURA','MATERIAS INSTITUCIONALES','TC0503_4','RESTREPO MUÑOZ DANIEL','CIUDADANIA Y DESARROLLO PROFESIONAL','MASCULINO',1);</v>
      </c>
    </row>
    <row r="57" spans="1:10" ht="101.5" x14ac:dyDescent="0.35">
      <c r="A57">
        <v>1058</v>
      </c>
      <c r="B57" t="s">
        <v>5</v>
      </c>
      <c r="C57" t="s">
        <v>1792</v>
      </c>
      <c r="D57" t="s">
        <v>1813</v>
      </c>
      <c r="E57" t="s">
        <v>1964</v>
      </c>
      <c r="F57" t="s">
        <v>2184</v>
      </c>
      <c r="G57" t="s">
        <v>2242</v>
      </c>
      <c r="H57">
        <v>1</v>
      </c>
      <c r="I57" s="14" t="str">
        <f t="shared" si="1"/>
        <v>1058,'LICENCIATURA','MATERIAS INSTITUCIONALES','TC0503_5','LUNA HERRERA JOSE CARLOS','CIUDADANIA Y DESARROLLO PROFESIONAL','MASCULINO',1</v>
      </c>
      <c r="J57" s="12" t="str">
        <f t="shared" si="0"/>
        <v>INSERT INTO profesores (id,nivel,carrera,grupo,nombre,materia,sexo,sello) VALUES (1058,'LICENCIATURA','MATERIAS INSTITUCIONALES','TC0503_5','LUNA HERRERA JOSE CARLOS','CIUDADANIA Y DESARROLLO PROFESIONAL','MASCULINO',1);</v>
      </c>
    </row>
    <row r="58" spans="1:10" ht="101.5" x14ac:dyDescent="0.35">
      <c r="A58">
        <v>1059</v>
      </c>
      <c r="B58" t="s">
        <v>5</v>
      </c>
      <c r="C58" t="s">
        <v>1792</v>
      </c>
      <c r="D58" t="s">
        <v>1814</v>
      </c>
      <c r="E58" t="s">
        <v>1965</v>
      </c>
      <c r="F58" t="s">
        <v>2184</v>
      </c>
      <c r="G58" t="s">
        <v>2243</v>
      </c>
      <c r="H58">
        <v>1</v>
      </c>
      <c r="I58" s="14" t="str">
        <f t="shared" si="1"/>
        <v>1059,'LICENCIATURA','MATERIAS INSTITUCIONALES','TC0503_6','SALCEDO ROSALES ERIKA IVETTE','CIUDADANIA Y DESARROLLO PROFESIONAL','FEMENINO',1</v>
      </c>
      <c r="J58" s="12" t="str">
        <f t="shared" si="0"/>
        <v>INSERT INTO profesores (id,nivel,carrera,grupo,nombre,materia,sexo,sello) VALUES (1059,'LICENCIATURA','MATERIAS INSTITUCIONALES','TC0503_6','SALCEDO ROSALES ERIKA IVETTE','CIUDADANIA Y DESARROLLO PROFESIONAL','FEMENINO',1);</v>
      </c>
    </row>
    <row r="59" spans="1:10" ht="101.5" x14ac:dyDescent="0.35">
      <c r="A59">
        <v>1060</v>
      </c>
      <c r="B59" t="s">
        <v>5</v>
      </c>
      <c r="C59" t="s">
        <v>1792</v>
      </c>
      <c r="D59" t="s">
        <v>1815</v>
      </c>
      <c r="E59" t="s">
        <v>1966</v>
      </c>
      <c r="F59" t="s">
        <v>2184</v>
      </c>
      <c r="G59" t="s">
        <v>2242</v>
      </c>
      <c r="H59">
        <v>1</v>
      </c>
      <c r="I59" s="14" t="str">
        <f t="shared" si="1"/>
        <v>1060,'LICENCIATURA','MATERIAS INSTITUCIONALES','TC0503_7','TAPIA VELAZQUEZ FRANCISCO','CIUDADANIA Y DESARROLLO PROFESIONAL','MASCULINO',1</v>
      </c>
      <c r="J59" s="12" t="str">
        <f t="shared" si="0"/>
        <v>INSERT INTO profesores (id,nivel,carrera,grupo,nombre,materia,sexo,sello) VALUES (1060,'LICENCIATURA','MATERIAS INSTITUCIONALES','TC0503_7','TAPIA VELAZQUEZ FRANCISCO','CIUDADANIA Y DESARROLLO PROFESIONAL','MASCULINO',1);</v>
      </c>
    </row>
    <row r="60" spans="1:10" ht="101.5" x14ac:dyDescent="0.35">
      <c r="A60">
        <v>1061</v>
      </c>
      <c r="B60" t="s">
        <v>5</v>
      </c>
      <c r="C60" t="s">
        <v>1726</v>
      </c>
      <c r="D60" t="s">
        <v>1749</v>
      </c>
      <c r="E60" t="s">
        <v>1999</v>
      </c>
      <c r="F60" t="s">
        <v>2221</v>
      </c>
      <c r="G60" t="s">
        <v>2242</v>
      </c>
      <c r="H60">
        <v>0</v>
      </c>
      <c r="I60" s="14" t="str">
        <f t="shared" si="1"/>
        <v>1061,'LICENCIATURA','PSICOLOGIA','PSI 5°','ROBLES AVALOS RICARDO','COACHING Y PSICOLOGIA','MASCULINO',0</v>
      </c>
      <c r="J60" s="12" t="str">
        <f t="shared" si="0"/>
        <v>INSERT INTO profesores (id,nivel,carrera,grupo,nombre,materia,sexo,sello) VALUES (1061,'LICENCIATURA','PSICOLOGIA','PSI 5°','ROBLES AVALOS RICARDO','COACHING Y PSICOLOGIA','MASCULINO',0);</v>
      </c>
    </row>
    <row r="61" spans="1:10" ht="101.5" x14ac:dyDescent="0.35">
      <c r="A61">
        <v>1062</v>
      </c>
      <c r="B61" t="s">
        <v>5</v>
      </c>
      <c r="C61" t="s">
        <v>1724</v>
      </c>
      <c r="D61" t="s">
        <v>1747</v>
      </c>
      <c r="E61" t="s">
        <v>1985</v>
      </c>
      <c r="F61" t="s">
        <v>2199</v>
      </c>
      <c r="G61" t="s">
        <v>2242</v>
      </c>
      <c r="H61">
        <v>0</v>
      </c>
      <c r="I61" s="14" t="str">
        <f t="shared" si="1"/>
        <v>1062,'LICENCIATURA','NUTRICION Y GASTRONOMIA','NUT 9°','BEGINES CINCO JESUS HIRAM','COCINA ASIATICA','MASCULINO',0</v>
      </c>
      <c r="J61" s="12" t="str">
        <f t="shared" si="0"/>
        <v>INSERT INTO profesores (id,nivel,carrera,grupo,nombre,materia,sexo,sello) VALUES (1062,'LICENCIATURA','NUTRICION Y GASTRONOMIA','NUT 9°','BEGINES CINCO JESUS HIRAM','COCINA ASIATICA','MASCULINO',0);</v>
      </c>
    </row>
    <row r="62" spans="1:10" ht="101.5" x14ac:dyDescent="0.35">
      <c r="A62">
        <v>1063</v>
      </c>
      <c r="B62" t="s">
        <v>5</v>
      </c>
      <c r="C62" t="s">
        <v>1724</v>
      </c>
      <c r="D62" t="s">
        <v>1753</v>
      </c>
      <c r="E62" t="s">
        <v>1986</v>
      </c>
      <c r="F62" t="s">
        <v>2200</v>
      </c>
      <c r="G62" t="s">
        <v>2242</v>
      </c>
      <c r="H62">
        <v>0</v>
      </c>
      <c r="I62" s="14" t="str">
        <f t="shared" si="1"/>
        <v>1063,'LICENCIATURA','NUTRICION Y GASTRONOMIA','NUT 7°','CAVALLO  MAZZITELLI HERNAN ANDRES','COCINA DE AMERICA','MASCULINO',0</v>
      </c>
      <c r="J62" s="12" t="str">
        <f t="shared" si="0"/>
        <v>INSERT INTO profesores (id,nivel,carrera,grupo,nombre,materia,sexo,sello) VALUES (1063,'LICENCIATURA','NUTRICION Y GASTRONOMIA','NUT 7°','CAVALLO  MAZZITELLI HERNAN ANDRES','COCINA DE AMERICA','MASCULINO',0);</v>
      </c>
    </row>
    <row r="63" spans="1:10" ht="101.5" x14ac:dyDescent="0.35">
      <c r="A63">
        <v>1064</v>
      </c>
      <c r="B63" t="s">
        <v>5</v>
      </c>
      <c r="C63" t="s">
        <v>1724</v>
      </c>
      <c r="D63" t="s">
        <v>1772</v>
      </c>
      <c r="E63" t="s">
        <v>1987</v>
      </c>
      <c r="F63" t="s">
        <v>2201</v>
      </c>
      <c r="G63" t="s">
        <v>2243</v>
      </c>
      <c r="H63">
        <v>0</v>
      </c>
      <c r="I63" s="14" t="str">
        <f t="shared" si="1"/>
        <v>1064,'LICENCIATURA','NUTRICION Y GASTRONOMIA','NUT 3°','RIVAS RODRIGUEZ LAURA','COCINA FRANCESA','FEMENINO',0</v>
      </c>
      <c r="J63" s="12" t="str">
        <f t="shared" si="0"/>
        <v>INSERT INTO profesores (id,nivel,carrera,grupo,nombre,materia,sexo,sello) VALUES (1064,'LICENCIATURA','NUTRICION Y GASTRONOMIA','NUT 3°','RIVAS RODRIGUEZ LAURA','COCINA FRANCESA','FEMENINO',0);</v>
      </c>
    </row>
    <row r="64" spans="1:10" ht="101.5" x14ac:dyDescent="0.35">
      <c r="A64">
        <v>1065</v>
      </c>
      <c r="B64" t="s">
        <v>5</v>
      </c>
      <c r="C64" t="s">
        <v>1724</v>
      </c>
      <c r="D64" t="s">
        <v>1747</v>
      </c>
      <c r="E64" t="s">
        <v>1988</v>
      </c>
      <c r="F64" t="s">
        <v>2202</v>
      </c>
      <c r="G64" t="s">
        <v>2242</v>
      </c>
      <c r="H64">
        <v>0</v>
      </c>
      <c r="I64" s="14" t="str">
        <f t="shared" si="1"/>
        <v>1065,'LICENCIATURA','NUTRICION Y GASTRONOMIA','NUT 9°','ARTEAGA CARDONA HORACIO','COCINA FUSION','MASCULINO',0</v>
      </c>
      <c r="J64" s="12" t="str">
        <f t="shared" si="0"/>
        <v>INSERT INTO profesores (id,nivel,carrera,grupo,nombre,materia,sexo,sello) VALUES (1065,'LICENCIATURA','NUTRICION Y GASTRONOMIA','NUT 9°','ARTEAGA CARDONA HORACIO','COCINA FUSION','MASCULINO',0);</v>
      </c>
    </row>
    <row r="65" spans="1:10" ht="101.5" x14ac:dyDescent="0.35">
      <c r="A65">
        <v>1066</v>
      </c>
      <c r="B65" t="s">
        <v>5</v>
      </c>
      <c r="C65" t="s">
        <v>1724</v>
      </c>
      <c r="D65" t="s">
        <v>1756</v>
      </c>
      <c r="E65" t="s">
        <v>1986</v>
      </c>
      <c r="F65" t="s">
        <v>2203</v>
      </c>
      <c r="G65" t="s">
        <v>2242</v>
      </c>
      <c r="H65">
        <v>0</v>
      </c>
      <c r="I65" s="14" t="str">
        <f t="shared" si="1"/>
        <v>1066,'LICENCIATURA','NUTRICION Y GASTRONOMIA','NUT 5°','CAVALLO  MAZZITELLI HERNAN ANDRES','COCINA MEDITERRANEA II','MASCULINO',0</v>
      </c>
      <c r="J65" s="12" t="str">
        <f t="shared" si="0"/>
        <v>INSERT INTO profesores (id,nivel,carrera,grupo,nombre,materia,sexo,sello) VALUES (1066,'LICENCIATURA','NUTRICION Y GASTRONOMIA','NUT 5°','CAVALLO  MAZZITELLI HERNAN ANDRES','COCINA MEDITERRANEA II','MASCULINO',0);</v>
      </c>
    </row>
    <row r="66" spans="1:10" ht="101.5" x14ac:dyDescent="0.35">
      <c r="A66">
        <v>1067</v>
      </c>
      <c r="B66" t="s">
        <v>5</v>
      </c>
      <c r="C66" t="s">
        <v>1724</v>
      </c>
      <c r="D66" t="s">
        <v>1756</v>
      </c>
      <c r="E66" t="s">
        <v>1985</v>
      </c>
      <c r="F66" t="s">
        <v>2204</v>
      </c>
      <c r="G66" t="s">
        <v>2242</v>
      </c>
      <c r="H66">
        <v>0</v>
      </c>
      <c r="I66" s="14" t="str">
        <f t="shared" si="1"/>
        <v>1067,'LICENCIATURA','NUTRICION Y GASTRONOMIA','NUT 5°','BEGINES CINCO JESUS HIRAM','COCINA MEXICANA','MASCULINO',0</v>
      </c>
      <c r="J66" s="12" t="str">
        <f t="shared" ref="J66:J129" si="2">CONCATENATE($I$1,I66,");")</f>
        <v>INSERT INTO profesores (id,nivel,carrera,grupo,nombre,materia,sexo,sello) VALUES (1067,'LICENCIATURA','NUTRICION Y GASTRONOMIA','NUT 5°','BEGINES CINCO JESUS HIRAM','COCINA MEXICANA','MASCULINO',0);</v>
      </c>
    </row>
    <row r="67" spans="1:10" ht="101.5" x14ac:dyDescent="0.35">
      <c r="A67">
        <v>1068</v>
      </c>
      <c r="B67" t="s">
        <v>5</v>
      </c>
      <c r="C67" t="s">
        <v>1727</v>
      </c>
      <c r="D67" t="s">
        <v>1781</v>
      </c>
      <c r="E67" t="s">
        <v>1853</v>
      </c>
      <c r="F67" t="s">
        <v>2015</v>
      </c>
      <c r="G67" t="s">
        <v>2242</v>
      </c>
      <c r="H67">
        <v>0</v>
      </c>
      <c r="I67" s="14" t="str">
        <f t="shared" ref="I67:I130" si="3">CONCATENATE(A67,",'",B67,"','",C67,"','",D67,"','",E67,"','",F67,"','",G67,"',",H67)</f>
        <v>1068,'LICENCIATURA','ADMINISTRACION Y DIRECCION DE NEGOCIOS','ADMON 3°','RODRIGUEZ ROMERO DENIS PAUL','COMERCIALIZACION','MASCULINO',0</v>
      </c>
      <c r="J67" s="12" t="str">
        <f t="shared" si="2"/>
        <v>INSERT INTO profesores (id,nivel,carrera,grupo,nombre,materia,sexo,sello) VALUES (1068,'LICENCIATURA','ADMINISTRACION Y DIRECCION DE NEGOCIOS','ADMON 3°','RODRIGUEZ ROMERO DENIS PAUL','COMERCIALIZACION','MASCULINO',0);</v>
      </c>
    </row>
    <row r="68" spans="1:10" ht="101.5" x14ac:dyDescent="0.35">
      <c r="A68">
        <v>1069</v>
      </c>
      <c r="B68" t="s">
        <v>5</v>
      </c>
      <c r="C68" t="s">
        <v>1727</v>
      </c>
      <c r="D68" t="s">
        <v>1768</v>
      </c>
      <c r="E68" t="s">
        <v>1854</v>
      </c>
      <c r="F68" t="s">
        <v>2016</v>
      </c>
      <c r="G68" t="s">
        <v>2243</v>
      </c>
      <c r="H68">
        <v>0</v>
      </c>
      <c r="I68" s="14" t="str">
        <f t="shared" si="3"/>
        <v>1069,'LICENCIATURA','ADMINISTRACION Y DIRECCION DE NEGOCIOS','ADMON 5°','TORRES FERNANDEZ CLAUDIA CECILIA','COMPORTAMIENTO HUMANO EN LAS ORGANIZACIONES','FEMENINO',0</v>
      </c>
      <c r="J68" s="12" t="str">
        <f t="shared" si="2"/>
        <v>INSERT INTO profesores (id,nivel,carrera,grupo,nombre,materia,sexo,sello) VALUES (1069,'LICENCIATURA','ADMINISTRACION Y DIRECCION DE NEGOCIOS','ADMON 5°','TORRES FERNANDEZ CLAUDIA CECILIA','COMPORTAMIENTO HUMANO EN LAS ORGANIZACIONES','FEMENINO',0);</v>
      </c>
    </row>
    <row r="69" spans="1:10" ht="101.5" x14ac:dyDescent="0.35">
      <c r="A69">
        <v>1070</v>
      </c>
      <c r="B69" t="s">
        <v>5</v>
      </c>
      <c r="C69" t="s">
        <v>1725</v>
      </c>
      <c r="D69" t="s">
        <v>1783</v>
      </c>
      <c r="E69" t="s">
        <v>1853</v>
      </c>
      <c r="F69" t="s">
        <v>2105</v>
      </c>
      <c r="G69" t="s">
        <v>2242</v>
      </c>
      <c r="H69">
        <v>0</v>
      </c>
      <c r="I69" s="14" t="str">
        <f t="shared" si="3"/>
        <v>1070,'LICENCIATURA','INGENIERIA AEROESPACIAL','AERO 1°A','RODRIGUEZ ROMERO DENIS PAUL','COMUNICACIÓN ORAL Y ESCRITA','MASCULINO',0</v>
      </c>
      <c r="J69" s="12" t="str">
        <f t="shared" si="2"/>
        <v>INSERT INTO profesores (id,nivel,carrera,grupo,nombre,materia,sexo,sello) VALUES (1070,'LICENCIATURA','INGENIERIA AEROESPACIAL','AERO 1°A','RODRIGUEZ ROMERO DENIS PAUL','COMUNICACIÓN ORAL Y ESCRITA','MASCULINO',0);</v>
      </c>
    </row>
    <row r="70" spans="1:10" ht="101.5" x14ac:dyDescent="0.35">
      <c r="A70">
        <v>1071</v>
      </c>
      <c r="B70" t="s">
        <v>5</v>
      </c>
      <c r="C70" t="s">
        <v>1726</v>
      </c>
      <c r="D70" t="s">
        <v>1749</v>
      </c>
      <c r="E70" t="s">
        <v>1901</v>
      </c>
      <c r="F70" t="s">
        <v>2222</v>
      </c>
      <c r="G70" t="s">
        <v>2242</v>
      </c>
      <c r="H70">
        <v>0</v>
      </c>
      <c r="I70" s="14" t="str">
        <f t="shared" si="3"/>
        <v>1071,'LICENCIATURA','PSICOLOGIA','PSI 5°','MORENO LLAMAS HECTOR RAUL','COMUNICACION Y MERCADOTECNIA','MASCULINO',0</v>
      </c>
      <c r="J70" s="12" t="str">
        <f t="shared" si="2"/>
        <v>INSERT INTO profesores (id,nivel,carrera,grupo,nombre,materia,sexo,sello) VALUES (1071,'LICENCIATURA','PSICOLOGIA','PSI 5°','MORENO LLAMAS HECTOR RAUL','COMUNICACION Y MERCADOTECNIA','MASCULINO',0);</v>
      </c>
    </row>
    <row r="71" spans="1:10" ht="101.5" x14ac:dyDescent="0.35">
      <c r="A71">
        <v>1072</v>
      </c>
      <c r="B71" t="s">
        <v>5</v>
      </c>
      <c r="C71" t="s">
        <v>1731</v>
      </c>
      <c r="D71" t="s">
        <v>1774</v>
      </c>
      <c r="E71" t="s">
        <v>1936</v>
      </c>
      <c r="F71" t="s">
        <v>2130</v>
      </c>
      <c r="G71" t="s">
        <v>2243</v>
      </c>
      <c r="H71">
        <v>0</v>
      </c>
      <c r="I71" s="14" t="str">
        <f t="shared" si="3"/>
        <v>1072,'LICENCIATURA','INGENIERÍA AUTOMOTRIZ','AUTO 3° A','NUÑEZ VELAZQUEZ ANA MARIA ','CONTROL ANALOGICO','FEMENINO',0</v>
      </c>
      <c r="J71" s="12" t="str">
        <f t="shared" si="2"/>
        <v>INSERT INTO profesores (id,nivel,carrera,grupo,nombre,materia,sexo,sello) VALUES (1072,'LICENCIATURA','INGENIERÍA AUTOMOTRIZ','AUTO 3° A','NUÑEZ VELAZQUEZ ANA MARIA ','CONTROL ANALOGICO','FEMENINO',0);</v>
      </c>
    </row>
    <row r="72" spans="1:10" ht="101.5" x14ac:dyDescent="0.35">
      <c r="A72">
        <v>1073</v>
      </c>
      <c r="B72" t="s">
        <v>5</v>
      </c>
      <c r="C72" t="s">
        <v>1731</v>
      </c>
      <c r="D72" t="s">
        <v>1778</v>
      </c>
      <c r="E72" t="s">
        <v>1936</v>
      </c>
      <c r="F72" t="s">
        <v>2130</v>
      </c>
      <c r="G72" t="s">
        <v>2243</v>
      </c>
      <c r="H72">
        <v>0</v>
      </c>
      <c r="I72" s="14" t="str">
        <f t="shared" si="3"/>
        <v>1073,'LICENCIATURA','INGENIERÍA AUTOMOTRIZ','AUTO 3° B','NUÑEZ VELAZQUEZ ANA MARIA ','CONTROL ANALOGICO','FEMENINO',0</v>
      </c>
      <c r="J72" s="12" t="str">
        <f t="shared" si="2"/>
        <v>INSERT INTO profesores (id,nivel,carrera,grupo,nombre,materia,sexo,sello) VALUES (1073,'LICENCIATURA','INGENIERÍA AUTOMOTRIZ','AUTO 3° B','NUÑEZ VELAZQUEZ ANA MARIA ','CONTROL ANALOGICO','FEMENINO',0);</v>
      </c>
    </row>
    <row r="73" spans="1:10" ht="101.5" x14ac:dyDescent="0.35">
      <c r="A73">
        <v>1074</v>
      </c>
      <c r="B73" t="s">
        <v>5</v>
      </c>
      <c r="C73" t="s">
        <v>1734</v>
      </c>
      <c r="D73" t="s">
        <v>1780</v>
      </c>
      <c r="E73" t="s">
        <v>1951</v>
      </c>
      <c r="F73" t="s">
        <v>2165</v>
      </c>
      <c r="G73" t="s">
        <v>2243</v>
      </c>
      <c r="H73">
        <v>0</v>
      </c>
      <c r="I73" s="14" t="str">
        <f t="shared" si="3"/>
        <v>1074,'LICENCIATURA','INGENIERÍA EN INTELIGENCIA ARTIFICIAL','IA 3°','OCHOA FLORES CLAUDIA ELIZABETH','CONTROL DIGITAL ','FEMENINO',0</v>
      </c>
      <c r="J73" s="12" t="str">
        <f t="shared" si="2"/>
        <v>INSERT INTO profesores (id,nivel,carrera,grupo,nombre,materia,sexo,sello) VALUES (1074,'LICENCIATURA','INGENIERÍA EN INTELIGENCIA ARTIFICIAL','IA 3°','OCHOA FLORES CLAUDIA ELIZABETH','CONTROL DIGITAL ','FEMENINO',0);</v>
      </c>
    </row>
    <row r="74" spans="1:10" ht="101.5" x14ac:dyDescent="0.35">
      <c r="A74">
        <v>1075</v>
      </c>
      <c r="B74" t="s">
        <v>5</v>
      </c>
      <c r="C74" t="s">
        <v>1725</v>
      </c>
      <c r="D74" t="s">
        <v>1776</v>
      </c>
      <c r="E74" t="s">
        <v>1919</v>
      </c>
      <c r="F74" t="s">
        <v>2106</v>
      </c>
      <c r="G74" t="s">
        <v>2242</v>
      </c>
      <c r="H74">
        <v>0</v>
      </c>
      <c r="I74" s="14" t="str">
        <f t="shared" si="3"/>
        <v>1075,'LICENCIATURA','INGENIERIA AEROESPACIAL','AERO 3°A','MEDEL JUAREZ VICTOR MANUEL','CORROSION Y PROTECCION','MASCULINO',0</v>
      </c>
      <c r="J74" s="12" t="str">
        <f t="shared" si="2"/>
        <v>INSERT INTO profesores (id,nivel,carrera,grupo,nombre,materia,sexo,sello) VALUES (1075,'LICENCIATURA','INGENIERIA AEROESPACIAL','AERO 3°A','MEDEL JUAREZ VICTOR MANUEL','CORROSION Y PROTECCION','MASCULINO',0);</v>
      </c>
    </row>
    <row r="75" spans="1:10" ht="101.5" x14ac:dyDescent="0.35">
      <c r="A75">
        <v>1076</v>
      </c>
      <c r="B75" t="s">
        <v>5</v>
      </c>
      <c r="C75" t="s">
        <v>1725</v>
      </c>
      <c r="D75" t="s">
        <v>1775</v>
      </c>
      <c r="E75" t="s">
        <v>1919</v>
      </c>
      <c r="F75" t="s">
        <v>2106</v>
      </c>
      <c r="G75" t="s">
        <v>2242</v>
      </c>
      <c r="H75">
        <v>0</v>
      </c>
      <c r="I75" s="14" t="str">
        <f t="shared" si="3"/>
        <v>1076,'LICENCIATURA','INGENIERIA AEROESPACIAL','AERO 3°B','MEDEL JUAREZ VICTOR MANUEL','CORROSION Y PROTECCION','MASCULINO',0</v>
      </c>
      <c r="J75" s="12" t="str">
        <f t="shared" si="2"/>
        <v>INSERT INTO profesores (id,nivel,carrera,grupo,nombre,materia,sexo,sello) VALUES (1076,'LICENCIATURA','INGENIERIA AEROESPACIAL','AERO 3°B','MEDEL JUAREZ VICTOR MANUEL','CORROSION Y PROTECCION','MASCULINO',0);</v>
      </c>
    </row>
    <row r="76" spans="1:10" ht="101.5" x14ac:dyDescent="0.35">
      <c r="A76">
        <v>1077</v>
      </c>
      <c r="B76" t="s">
        <v>5</v>
      </c>
      <c r="C76" t="s">
        <v>1792</v>
      </c>
      <c r="D76" t="s">
        <v>1816</v>
      </c>
      <c r="E76" t="s">
        <v>1968</v>
      </c>
      <c r="F76" t="s">
        <v>2185</v>
      </c>
      <c r="G76" t="s">
        <v>2243</v>
      </c>
      <c r="H76">
        <v>1</v>
      </c>
      <c r="I76" s="14" t="str">
        <f t="shared" si="3"/>
        <v>1077,'LICENCIATURA','MATERIAS INSTITUCIONALES','TC0101_1','MORONES MUÑOZ MARIANA ELISA','CULTURA DIGITAL','FEMENINO',1</v>
      </c>
      <c r="J76" s="12" t="str">
        <f t="shared" si="2"/>
        <v>INSERT INTO profesores (id,nivel,carrera,grupo,nombre,materia,sexo,sello) VALUES (1077,'LICENCIATURA','MATERIAS INSTITUCIONALES','TC0101_1','MORONES MUÑOZ MARIANA ELISA','CULTURA DIGITAL','FEMENINO',1);</v>
      </c>
    </row>
    <row r="77" spans="1:10" ht="101.5" x14ac:dyDescent="0.35">
      <c r="A77">
        <v>1078</v>
      </c>
      <c r="B77" t="s">
        <v>5</v>
      </c>
      <c r="C77" t="s">
        <v>1792</v>
      </c>
      <c r="D77" t="s">
        <v>1817</v>
      </c>
      <c r="E77" t="s">
        <v>1969</v>
      </c>
      <c r="F77" t="s">
        <v>2185</v>
      </c>
      <c r="G77" t="s">
        <v>2243</v>
      </c>
      <c r="H77">
        <v>1</v>
      </c>
      <c r="I77" s="14" t="str">
        <f t="shared" si="3"/>
        <v>1078,'LICENCIATURA','MATERIAS INSTITUCIONALES','TC0101_2','RAMOS RENTERIA MONTSERRAT FABIOLA','CULTURA DIGITAL','FEMENINO',1</v>
      </c>
      <c r="J77" s="12" t="str">
        <f t="shared" si="2"/>
        <v>INSERT INTO profesores (id,nivel,carrera,grupo,nombre,materia,sexo,sello) VALUES (1078,'LICENCIATURA','MATERIAS INSTITUCIONALES','TC0101_2','RAMOS RENTERIA MONTSERRAT FABIOLA','CULTURA DIGITAL','FEMENINO',1);</v>
      </c>
    </row>
    <row r="78" spans="1:10" ht="101.5" x14ac:dyDescent="0.35">
      <c r="A78">
        <v>1079</v>
      </c>
      <c r="B78" t="s">
        <v>5</v>
      </c>
      <c r="C78" t="s">
        <v>1732</v>
      </c>
      <c r="D78" t="s">
        <v>1762</v>
      </c>
      <c r="E78" t="s">
        <v>1894</v>
      </c>
      <c r="F78" t="s">
        <v>2079</v>
      </c>
      <c r="G78" t="s">
        <v>2242</v>
      </c>
      <c r="H78">
        <v>0</v>
      </c>
      <c r="I78" s="14" t="str">
        <f t="shared" si="3"/>
        <v>1079,'LICENCIATURA','DERECHO','DER 9°','PALOMERA JIMENEZ ALBERTO','DERECHO CONCURSAL','MASCULINO',0</v>
      </c>
      <c r="J78" s="12" t="str">
        <f t="shared" si="2"/>
        <v>INSERT INTO profesores (id,nivel,carrera,grupo,nombre,materia,sexo,sello) VALUES (1079,'LICENCIATURA','DERECHO','DER 9°','PALOMERA JIMENEZ ALBERTO','DERECHO CONCURSAL','MASCULINO',0);</v>
      </c>
    </row>
    <row r="79" spans="1:10" ht="101.5" x14ac:dyDescent="0.35">
      <c r="A79">
        <v>1080</v>
      </c>
      <c r="B79" t="s">
        <v>5</v>
      </c>
      <c r="C79" t="s">
        <v>1727</v>
      </c>
      <c r="D79" t="s">
        <v>1781</v>
      </c>
      <c r="E79" t="s">
        <v>1855</v>
      </c>
      <c r="F79" t="s">
        <v>2017</v>
      </c>
      <c r="G79" t="s">
        <v>2243</v>
      </c>
      <c r="H79">
        <v>0</v>
      </c>
      <c r="I79" s="14" t="str">
        <f t="shared" si="3"/>
        <v>1080,'LICENCIATURA','ADMINISTRACION Y DIRECCION DE NEGOCIOS','ADMON 3°','CASILLAS CASTILLO CRISTINA DEL SOCORRO','DERECHO CORPORATIVO','FEMENINO',0</v>
      </c>
      <c r="J79" s="12" t="str">
        <f t="shared" si="2"/>
        <v>INSERT INTO profesores (id,nivel,carrera,grupo,nombre,materia,sexo,sello) VALUES (1080,'LICENCIATURA','ADMINISTRACION Y DIRECCION DE NEGOCIOS','ADMON 3°','CASILLAS CASTILLO CRISTINA DEL SOCORRO','DERECHO CORPORATIVO','FEMENINO',0);</v>
      </c>
    </row>
    <row r="80" spans="1:10" ht="101.5" x14ac:dyDescent="0.35">
      <c r="A80">
        <v>1081</v>
      </c>
      <c r="B80" t="s">
        <v>5</v>
      </c>
      <c r="C80" t="s">
        <v>1732</v>
      </c>
      <c r="D80" t="s">
        <v>1762</v>
      </c>
      <c r="E80" t="s">
        <v>1895</v>
      </c>
      <c r="F80" t="s">
        <v>2080</v>
      </c>
      <c r="G80" t="s">
        <v>2243</v>
      </c>
      <c r="H80">
        <v>0</v>
      </c>
      <c r="I80" s="14" t="str">
        <f t="shared" si="3"/>
        <v>1081,'LICENCIATURA','DERECHO','DER 9°','BAHENA VANEGAS LAURA YANET','DERECHO FIDUCIARIO','FEMENINO',0</v>
      </c>
      <c r="J80" s="12" t="str">
        <f t="shared" si="2"/>
        <v>INSERT INTO profesores (id,nivel,carrera,grupo,nombre,materia,sexo,sello) VALUES (1081,'LICENCIATURA','DERECHO','DER 9°','BAHENA VANEGAS LAURA YANET','DERECHO FIDUCIARIO','FEMENINO',0);</v>
      </c>
    </row>
    <row r="81" spans="1:10" ht="101.5" x14ac:dyDescent="0.35">
      <c r="A81">
        <v>1082</v>
      </c>
      <c r="B81" t="s">
        <v>5</v>
      </c>
      <c r="C81" t="s">
        <v>1732</v>
      </c>
      <c r="D81" t="s">
        <v>1762</v>
      </c>
      <c r="E81" t="s">
        <v>1896</v>
      </c>
      <c r="F81" t="s">
        <v>2081</v>
      </c>
      <c r="G81" t="s">
        <v>2242</v>
      </c>
      <c r="H81">
        <v>0</v>
      </c>
      <c r="I81" s="14" t="str">
        <f t="shared" si="3"/>
        <v>1082,'LICENCIATURA','DERECHO','DER 9°','SALAZAR LOPEZ LUIS GILBERTO','DERECHO INTERNACIONAL PRIVADO','MASCULINO',0</v>
      </c>
      <c r="J81" s="12" t="str">
        <f t="shared" si="2"/>
        <v>INSERT INTO profesores (id,nivel,carrera,grupo,nombre,materia,sexo,sello) VALUES (1082,'LICENCIATURA','DERECHO','DER 9°','SALAZAR LOPEZ LUIS GILBERTO','DERECHO INTERNACIONAL PRIVADO','MASCULINO',0);</v>
      </c>
    </row>
    <row r="82" spans="1:10" ht="101.5" x14ac:dyDescent="0.35">
      <c r="A82">
        <v>1083</v>
      </c>
      <c r="B82" t="s">
        <v>5</v>
      </c>
      <c r="C82" t="s">
        <v>1727</v>
      </c>
      <c r="D82" t="s">
        <v>1768</v>
      </c>
      <c r="E82" t="s">
        <v>1855</v>
      </c>
      <c r="F82" t="s">
        <v>2018</v>
      </c>
      <c r="G82" t="s">
        <v>2243</v>
      </c>
      <c r="H82">
        <v>0</v>
      </c>
      <c r="I82" s="14" t="str">
        <f t="shared" si="3"/>
        <v>1083,'LICENCIATURA','ADMINISTRACION Y DIRECCION DE NEGOCIOS','ADMON 5°','CASILLAS CASTILLO CRISTINA DEL SOCORRO','DERECHO LABORAL','FEMENINO',0</v>
      </c>
      <c r="J82" s="12" t="str">
        <f t="shared" si="2"/>
        <v>INSERT INTO profesores (id,nivel,carrera,grupo,nombre,materia,sexo,sello) VALUES (1083,'LICENCIATURA','ADMINISTRACION Y DIRECCION DE NEGOCIOS','ADMON 5°','CASILLAS CASTILLO CRISTINA DEL SOCORRO','DERECHO LABORAL','FEMENINO',0);</v>
      </c>
    </row>
    <row r="83" spans="1:10" ht="101.5" x14ac:dyDescent="0.35">
      <c r="A83">
        <v>1084</v>
      </c>
      <c r="B83" t="s">
        <v>5</v>
      </c>
      <c r="C83" t="s">
        <v>1732</v>
      </c>
      <c r="D83" t="s">
        <v>1762</v>
      </c>
      <c r="E83" t="s">
        <v>1897</v>
      </c>
      <c r="F83" t="s">
        <v>2082</v>
      </c>
      <c r="G83" t="s">
        <v>2242</v>
      </c>
      <c r="H83">
        <v>0</v>
      </c>
      <c r="I83" s="14" t="str">
        <f t="shared" si="3"/>
        <v>1084,'LICENCIATURA','DERECHO','DER 9°','CASTILLO NUÑEZ PEDRO ALBERTO','DERECHO PROCESAL MERCANTIL','MASCULINO',0</v>
      </c>
      <c r="J83" s="12" t="str">
        <f t="shared" si="2"/>
        <v>INSERT INTO profesores (id,nivel,carrera,grupo,nombre,materia,sexo,sello) VALUES (1084,'LICENCIATURA','DERECHO','DER 9°','CASTILLO NUÑEZ PEDRO ALBERTO','DERECHO PROCESAL MERCANTIL','MASCULINO',0);</v>
      </c>
    </row>
    <row r="84" spans="1:10" ht="101.5" x14ac:dyDescent="0.35">
      <c r="A84">
        <v>1085</v>
      </c>
      <c r="B84" t="s">
        <v>5</v>
      </c>
      <c r="C84" t="s">
        <v>1724</v>
      </c>
      <c r="D84" t="s">
        <v>1753</v>
      </c>
      <c r="E84" t="s">
        <v>1983</v>
      </c>
      <c r="F84" t="s">
        <v>2205</v>
      </c>
      <c r="G84" t="s">
        <v>2243</v>
      </c>
      <c r="H84">
        <v>0</v>
      </c>
      <c r="I84" s="14" t="str">
        <f t="shared" si="3"/>
        <v>1085,'LICENCIATURA','NUTRICION Y GASTRONOMIA','NUT 7°','CHILPA ABOYTES ABIGAIL NOHEMI','DESARROLLO Y CONSERVACION DE NUEVOS PRODUCTOS','FEMENINO',0</v>
      </c>
      <c r="J84" s="12" t="str">
        <f t="shared" si="2"/>
        <v>INSERT INTO profesores (id,nivel,carrera,grupo,nombre,materia,sexo,sello) VALUES (1085,'LICENCIATURA','NUTRICION Y GASTRONOMIA','NUT 7°','CHILPA ABOYTES ABIGAIL NOHEMI','DESARROLLO Y CONSERVACION DE NUEVOS PRODUCTOS','FEMENINO',0);</v>
      </c>
    </row>
    <row r="85" spans="1:10" ht="101.5" x14ac:dyDescent="0.35">
      <c r="A85">
        <v>1086</v>
      </c>
      <c r="B85" t="s">
        <v>5</v>
      </c>
      <c r="C85" t="s">
        <v>1729</v>
      </c>
      <c r="D85" t="s">
        <v>1760</v>
      </c>
      <c r="E85" t="s">
        <v>1881</v>
      </c>
      <c r="F85" t="s">
        <v>2051</v>
      </c>
      <c r="G85" t="s">
        <v>2242</v>
      </c>
      <c r="H85">
        <v>0</v>
      </c>
      <c r="I85" s="14" t="str">
        <f t="shared" si="3"/>
        <v>1086,'LICENCIATURA','ARQUITECTURA','ARQ 1°','SILVA HERRERA RAYMUNDO','DIBUJO','MASCULINO',0</v>
      </c>
      <c r="J85" s="12" t="str">
        <f t="shared" si="2"/>
        <v>INSERT INTO profesores (id,nivel,carrera,grupo,nombre,materia,sexo,sello) VALUES (1086,'LICENCIATURA','ARQUITECTURA','ARQ 1°','SILVA HERRERA RAYMUNDO','DIBUJO','MASCULINO',0);</v>
      </c>
    </row>
    <row r="86" spans="1:10" ht="101.5" x14ac:dyDescent="0.35">
      <c r="A86">
        <v>1087</v>
      </c>
      <c r="B86" t="s">
        <v>5</v>
      </c>
      <c r="C86" t="s">
        <v>1731</v>
      </c>
      <c r="D86" t="s">
        <v>1774</v>
      </c>
      <c r="E86" t="s">
        <v>1937</v>
      </c>
      <c r="F86" t="s">
        <v>2131</v>
      </c>
      <c r="G86" t="s">
        <v>2242</v>
      </c>
      <c r="H86">
        <v>0</v>
      </c>
      <c r="I86" s="14" t="str">
        <f t="shared" si="3"/>
        <v>1087,'LICENCIATURA','INGENIERÍA AUTOMOTRIZ','AUTO 3° A','CORREA BALTAZAR JUAN CARLOS','DIBUJO ASISTIDO POR COMPUTADORA II','MASCULINO',0</v>
      </c>
      <c r="J86" s="12" t="str">
        <f t="shared" si="2"/>
        <v>INSERT INTO profesores (id,nivel,carrera,grupo,nombre,materia,sexo,sello) VALUES (1087,'LICENCIATURA','INGENIERÍA AUTOMOTRIZ','AUTO 3° A','CORREA BALTAZAR JUAN CARLOS','DIBUJO ASISTIDO POR COMPUTADORA II','MASCULINO',0);</v>
      </c>
    </row>
    <row r="87" spans="1:10" ht="101.5" x14ac:dyDescent="0.35">
      <c r="A87">
        <v>1088</v>
      </c>
      <c r="B87" t="s">
        <v>5</v>
      </c>
      <c r="C87" t="s">
        <v>1731</v>
      </c>
      <c r="D87" t="s">
        <v>1778</v>
      </c>
      <c r="E87" t="s">
        <v>1937</v>
      </c>
      <c r="F87" t="s">
        <v>2131</v>
      </c>
      <c r="G87" t="s">
        <v>2242</v>
      </c>
      <c r="H87">
        <v>0</v>
      </c>
      <c r="I87" s="14" t="str">
        <f t="shared" si="3"/>
        <v>1088,'LICENCIATURA','INGENIERÍA AUTOMOTRIZ','AUTO 3° B','CORREA BALTAZAR JUAN CARLOS','DIBUJO ASISTIDO POR COMPUTADORA II','MASCULINO',0</v>
      </c>
      <c r="J87" s="12" t="str">
        <f t="shared" si="2"/>
        <v>INSERT INTO profesores (id,nivel,carrera,grupo,nombre,materia,sexo,sello) VALUES (1088,'LICENCIATURA','INGENIERÍA AUTOMOTRIZ','AUTO 3° B','CORREA BALTAZAR JUAN CARLOS','DIBUJO ASISTIDO POR COMPUTADORA II','MASCULINO',0);</v>
      </c>
    </row>
    <row r="88" spans="1:10" ht="101.5" x14ac:dyDescent="0.35">
      <c r="A88">
        <v>1089</v>
      </c>
      <c r="B88" t="s">
        <v>5</v>
      </c>
      <c r="C88" t="s">
        <v>1724</v>
      </c>
      <c r="D88" t="s">
        <v>1756</v>
      </c>
      <c r="E88" t="s">
        <v>1989</v>
      </c>
      <c r="F88" t="s">
        <v>2206</v>
      </c>
      <c r="G88" t="s">
        <v>2243</v>
      </c>
      <c r="H88">
        <v>0</v>
      </c>
      <c r="I88" s="14" t="str">
        <f t="shared" si="3"/>
        <v>1089,'LICENCIATURA','NUTRICION Y GASTRONOMIA','NUT 5°','GONZALEZ ALVAREZ MARIA TERESA','DIETETICA','FEMENINO',0</v>
      </c>
      <c r="J88" s="12" t="str">
        <f t="shared" si="2"/>
        <v>INSERT INTO profesores (id,nivel,carrera,grupo,nombre,materia,sexo,sello) VALUES (1089,'LICENCIATURA','NUTRICION Y GASTRONOMIA','NUT 5°','GONZALEZ ALVAREZ MARIA TERESA','DIETETICA','FEMENINO',0);</v>
      </c>
    </row>
    <row r="89" spans="1:10" ht="101.5" x14ac:dyDescent="0.35">
      <c r="A89">
        <v>1090</v>
      </c>
      <c r="B89" t="s">
        <v>5</v>
      </c>
      <c r="C89" t="s">
        <v>1725</v>
      </c>
      <c r="D89" t="s">
        <v>1776</v>
      </c>
      <c r="E89" t="s">
        <v>1920</v>
      </c>
      <c r="F89" t="s">
        <v>2107</v>
      </c>
      <c r="G89" t="s">
        <v>2242</v>
      </c>
      <c r="H89">
        <v>0</v>
      </c>
      <c r="I89" s="14" t="str">
        <f t="shared" si="3"/>
        <v>1090,'LICENCIATURA','INGENIERIA AEROESPACIAL','AERO 3°A','SHINDO  DAISUKE','DINAMICA','MASCULINO',0</v>
      </c>
      <c r="J89" s="12" t="str">
        <f t="shared" si="2"/>
        <v>INSERT INTO profesores (id,nivel,carrera,grupo,nombre,materia,sexo,sello) VALUES (1090,'LICENCIATURA','INGENIERIA AEROESPACIAL','AERO 3°A','SHINDO  DAISUKE','DINAMICA','MASCULINO',0);</v>
      </c>
    </row>
    <row r="90" spans="1:10" ht="101.5" x14ac:dyDescent="0.35">
      <c r="A90">
        <v>1091</v>
      </c>
      <c r="B90" t="s">
        <v>5</v>
      </c>
      <c r="C90" t="s">
        <v>1725</v>
      </c>
      <c r="D90" t="s">
        <v>1775</v>
      </c>
      <c r="E90" t="s">
        <v>1920</v>
      </c>
      <c r="F90" t="s">
        <v>2107</v>
      </c>
      <c r="G90" t="s">
        <v>2242</v>
      </c>
      <c r="H90">
        <v>0</v>
      </c>
      <c r="I90" s="14" t="str">
        <f t="shared" si="3"/>
        <v>1091,'LICENCIATURA','INGENIERIA AEROESPACIAL','AERO 3°B','SHINDO  DAISUKE','DINAMICA','MASCULINO',0</v>
      </c>
      <c r="J90" s="12" t="str">
        <f t="shared" si="2"/>
        <v>INSERT INTO profesores (id,nivel,carrera,grupo,nombre,materia,sexo,sello) VALUES (1091,'LICENCIATURA','INGENIERIA AEROESPACIAL','AERO 3°B','SHINDO  DAISUKE','DINAMICA','MASCULINO',0);</v>
      </c>
    </row>
    <row r="91" spans="1:10" ht="101.5" x14ac:dyDescent="0.35">
      <c r="A91">
        <v>1092</v>
      </c>
      <c r="B91" t="s">
        <v>5</v>
      </c>
      <c r="C91" t="s">
        <v>1727</v>
      </c>
      <c r="D91" t="s">
        <v>1768</v>
      </c>
      <c r="E91" t="s">
        <v>1856</v>
      </c>
      <c r="F91" t="s">
        <v>2019</v>
      </c>
      <c r="G91" t="s">
        <v>2242</v>
      </c>
      <c r="H91">
        <v>0</v>
      </c>
      <c r="I91" s="14" t="str">
        <f t="shared" si="3"/>
        <v>1092,'LICENCIATURA','ADMINISTRACION Y DIRECCION DE NEGOCIOS','ADMON 5°','ROJAS MALDONADO ADRIAN','DIRECCION DEL CAPITAL HUMANO I','MASCULINO',0</v>
      </c>
      <c r="J91" s="12" t="str">
        <f t="shared" si="2"/>
        <v>INSERT INTO profesores (id,nivel,carrera,grupo,nombre,materia,sexo,sello) VALUES (1092,'LICENCIATURA','ADMINISTRACION Y DIRECCION DE NEGOCIOS','ADMON 5°','ROJAS MALDONADO ADRIAN','DIRECCION DEL CAPITAL HUMANO I','MASCULINO',0);</v>
      </c>
    </row>
    <row r="92" spans="1:10" ht="101.5" x14ac:dyDescent="0.35">
      <c r="A92">
        <v>1093</v>
      </c>
      <c r="B92" t="s">
        <v>5</v>
      </c>
      <c r="C92" t="s">
        <v>1733</v>
      </c>
      <c r="D92" t="s">
        <v>1763</v>
      </c>
      <c r="E92" t="s">
        <v>1900</v>
      </c>
      <c r="F92" t="s">
        <v>2085</v>
      </c>
      <c r="G92" t="s">
        <v>2243</v>
      </c>
      <c r="H92">
        <v>0</v>
      </c>
      <c r="I92" s="14" t="str">
        <f t="shared" si="3"/>
        <v>1093,'LICENCIATURA','DISEÑO GRAFICO Y DIGITAL','DGD 7°','BAUTISTA PARRA CLAUDIA LUCIA','DISEÑO DE CAMPAÑA PUBLICITARIA','FEMENINO',0</v>
      </c>
      <c r="J92" s="12" t="str">
        <f t="shared" si="2"/>
        <v>INSERT INTO profesores (id,nivel,carrera,grupo,nombre,materia,sexo,sello) VALUES (1093,'LICENCIATURA','DISEÑO GRAFICO Y DIGITAL','DGD 7°','BAUTISTA PARRA CLAUDIA LUCIA','DISEÑO DE CAMPAÑA PUBLICITARIA','FEMENINO',0);</v>
      </c>
    </row>
    <row r="93" spans="1:10" ht="101.5" x14ac:dyDescent="0.35">
      <c r="A93">
        <v>1094</v>
      </c>
      <c r="B93" t="s">
        <v>5</v>
      </c>
      <c r="C93" t="s">
        <v>1731</v>
      </c>
      <c r="D93" t="s">
        <v>1770</v>
      </c>
      <c r="E93" t="s">
        <v>1938</v>
      </c>
      <c r="F93" t="s">
        <v>2132</v>
      </c>
      <c r="G93" t="s">
        <v>2242</v>
      </c>
      <c r="H93">
        <v>0</v>
      </c>
      <c r="I93" s="14" t="str">
        <f t="shared" si="3"/>
        <v>1094,'LICENCIATURA','INGENIERÍA AUTOMOTRIZ','AUTO 5°','ESQUIVEL LEAL ALEJANDRO GUADALUPE','DISEÑO DE ELEMENTOS DE MÁQUINA ','MASCULINO',0</v>
      </c>
      <c r="J93" s="12" t="str">
        <f t="shared" si="2"/>
        <v>INSERT INTO profesores (id,nivel,carrera,grupo,nombre,materia,sexo,sello) VALUES (1094,'LICENCIATURA','INGENIERÍA AUTOMOTRIZ','AUTO 5°','ESQUIVEL LEAL ALEJANDRO GUADALUPE','DISEÑO DE ELEMENTOS DE MÁQUINA ','MASCULINO',0);</v>
      </c>
    </row>
    <row r="94" spans="1:10" ht="101.5" x14ac:dyDescent="0.35">
      <c r="A94">
        <v>1095</v>
      </c>
      <c r="B94" t="s">
        <v>5</v>
      </c>
      <c r="C94" t="s">
        <v>1730</v>
      </c>
      <c r="D94" t="s">
        <v>1757</v>
      </c>
      <c r="E94" t="s">
        <v>1866</v>
      </c>
      <c r="F94" t="s">
        <v>2031</v>
      </c>
      <c r="G94" t="s">
        <v>2242</v>
      </c>
      <c r="H94">
        <v>0</v>
      </c>
      <c r="I94" s="14" t="str">
        <f t="shared" si="3"/>
        <v>1095,'LICENCIATURA','ANIMACION DIGITAL Y VIDEOJUEGOS','ANIM 5°','ACOSTA NUÑEZ JORGE','DISEÑO DE ESCENARIOS','MASCULINO',0</v>
      </c>
      <c r="J94" s="12" t="str">
        <f t="shared" si="2"/>
        <v>INSERT INTO profesores (id,nivel,carrera,grupo,nombre,materia,sexo,sello) VALUES (1095,'LICENCIATURA','ANIMACION DIGITAL Y VIDEOJUEGOS','ANIM 5°','ACOSTA NUÑEZ JORGE','DISEÑO DE ESCENARIOS','MASCULINO',0);</v>
      </c>
    </row>
    <row r="95" spans="1:10" ht="101.5" x14ac:dyDescent="0.35">
      <c r="A95">
        <v>1096</v>
      </c>
      <c r="B95" t="s">
        <v>5</v>
      </c>
      <c r="C95" t="s">
        <v>1729</v>
      </c>
      <c r="D95" t="s">
        <v>1758</v>
      </c>
      <c r="E95" t="s">
        <v>1879</v>
      </c>
      <c r="F95" t="s">
        <v>2052</v>
      </c>
      <c r="G95" t="s">
        <v>2242</v>
      </c>
      <c r="H95">
        <v>0</v>
      </c>
      <c r="I95" s="14" t="str">
        <f t="shared" si="3"/>
        <v>1096,'LICENCIATURA','ARQUITECTURA','ARQ 5°','PONCE CUEVAS JUAN','DISEÑO DE ESTRUCTURA, CONCRETOS, MAMPOSTERIA Y SISMOS','MASCULINO',0</v>
      </c>
      <c r="J95" s="12" t="str">
        <f t="shared" si="2"/>
        <v>INSERT INTO profesores (id,nivel,carrera,grupo,nombre,materia,sexo,sello) VALUES (1096,'LICENCIATURA','ARQUITECTURA','ARQ 5°','PONCE CUEVAS JUAN','DISEÑO DE ESTRUCTURA, CONCRETOS, MAMPOSTERIA Y SISMOS','MASCULINO',0);</v>
      </c>
    </row>
    <row r="96" spans="1:10" ht="101.5" x14ac:dyDescent="0.35">
      <c r="A96">
        <v>1097</v>
      </c>
      <c r="B96" t="s">
        <v>5</v>
      </c>
      <c r="C96" t="s">
        <v>1729</v>
      </c>
      <c r="D96" t="s">
        <v>1758</v>
      </c>
      <c r="E96" t="s">
        <v>1882</v>
      </c>
      <c r="F96" t="s">
        <v>2053</v>
      </c>
      <c r="G96" t="s">
        <v>2242</v>
      </c>
      <c r="H96">
        <v>0</v>
      </c>
      <c r="I96" s="14" t="str">
        <f t="shared" si="3"/>
        <v>1097,'LICENCIATURA','ARQUITECTURA','ARQ 5°','MONTELONGO AGUAYO DANIEL','DISEÑO DE INSTALACIONES ELECTRICAS Y ESPECIALES','MASCULINO',0</v>
      </c>
      <c r="J96" s="12" t="str">
        <f t="shared" si="2"/>
        <v>INSERT INTO profesores (id,nivel,carrera,grupo,nombre,materia,sexo,sello) VALUES (1097,'LICENCIATURA','ARQUITECTURA','ARQ 5°','MONTELONGO AGUAYO DANIEL','DISEÑO DE INSTALACIONES ELECTRICAS Y ESPECIALES','MASCULINO',0);</v>
      </c>
    </row>
    <row r="97" spans="1:10" ht="101.5" x14ac:dyDescent="0.35">
      <c r="A97">
        <v>1098</v>
      </c>
      <c r="B97" t="s">
        <v>5</v>
      </c>
      <c r="C97" t="s">
        <v>1730</v>
      </c>
      <c r="D97" t="s">
        <v>1777</v>
      </c>
      <c r="E97" t="s">
        <v>1866</v>
      </c>
      <c r="F97" t="s">
        <v>2032</v>
      </c>
      <c r="G97" t="s">
        <v>2242</v>
      </c>
      <c r="H97">
        <v>0</v>
      </c>
      <c r="I97" s="14" t="str">
        <f t="shared" si="3"/>
        <v>1098,'LICENCIATURA','ANIMACION DIGITAL Y VIDEOJUEGOS','ANIM 3°','ACOSTA NUÑEZ JORGE','DISEÑO DE PERSONAJES I','MASCULINO',0</v>
      </c>
      <c r="J97" s="12" t="str">
        <f t="shared" si="2"/>
        <v>INSERT INTO profesores (id,nivel,carrera,grupo,nombre,materia,sexo,sello) VALUES (1098,'LICENCIATURA','ANIMACION DIGITAL Y VIDEOJUEGOS','ANIM 3°','ACOSTA NUÑEZ JORGE','DISEÑO DE PERSONAJES I','MASCULINO',0);</v>
      </c>
    </row>
    <row r="98" spans="1:10" ht="101.5" x14ac:dyDescent="0.35">
      <c r="A98">
        <v>1099</v>
      </c>
      <c r="B98" t="s">
        <v>5</v>
      </c>
      <c r="C98" t="s">
        <v>1792</v>
      </c>
      <c r="D98" t="s">
        <v>1818</v>
      </c>
      <c r="E98" t="s">
        <v>1861</v>
      </c>
      <c r="F98" t="s">
        <v>2186</v>
      </c>
      <c r="G98" t="s">
        <v>2243</v>
      </c>
      <c r="H98">
        <v>1</v>
      </c>
      <c r="I98" s="14" t="str">
        <f t="shared" si="3"/>
        <v>1099,'LICENCIATURA','MATERIAS INSTITUCIONALES','TC0501_1','PADILLA MARTINEZ ELSA GEORGINA','DISEÑO DE PROYECTO DE NEGOCIOS','FEMENINO',1</v>
      </c>
      <c r="J98" s="12" t="str">
        <f t="shared" si="2"/>
        <v>INSERT INTO profesores (id,nivel,carrera,grupo,nombre,materia,sexo,sello) VALUES (1099,'LICENCIATURA','MATERIAS INSTITUCIONALES','TC0501_1','PADILLA MARTINEZ ELSA GEORGINA','DISEÑO DE PROYECTO DE NEGOCIOS','FEMENINO',1);</v>
      </c>
    </row>
    <row r="99" spans="1:10" ht="101.5" x14ac:dyDescent="0.35">
      <c r="A99">
        <v>1100</v>
      </c>
      <c r="B99" t="s">
        <v>5</v>
      </c>
      <c r="C99" t="s">
        <v>1792</v>
      </c>
      <c r="D99" t="s">
        <v>1819</v>
      </c>
      <c r="E99" t="s">
        <v>1970</v>
      </c>
      <c r="F99" t="s">
        <v>2186</v>
      </c>
      <c r="G99" t="s">
        <v>2243</v>
      </c>
      <c r="H99">
        <v>1</v>
      </c>
      <c r="I99" s="14" t="str">
        <f t="shared" si="3"/>
        <v>1100,'LICENCIATURA','MATERIAS INSTITUCIONALES','TC0501_2','CORTES SORIANO DHALIA','DISEÑO DE PROYECTO DE NEGOCIOS','FEMENINO',1</v>
      </c>
      <c r="J99" s="12" t="str">
        <f t="shared" si="2"/>
        <v>INSERT INTO profesores (id,nivel,carrera,grupo,nombre,materia,sexo,sello) VALUES (1100,'LICENCIATURA','MATERIAS INSTITUCIONALES','TC0501_2','CORTES SORIANO DHALIA','DISEÑO DE PROYECTO DE NEGOCIOS','FEMENINO',1);</v>
      </c>
    </row>
    <row r="100" spans="1:10" ht="101.5" x14ac:dyDescent="0.35">
      <c r="A100">
        <v>1101</v>
      </c>
      <c r="B100" t="s">
        <v>5</v>
      </c>
      <c r="C100" t="s">
        <v>1792</v>
      </c>
      <c r="D100" t="s">
        <v>1820</v>
      </c>
      <c r="E100" t="s">
        <v>1971</v>
      </c>
      <c r="F100" t="s">
        <v>2186</v>
      </c>
      <c r="G100" t="s">
        <v>2243</v>
      </c>
      <c r="H100">
        <v>1</v>
      </c>
      <c r="I100" s="14" t="str">
        <f t="shared" si="3"/>
        <v>1101,'LICENCIATURA','MATERIAS INSTITUCIONALES','TC0501_3','MARTINEZ MEDINA LILIANA','DISEÑO DE PROYECTO DE NEGOCIOS','FEMENINO',1</v>
      </c>
      <c r="J100" s="12" t="str">
        <f t="shared" si="2"/>
        <v>INSERT INTO profesores (id,nivel,carrera,grupo,nombre,materia,sexo,sello) VALUES (1101,'LICENCIATURA','MATERIAS INSTITUCIONALES','TC0501_3','MARTINEZ MEDINA LILIANA','DISEÑO DE PROYECTO DE NEGOCIOS','FEMENINO',1);</v>
      </c>
    </row>
    <row r="101" spans="1:10" ht="101.5" x14ac:dyDescent="0.35">
      <c r="A101">
        <v>1102</v>
      </c>
      <c r="B101" t="s">
        <v>5</v>
      </c>
      <c r="C101" t="s">
        <v>1792</v>
      </c>
      <c r="D101" t="s">
        <v>1821</v>
      </c>
      <c r="E101" t="s">
        <v>1857</v>
      </c>
      <c r="F101" t="s">
        <v>2186</v>
      </c>
      <c r="G101" t="s">
        <v>2242</v>
      </c>
      <c r="H101">
        <v>1</v>
      </c>
      <c r="I101" s="14" t="str">
        <f t="shared" si="3"/>
        <v>1102,'LICENCIATURA','MATERIAS INSTITUCIONALES','TC0501_4','ACEVES REYNAGA DAVID EDUARDO','DISEÑO DE PROYECTO DE NEGOCIOS','MASCULINO',1</v>
      </c>
      <c r="J101" s="12" t="str">
        <f t="shared" si="2"/>
        <v>INSERT INTO profesores (id,nivel,carrera,grupo,nombre,materia,sexo,sello) VALUES (1102,'LICENCIATURA','MATERIAS INSTITUCIONALES','TC0501_4','ACEVES REYNAGA DAVID EDUARDO','DISEÑO DE PROYECTO DE NEGOCIOS','MASCULINO',1);</v>
      </c>
    </row>
    <row r="102" spans="1:10" ht="101.5" x14ac:dyDescent="0.35">
      <c r="A102">
        <v>1103</v>
      </c>
      <c r="B102" t="s">
        <v>5</v>
      </c>
      <c r="C102" t="s">
        <v>1792</v>
      </c>
      <c r="D102" t="s">
        <v>1822</v>
      </c>
      <c r="E102" t="s">
        <v>1971</v>
      </c>
      <c r="F102" t="s">
        <v>2186</v>
      </c>
      <c r="G102" t="s">
        <v>2243</v>
      </c>
      <c r="H102">
        <v>1</v>
      </c>
      <c r="I102" s="14" t="str">
        <f t="shared" si="3"/>
        <v>1103,'LICENCIATURA','MATERIAS INSTITUCIONALES','TC0501_5','MARTINEZ MEDINA LILIANA','DISEÑO DE PROYECTO DE NEGOCIOS','FEMENINO',1</v>
      </c>
      <c r="J102" s="12" t="str">
        <f t="shared" si="2"/>
        <v>INSERT INTO profesores (id,nivel,carrera,grupo,nombre,materia,sexo,sello) VALUES (1103,'LICENCIATURA','MATERIAS INSTITUCIONALES','TC0501_5','MARTINEZ MEDINA LILIANA','DISEÑO DE PROYECTO DE NEGOCIOS','FEMENINO',1);</v>
      </c>
    </row>
    <row r="103" spans="1:10" ht="101.5" x14ac:dyDescent="0.35">
      <c r="A103">
        <v>1104</v>
      </c>
      <c r="B103" t="s">
        <v>5</v>
      </c>
      <c r="C103" t="s">
        <v>1792</v>
      </c>
      <c r="D103" t="s">
        <v>1823</v>
      </c>
      <c r="E103" t="s">
        <v>1861</v>
      </c>
      <c r="F103" t="s">
        <v>2186</v>
      </c>
      <c r="G103" t="s">
        <v>2243</v>
      </c>
      <c r="H103">
        <v>1</v>
      </c>
      <c r="I103" s="14" t="str">
        <f t="shared" si="3"/>
        <v>1104,'LICENCIATURA','MATERIAS INSTITUCIONALES','TC0501_6','PADILLA MARTINEZ ELSA GEORGINA','DISEÑO DE PROYECTO DE NEGOCIOS','FEMENINO',1</v>
      </c>
      <c r="J103" s="12" t="str">
        <f t="shared" si="2"/>
        <v>INSERT INTO profesores (id,nivel,carrera,grupo,nombre,materia,sexo,sello) VALUES (1104,'LICENCIATURA','MATERIAS INSTITUCIONALES','TC0501_6','PADILLA MARTINEZ ELSA GEORGINA','DISEÑO DE PROYECTO DE NEGOCIOS','FEMENINO',1);</v>
      </c>
    </row>
    <row r="104" spans="1:10" ht="101.5" x14ac:dyDescent="0.35">
      <c r="A104">
        <v>1105</v>
      </c>
      <c r="B104" t="s">
        <v>5</v>
      </c>
      <c r="C104" t="s">
        <v>1792</v>
      </c>
      <c r="D104" t="s">
        <v>1824</v>
      </c>
      <c r="E104" t="s">
        <v>1970</v>
      </c>
      <c r="F104" t="s">
        <v>2186</v>
      </c>
      <c r="G104" t="s">
        <v>2243</v>
      </c>
      <c r="H104">
        <v>1</v>
      </c>
      <c r="I104" s="14" t="str">
        <f t="shared" si="3"/>
        <v>1105,'LICENCIATURA','MATERIAS INSTITUCIONALES','TC0501_7','CORTES SORIANO DHALIA','DISEÑO DE PROYECTO DE NEGOCIOS','FEMENINO',1</v>
      </c>
      <c r="J104" s="12" t="str">
        <f t="shared" si="2"/>
        <v>INSERT INTO profesores (id,nivel,carrera,grupo,nombre,materia,sexo,sello) VALUES (1105,'LICENCIATURA','MATERIAS INSTITUCIONALES','TC0501_7','CORTES SORIANO DHALIA','DISEÑO DE PROYECTO DE NEGOCIOS','FEMENINO',1);</v>
      </c>
    </row>
    <row r="105" spans="1:10" ht="101.5" x14ac:dyDescent="0.35">
      <c r="A105">
        <v>1106</v>
      </c>
      <c r="B105" t="s">
        <v>5</v>
      </c>
      <c r="C105" t="s">
        <v>1730</v>
      </c>
      <c r="D105" t="s">
        <v>1755</v>
      </c>
      <c r="E105" t="s">
        <v>1867</v>
      </c>
      <c r="F105" t="s">
        <v>2033</v>
      </c>
      <c r="G105" t="s">
        <v>2243</v>
      </c>
      <c r="H105">
        <v>0</v>
      </c>
      <c r="I105" s="14" t="str">
        <f t="shared" si="3"/>
        <v>1106,'LICENCIATURA','ANIMACION DIGITAL Y VIDEOJUEGOS','ANIM 7°','HERNANDEZ GONZALEZ BARCENA NICOLE','DISEÑO DE SISTEMAS DE JUEGOS','FEMENINO',0</v>
      </c>
      <c r="J105" s="12" t="str">
        <f t="shared" si="2"/>
        <v>INSERT INTO profesores (id,nivel,carrera,grupo,nombre,materia,sexo,sello) VALUES (1106,'LICENCIATURA','ANIMACION DIGITAL Y VIDEOJUEGOS','ANIM 7°','HERNANDEZ GONZALEZ BARCENA NICOLE','DISEÑO DE SISTEMAS DE JUEGOS','FEMENINO',0);</v>
      </c>
    </row>
    <row r="106" spans="1:10" ht="101.5" x14ac:dyDescent="0.35">
      <c r="A106">
        <v>1107</v>
      </c>
      <c r="B106" t="s">
        <v>5</v>
      </c>
      <c r="C106" t="s">
        <v>1733</v>
      </c>
      <c r="D106" t="s">
        <v>1763</v>
      </c>
      <c r="E106" t="s">
        <v>1901</v>
      </c>
      <c r="F106" t="s">
        <v>2086</v>
      </c>
      <c r="G106" t="s">
        <v>2242</v>
      </c>
      <c r="H106">
        <v>0</v>
      </c>
      <c r="I106" s="14" t="str">
        <f t="shared" si="3"/>
        <v>1107,'LICENCIATURA','DISEÑO GRAFICO Y DIGITAL','DGD 7°','MORENO LLAMAS HECTOR RAUL','DISEÑO DE SITIOS DIGITALES','MASCULINO',0</v>
      </c>
      <c r="J106" s="12" t="str">
        <f t="shared" si="2"/>
        <v>INSERT INTO profesores (id,nivel,carrera,grupo,nombre,materia,sexo,sello) VALUES (1107,'LICENCIATURA','DISEÑO GRAFICO Y DIGITAL','DGD 7°','MORENO LLAMAS HECTOR RAUL','DISEÑO DE SITIOS DIGITALES','MASCULINO',0);</v>
      </c>
    </row>
    <row r="107" spans="1:10" ht="101.5" x14ac:dyDescent="0.35">
      <c r="A107">
        <v>1108</v>
      </c>
      <c r="B107" t="s">
        <v>5</v>
      </c>
      <c r="C107" t="s">
        <v>1730</v>
      </c>
      <c r="D107" t="s">
        <v>1757</v>
      </c>
      <c r="E107" t="s">
        <v>1867</v>
      </c>
      <c r="F107" t="s">
        <v>2034</v>
      </c>
      <c r="G107" t="s">
        <v>2243</v>
      </c>
      <c r="H107">
        <v>0</v>
      </c>
      <c r="I107" s="14" t="str">
        <f t="shared" si="3"/>
        <v>1108,'LICENCIATURA','ANIMACION DIGITAL Y VIDEOJUEGOS','ANIM 5°','HERNANDEZ GONZALEZ BARCENA NICOLE','DISEÑO DE VIDEOJUEGOS','FEMENINO',0</v>
      </c>
      <c r="J107" s="12" t="str">
        <f t="shared" si="2"/>
        <v>INSERT INTO profesores (id,nivel,carrera,grupo,nombre,materia,sexo,sello) VALUES (1108,'LICENCIATURA','ANIMACION DIGITAL Y VIDEOJUEGOS','ANIM 5°','HERNANDEZ GONZALEZ BARCENA NICOLE','DISEÑO DE VIDEOJUEGOS','FEMENINO',0);</v>
      </c>
    </row>
    <row r="108" spans="1:10" ht="101.5" x14ac:dyDescent="0.35">
      <c r="A108">
        <v>1109</v>
      </c>
      <c r="B108" t="s">
        <v>5</v>
      </c>
      <c r="C108" t="s">
        <v>1731</v>
      </c>
      <c r="D108" t="s">
        <v>1770</v>
      </c>
      <c r="E108" t="s">
        <v>1939</v>
      </c>
      <c r="F108" t="s">
        <v>2133</v>
      </c>
      <c r="G108" t="s">
        <v>2242</v>
      </c>
      <c r="H108">
        <v>0</v>
      </c>
      <c r="I108" s="14" t="str">
        <f t="shared" si="3"/>
        <v>1109,'LICENCIATURA','INGENIERÍA AUTOMOTRIZ','AUTO 5°','IRETA VELAZQUEZ OSVALDO','DISEÑO DEL AUTOMOVIL ','MASCULINO',0</v>
      </c>
      <c r="J108" s="12" t="str">
        <f t="shared" si="2"/>
        <v>INSERT INTO profesores (id,nivel,carrera,grupo,nombre,materia,sexo,sello) VALUES (1109,'LICENCIATURA','INGENIERÍA AUTOMOTRIZ','AUTO 5°','IRETA VELAZQUEZ OSVALDO','DISEÑO DEL AUTOMOVIL ','MASCULINO',0);</v>
      </c>
    </row>
    <row r="109" spans="1:10" ht="101.5" x14ac:dyDescent="0.35">
      <c r="A109">
        <v>1110</v>
      </c>
      <c r="B109" t="s">
        <v>5</v>
      </c>
      <c r="C109" t="s">
        <v>1729</v>
      </c>
      <c r="D109" t="s">
        <v>1759</v>
      </c>
      <c r="E109" t="s">
        <v>1883</v>
      </c>
      <c r="F109" t="s">
        <v>2054</v>
      </c>
      <c r="G109" t="s">
        <v>2242</v>
      </c>
      <c r="H109">
        <v>0</v>
      </c>
      <c r="I109" s="14" t="str">
        <f t="shared" si="3"/>
        <v>1110,'LICENCIATURA','ARQUITECTURA','ARQ 3°','SANCHEZ ARAIZA GABRIEL','DISEÑO DEL ESPACIO HABITACIONAL PLURIFAMILIAR','MASCULINO',0</v>
      </c>
      <c r="J109" s="12" t="str">
        <f t="shared" si="2"/>
        <v>INSERT INTO profesores (id,nivel,carrera,grupo,nombre,materia,sexo,sello) VALUES (1110,'LICENCIATURA','ARQUITECTURA','ARQ 3°','SANCHEZ ARAIZA GABRIEL','DISEÑO DEL ESPACIO HABITACIONAL PLURIFAMILIAR','MASCULINO',0);</v>
      </c>
    </row>
    <row r="110" spans="1:10" ht="101.5" x14ac:dyDescent="0.35">
      <c r="A110">
        <v>1111</v>
      </c>
      <c r="B110" t="s">
        <v>5</v>
      </c>
      <c r="C110" t="s">
        <v>1729</v>
      </c>
      <c r="D110" t="s">
        <v>1758</v>
      </c>
      <c r="E110" t="s">
        <v>1884</v>
      </c>
      <c r="F110" t="s">
        <v>2055</v>
      </c>
      <c r="G110" t="s">
        <v>2243</v>
      </c>
      <c r="H110">
        <v>0</v>
      </c>
      <c r="I110" s="14" t="str">
        <f t="shared" si="3"/>
        <v>1111,'LICENCIATURA','ARQUITECTURA','ARQ 5°','CASTELLANOS MEZA IRMA ELIZABETH','DISEÑO DEL ESPACIO PARA EL COMERCIO Y SERVICIO','FEMENINO',0</v>
      </c>
      <c r="J110" s="12" t="str">
        <f t="shared" si="2"/>
        <v>INSERT INTO profesores (id,nivel,carrera,grupo,nombre,materia,sexo,sello) VALUES (1111,'LICENCIATURA','ARQUITECTURA','ARQ 5°','CASTELLANOS MEZA IRMA ELIZABETH','DISEÑO DEL ESPACIO PARA EL COMERCIO Y SERVICIO','FEMENINO',0);</v>
      </c>
    </row>
    <row r="111" spans="1:10" ht="101.5" x14ac:dyDescent="0.35">
      <c r="A111">
        <v>1112</v>
      </c>
      <c r="B111" t="s">
        <v>5</v>
      </c>
      <c r="C111" t="s">
        <v>1729</v>
      </c>
      <c r="D111" t="s">
        <v>1754</v>
      </c>
      <c r="E111" t="s">
        <v>1885</v>
      </c>
      <c r="F111" t="s">
        <v>2056</v>
      </c>
      <c r="G111" t="s">
        <v>2243</v>
      </c>
      <c r="H111">
        <v>0</v>
      </c>
      <c r="I111" s="14" t="str">
        <f t="shared" si="3"/>
        <v>1112,'LICENCIATURA','ARQUITECTURA','ARQ 7°','ESPINO CAMPOS NYDIA','DISEÑO DEL ESPACIO TURISTICO Y HOTELERO','FEMENINO',0</v>
      </c>
      <c r="J111" s="12" t="str">
        <f t="shared" si="2"/>
        <v>INSERT INTO profesores (id,nivel,carrera,grupo,nombre,materia,sexo,sello) VALUES (1112,'LICENCIATURA','ARQUITECTURA','ARQ 7°','ESPINO CAMPOS NYDIA','DISEÑO DEL ESPACIO TURISTICO Y HOTELERO','FEMENINO',0);</v>
      </c>
    </row>
    <row r="112" spans="1:10" ht="101.5" x14ac:dyDescent="0.35">
      <c r="A112">
        <v>1113</v>
      </c>
      <c r="B112" t="s">
        <v>5</v>
      </c>
      <c r="C112" t="s">
        <v>1733</v>
      </c>
      <c r="D112" t="s">
        <v>1763</v>
      </c>
      <c r="E112" t="s">
        <v>1902</v>
      </c>
      <c r="F112" t="s">
        <v>2087</v>
      </c>
      <c r="G112" t="s">
        <v>2243</v>
      </c>
      <c r="H112">
        <v>0</v>
      </c>
      <c r="I112" s="14" t="str">
        <f t="shared" si="3"/>
        <v>1113,'LICENCIATURA','DISEÑO GRAFICO Y DIGITAL','DGD 7°','FLORES GIL ARACELI','DISEÑO EDITORAL AVANZADO','FEMENINO',0</v>
      </c>
      <c r="J112" s="12" t="str">
        <f t="shared" si="2"/>
        <v>INSERT INTO profesores (id,nivel,carrera,grupo,nombre,materia,sexo,sello) VALUES (1113,'LICENCIATURA','DISEÑO GRAFICO Y DIGITAL','DGD 7°','FLORES GIL ARACELI','DISEÑO EDITORAL AVANZADO','FEMENINO',0);</v>
      </c>
    </row>
    <row r="113" spans="1:10" ht="101.5" x14ac:dyDescent="0.35">
      <c r="A113">
        <v>1114</v>
      </c>
      <c r="B113" t="s">
        <v>5</v>
      </c>
      <c r="C113" t="s">
        <v>1725</v>
      </c>
      <c r="D113" t="s">
        <v>1748</v>
      </c>
      <c r="E113" t="s">
        <v>1914</v>
      </c>
      <c r="F113" t="s">
        <v>2108</v>
      </c>
      <c r="G113" t="s">
        <v>2242</v>
      </c>
      <c r="H113">
        <v>0</v>
      </c>
      <c r="I113" s="14" t="str">
        <f t="shared" si="3"/>
        <v>1114,'LICENCIATURA','INGENIERIA AEROESPACIAL','AERO 9°','ZARATE  TOMAS CIRO','DISEÑO ESTRUCTURAL DE AVIONES','MASCULINO',0</v>
      </c>
      <c r="J113" s="12" t="str">
        <f t="shared" si="2"/>
        <v>INSERT INTO profesores (id,nivel,carrera,grupo,nombre,materia,sexo,sello) VALUES (1114,'LICENCIATURA','INGENIERIA AEROESPACIAL','AERO 9°','ZARATE  TOMAS CIRO','DISEÑO ESTRUCTURAL DE AVIONES','MASCULINO',0);</v>
      </c>
    </row>
    <row r="114" spans="1:10" ht="101.5" x14ac:dyDescent="0.35">
      <c r="A114">
        <v>1115</v>
      </c>
      <c r="B114" t="s">
        <v>5</v>
      </c>
      <c r="C114" t="s">
        <v>1729</v>
      </c>
      <c r="D114" t="s">
        <v>1754</v>
      </c>
      <c r="E114" t="s">
        <v>1886</v>
      </c>
      <c r="F114" t="s">
        <v>2057</v>
      </c>
      <c r="G114" t="s">
        <v>2242</v>
      </c>
      <c r="H114">
        <v>0</v>
      </c>
      <c r="I114" s="14" t="str">
        <f t="shared" si="3"/>
        <v>1115,'LICENCIATURA','ARQUITECTURA','ARQ 7°','GUDIÑO GONZALEZ JESUS ANTONIO','DISEÑO Y CERTIFICACION SUSTENTABLE','MASCULINO',0</v>
      </c>
      <c r="J114" s="12" t="str">
        <f t="shared" si="2"/>
        <v>INSERT INTO profesores (id,nivel,carrera,grupo,nombre,materia,sexo,sello) VALUES (1115,'LICENCIATURA','ARQUITECTURA','ARQ 7°','GUDIÑO GONZALEZ JESUS ANTONIO','DISEÑO Y CERTIFICACION SUSTENTABLE','MASCULINO',0);</v>
      </c>
    </row>
    <row r="115" spans="1:10" ht="101.5" x14ac:dyDescent="0.35">
      <c r="A115">
        <v>1116</v>
      </c>
      <c r="B115" t="s">
        <v>5</v>
      </c>
      <c r="C115" t="s">
        <v>1728</v>
      </c>
      <c r="D115" t="s">
        <v>1751</v>
      </c>
      <c r="E115" t="s">
        <v>1915</v>
      </c>
      <c r="F115" t="s">
        <v>2178</v>
      </c>
      <c r="G115" t="s">
        <v>2242</v>
      </c>
      <c r="H115">
        <v>0</v>
      </c>
      <c r="I115" s="14" t="str">
        <f t="shared" si="3"/>
        <v>1116,'LICENCIATURA','INGENIERIA INDUSTRIAL Y EN SISTEMAS ORGANIZACIONALES','IND 7°','DE ANDA  DEL MURO  MARTIN EDUARDO ','DISTRIBUCION Y LOGISTICA','MASCULINO',0</v>
      </c>
      <c r="J115" s="12" t="str">
        <f t="shared" si="2"/>
        <v>INSERT INTO profesores (id,nivel,carrera,grupo,nombre,materia,sexo,sello) VALUES (1116,'LICENCIATURA','INGENIERIA INDUSTRIAL Y EN SISTEMAS ORGANIZACIONALES','IND 7°','DE ANDA  DEL MURO  MARTIN EDUARDO ','DISTRIBUCION Y LOGISTICA','MASCULINO',0);</v>
      </c>
    </row>
    <row r="116" spans="1:10" ht="101.5" x14ac:dyDescent="0.35">
      <c r="A116">
        <v>1117</v>
      </c>
      <c r="B116" t="s">
        <v>5</v>
      </c>
      <c r="C116" t="s">
        <v>1725</v>
      </c>
      <c r="D116" t="s">
        <v>1776</v>
      </c>
      <c r="E116" t="s">
        <v>1921</v>
      </c>
      <c r="F116" t="s">
        <v>2109</v>
      </c>
      <c r="G116" t="s">
        <v>2243</v>
      </c>
      <c r="H116">
        <v>0</v>
      </c>
      <c r="I116" s="14" t="str">
        <f t="shared" si="3"/>
        <v>1117,'LICENCIATURA','INGENIERIA AEROESPACIAL','AERO 3°A','ANDRADE HERNANDEZ GISELLE','ECUACIONES DIFERENCIALES','FEMENINO',0</v>
      </c>
      <c r="J116" s="12" t="str">
        <f t="shared" si="2"/>
        <v>INSERT INTO profesores (id,nivel,carrera,grupo,nombre,materia,sexo,sello) VALUES (1117,'LICENCIATURA','INGENIERIA AEROESPACIAL','AERO 3°A','ANDRADE HERNANDEZ GISELLE','ECUACIONES DIFERENCIALES','FEMENINO',0);</v>
      </c>
    </row>
    <row r="117" spans="1:10" ht="101.5" x14ac:dyDescent="0.35">
      <c r="A117">
        <v>1118</v>
      </c>
      <c r="B117" t="s">
        <v>5</v>
      </c>
      <c r="C117" t="s">
        <v>1725</v>
      </c>
      <c r="D117" t="s">
        <v>1775</v>
      </c>
      <c r="E117" t="s">
        <v>1921</v>
      </c>
      <c r="F117" t="s">
        <v>2109</v>
      </c>
      <c r="G117" t="s">
        <v>2243</v>
      </c>
      <c r="H117">
        <v>0</v>
      </c>
      <c r="I117" s="14" t="str">
        <f t="shared" si="3"/>
        <v>1118,'LICENCIATURA','INGENIERIA AEROESPACIAL','AERO 3°B','ANDRADE HERNANDEZ GISELLE','ECUACIONES DIFERENCIALES','FEMENINO',0</v>
      </c>
      <c r="J117" s="12" t="str">
        <f t="shared" si="2"/>
        <v>INSERT INTO profesores (id,nivel,carrera,grupo,nombre,materia,sexo,sello) VALUES (1118,'LICENCIATURA','INGENIERIA AEROESPACIAL','AERO 3°B','ANDRADE HERNANDEZ GISELLE','ECUACIONES DIFERENCIALES','FEMENINO',0);</v>
      </c>
    </row>
    <row r="118" spans="1:10" ht="101.5" x14ac:dyDescent="0.35">
      <c r="A118">
        <v>1119</v>
      </c>
      <c r="B118" t="s">
        <v>5</v>
      </c>
      <c r="C118" t="s">
        <v>1725</v>
      </c>
      <c r="D118" t="s">
        <v>1776</v>
      </c>
      <c r="E118" t="s">
        <v>1922</v>
      </c>
      <c r="F118" t="s">
        <v>2110</v>
      </c>
      <c r="G118" t="s">
        <v>2242</v>
      </c>
      <c r="H118">
        <v>0</v>
      </c>
      <c r="I118" s="14" t="str">
        <f t="shared" si="3"/>
        <v>1119,'LICENCIATURA','INGENIERIA AEROESPACIAL','AERO 3°A','ALBORES MONTOYA ELIASIN ALEJANDRO','ELASTICIDAD Y RESISTENCIA DE MATERIALES','MASCULINO',0</v>
      </c>
      <c r="J118" s="12" t="str">
        <f t="shared" si="2"/>
        <v>INSERT INTO profesores (id,nivel,carrera,grupo,nombre,materia,sexo,sello) VALUES (1119,'LICENCIATURA','INGENIERIA AEROESPACIAL','AERO 3°A','ALBORES MONTOYA ELIASIN ALEJANDRO','ELASTICIDAD Y RESISTENCIA DE MATERIALES','MASCULINO',0);</v>
      </c>
    </row>
    <row r="119" spans="1:10" ht="101.5" x14ac:dyDescent="0.35">
      <c r="A119">
        <v>1120</v>
      </c>
      <c r="B119" t="s">
        <v>5</v>
      </c>
      <c r="C119" t="s">
        <v>1725</v>
      </c>
      <c r="D119" t="s">
        <v>1775</v>
      </c>
      <c r="E119" t="s">
        <v>1922</v>
      </c>
      <c r="F119" t="s">
        <v>2110</v>
      </c>
      <c r="G119" t="s">
        <v>2242</v>
      </c>
      <c r="H119">
        <v>0</v>
      </c>
      <c r="I119" s="14" t="str">
        <f t="shared" si="3"/>
        <v>1120,'LICENCIATURA','INGENIERIA AEROESPACIAL','AERO 3°B','ALBORES MONTOYA ELIASIN ALEJANDRO','ELASTICIDAD Y RESISTENCIA DE MATERIALES','MASCULINO',0</v>
      </c>
      <c r="J119" s="12" t="str">
        <f t="shared" si="2"/>
        <v>INSERT INTO profesores (id,nivel,carrera,grupo,nombre,materia,sexo,sello) VALUES (1120,'LICENCIATURA','INGENIERIA AEROESPACIAL','AERO 3°B','ALBORES MONTOYA ELIASIN ALEJANDRO','ELASTICIDAD Y RESISTENCIA DE MATERIALES','MASCULINO',0);</v>
      </c>
    </row>
    <row r="120" spans="1:10" ht="101.5" x14ac:dyDescent="0.35">
      <c r="A120">
        <v>1121</v>
      </c>
      <c r="B120" t="s">
        <v>5</v>
      </c>
      <c r="C120" t="s">
        <v>1731</v>
      </c>
      <c r="D120" t="s">
        <v>1782</v>
      </c>
      <c r="E120" t="s">
        <v>1938</v>
      </c>
      <c r="F120" t="s">
        <v>2134</v>
      </c>
      <c r="G120" t="s">
        <v>2242</v>
      </c>
      <c r="H120">
        <v>0</v>
      </c>
      <c r="I120" s="14" t="str">
        <f t="shared" si="3"/>
        <v>1121,'LICENCIATURA','INGENIERÍA AUTOMOTRIZ','AUTO 1° A','ESQUIVEL LEAL ALEJANDRO GUADALUPE','ELECTRICIDAD Y MAGNETISMO ','MASCULINO',0</v>
      </c>
      <c r="J120" s="12" t="str">
        <f t="shared" si="2"/>
        <v>INSERT INTO profesores (id,nivel,carrera,grupo,nombre,materia,sexo,sello) VALUES (1121,'LICENCIATURA','INGENIERÍA AUTOMOTRIZ','AUTO 1° A','ESQUIVEL LEAL ALEJANDRO GUADALUPE','ELECTRICIDAD Y MAGNETISMO ','MASCULINO',0);</v>
      </c>
    </row>
    <row r="121" spans="1:10" ht="101.5" x14ac:dyDescent="0.35">
      <c r="A121">
        <v>1122</v>
      </c>
      <c r="B121" t="s">
        <v>5</v>
      </c>
      <c r="C121" t="s">
        <v>1731</v>
      </c>
      <c r="D121" t="s">
        <v>1773</v>
      </c>
      <c r="E121" t="s">
        <v>1938</v>
      </c>
      <c r="F121" t="s">
        <v>2134</v>
      </c>
      <c r="G121" t="s">
        <v>2242</v>
      </c>
      <c r="H121">
        <v>0</v>
      </c>
      <c r="I121" s="14" t="str">
        <f t="shared" si="3"/>
        <v>1122,'LICENCIATURA','INGENIERÍA AUTOMOTRIZ','AUTO 1° B','ESQUIVEL LEAL ALEJANDRO GUADALUPE','ELECTRICIDAD Y MAGNETISMO ','MASCULINO',0</v>
      </c>
      <c r="J121" s="12" t="str">
        <f t="shared" si="2"/>
        <v>INSERT INTO profesores (id,nivel,carrera,grupo,nombre,materia,sexo,sello) VALUES (1122,'LICENCIATURA','INGENIERÍA AUTOMOTRIZ','AUTO 1° B','ESQUIVEL LEAL ALEJANDRO GUADALUPE','ELECTRICIDAD Y MAGNETISMO ','MASCULINO',0);</v>
      </c>
    </row>
    <row r="122" spans="1:10" ht="101.5" x14ac:dyDescent="0.35">
      <c r="A122">
        <v>1123</v>
      </c>
      <c r="B122" t="s">
        <v>5</v>
      </c>
      <c r="C122" t="s">
        <v>1731</v>
      </c>
      <c r="D122" t="s">
        <v>1761</v>
      </c>
      <c r="E122" t="s">
        <v>1931</v>
      </c>
      <c r="F122" t="s">
        <v>2135</v>
      </c>
      <c r="G122" t="s">
        <v>2242</v>
      </c>
      <c r="H122">
        <v>0</v>
      </c>
      <c r="I122" s="14" t="str">
        <f t="shared" si="3"/>
        <v>1123,'LICENCIATURA','INGENIERÍA AUTOMOTRIZ','AUTO 7°','MONTAÑO ALVIZO JUAN CARLOS','ELECTRONICA APLICADA PARA EL AUTOMOVIL','MASCULINO',0</v>
      </c>
      <c r="J122" s="12" t="str">
        <f t="shared" si="2"/>
        <v>INSERT INTO profesores (id,nivel,carrera,grupo,nombre,materia,sexo,sello) VALUES (1123,'LICENCIATURA','INGENIERÍA AUTOMOTRIZ','AUTO 7°','MONTAÑO ALVIZO JUAN CARLOS','ELECTRONICA APLICADA PARA EL AUTOMOVIL','MASCULINO',0);</v>
      </c>
    </row>
    <row r="123" spans="1:10" ht="101.5" x14ac:dyDescent="0.35">
      <c r="A123">
        <v>1124</v>
      </c>
      <c r="B123" t="s">
        <v>5</v>
      </c>
      <c r="C123" t="s">
        <v>1729</v>
      </c>
      <c r="D123" t="s">
        <v>1758</v>
      </c>
      <c r="E123" t="s">
        <v>1887</v>
      </c>
      <c r="F123" t="s">
        <v>2058</v>
      </c>
      <c r="G123" t="s">
        <v>2242</v>
      </c>
      <c r="H123">
        <v>0</v>
      </c>
      <c r="I123" s="14" t="str">
        <f t="shared" si="3"/>
        <v>1124,'LICENCIATURA','ARQUITECTURA','ARQ 5°','SANCHEZ MUÑOZ JOSE JORGE','ELEMENTOS DE LA PLANEACION URBANA','MASCULINO',0</v>
      </c>
      <c r="J123" s="12" t="str">
        <f t="shared" si="2"/>
        <v>INSERT INTO profesores (id,nivel,carrera,grupo,nombre,materia,sexo,sello) VALUES (1124,'LICENCIATURA','ARQUITECTURA','ARQ 5°','SANCHEZ MUÑOZ JOSE JORGE','ELEMENTOS DE LA PLANEACION URBANA','MASCULINO',0);</v>
      </c>
    </row>
    <row r="124" spans="1:10" ht="101.5" x14ac:dyDescent="0.35">
      <c r="A124">
        <v>1125</v>
      </c>
      <c r="B124" t="s">
        <v>5</v>
      </c>
      <c r="C124" t="s">
        <v>1727</v>
      </c>
      <c r="D124" t="s">
        <v>1750</v>
      </c>
      <c r="E124" t="s">
        <v>1857</v>
      </c>
      <c r="F124" t="s">
        <v>2020</v>
      </c>
      <c r="G124" t="s">
        <v>2242</v>
      </c>
      <c r="H124">
        <v>0</v>
      </c>
      <c r="I124" s="14" t="str">
        <f t="shared" si="3"/>
        <v>1125,'LICENCIATURA','ADMINISTRACION Y DIRECCION DE NEGOCIOS','ADMON 7°','ACEVES REYNAGA DAVID EDUARDO','EMPRESAS FAMILIARES','MASCULINO',0</v>
      </c>
      <c r="J124" s="12" t="str">
        <f t="shared" si="2"/>
        <v>INSERT INTO profesores (id,nivel,carrera,grupo,nombre,materia,sexo,sello) VALUES (1125,'LICENCIATURA','ADMINISTRACION Y DIRECCION DE NEGOCIOS','ADMON 7°','ACEVES REYNAGA DAVID EDUARDO','EMPRESAS FAMILIARES','MASCULINO',0);</v>
      </c>
    </row>
    <row r="125" spans="1:10" ht="101.5" x14ac:dyDescent="0.35">
      <c r="A125">
        <v>1126</v>
      </c>
      <c r="B125" t="s">
        <v>5</v>
      </c>
      <c r="C125" t="s">
        <v>1731</v>
      </c>
      <c r="D125" t="s">
        <v>1761</v>
      </c>
      <c r="E125" t="s">
        <v>1922</v>
      </c>
      <c r="F125" t="s">
        <v>2136</v>
      </c>
      <c r="G125" t="s">
        <v>2242</v>
      </c>
      <c r="H125">
        <v>0</v>
      </c>
      <c r="I125" s="14" t="str">
        <f t="shared" si="3"/>
        <v>1126,'LICENCIATURA','INGENIERÍA AUTOMOTRIZ','AUTO 7°','ALBORES MONTOYA ELIASIN ALEJANDRO','ERGONOMIA DEL AUTOMOVIL ','MASCULINO',0</v>
      </c>
      <c r="J125" s="12" t="str">
        <f t="shared" si="2"/>
        <v>INSERT INTO profesores (id,nivel,carrera,grupo,nombre,materia,sexo,sello) VALUES (1126,'LICENCIATURA','INGENIERÍA AUTOMOTRIZ','AUTO 7°','ALBORES MONTOYA ELIASIN ALEJANDRO','ERGONOMIA DEL AUTOMOVIL ','MASCULINO',0);</v>
      </c>
    </row>
    <row r="126" spans="1:10" ht="101.5" x14ac:dyDescent="0.35">
      <c r="A126">
        <v>1127</v>
      </c>
      <c r="B126" t="s">
        <v>5</v>
      </c>
      <c r="C126" t="s">
        <v>1792</v>
      </c>
      <c r="D126" t="s">
        <v>1825</v>
      </c>
      <c r="E126" t="s">
        <v>1972</v>
      </c>
      <c r="F126" t="s">
        <v>2187</v>
      </c>
      <c r="G126" t="s">
        <v>2243</v>
      </c>
      <c r="H126">
        <v>1</v>
      </c>
      <c r="I126" s="14" t="str">
        <f t="shared" si="3"/>
        <v>1127,'LICENCIATURA','MATERIAS INSTITUCIONALES','TC0601_1','FARIAS CASTELLANOS ISIS','ESCENARIOS DE INTERVENCION SOCIAL I','FEMENINO',1</v>
      </c>
      <c r="J126" s="12" t="str">
        <f t="shared" si="2"/>
        <v>INSERT INTO profesores (id,nivel,carrera,grupo,nombre,materia,sexo,sello) VALUES (1127,'LICENCIATURA','MATERIAS INSTITUCIONALES','TC0601_1','FARIAS CASTELLANOS ISIS','ESCENARIOS DE INTERVENCION SOCIAL I','FEMENINO',1);</v>
      </c>
    </row>
    <row r="127" spans="1:10" ht="101.5" x14ac:dyDescent="0.35">
      <c r="A127">
        <v>1128</v>
      </c>
      <c r="B127" t="s">
        <v>5</v>
      </c>
      <c r="C127" t="s">
        <v>1792</v>
      </c>
      <c r="D127" t="s">
        <v>1826</v>
      </c>
      <c r="E127" t="s">
        <v>1973</v>
      </c>
      <c r="F127" t="s">
        <v>2188</v>
      </c>
      <c r="G127" t="s">
        <v>2243</v>
      </c>
      <c r="H127">
        <v>1</v>
      </c>
      <c r="I127" s="14" t="str">
        <f t="shared" si="3"/>
        <v>1128,'LICENCIATURA','MATERIAS INSTITUCIONALES','TC0701_1','CHAN  NUÑEZ MARIA ELENA','ESCENARIOS DE INTERVENCION SOCIAL II','FEMENINO',1</v>
      </c>
      <c r="J127" s="12" t="str">
        <f t="shared" si="2"/>
        <v>INSERT INTO profesores (id,nivel,carrera,grupo,nombre,materia,sexo,sello) VALUES (1128,'LICENCIATURA','MATERIAS INSTITUCIONALES','TC0701_1','CHAN  NUÑEZ MARIA ELENA','ESCENARIOS DE INTERVENCION SOCIAL II','FEMENINO',1);</v>
      </c>
    </row>
    <row r="128" spans="1:10" ht="101.5" x14ac:dyDescent="0.35">
      <c r="A128">
        <v>1129</v>
      </c>
      <c r="B128" t="s">
        <v>5</v>
      </c>
      <c r="C128" t="s">
        <v>1792</v>
      </c>
      <c r="D128" t="s">
        <v>1827</v>
      </c>
      <c r="E128" t="s">
        <v>1972</v>
      </c>
      <c r="F128" t="s">
        <v>2188</v>
      </c>
      <c r="G128" t="s">
        <v>2243</v>
      </c>
      <c r="H128">
        <v>1</v>
      </c>
      <c r="I128" s="14" t="str">
        <f t="shared" si="3"/>
        <v>1129,'LICENCIATURA','MATERIAS INSTITUCIONALES','TC0701_2','FARIAS CASTELLANOS ISIS','ESCENARIOS DE INTERVENCION SOCIAL II','FEMENINO',1</v>
      </c>
      <c r="J128" s="12" t="str">
        <f t="shared" si="2"/>
        <v>INSERT INTO profesores (id,nivel,carrera,grupo,nombre,materia,sexo,sello) VALUES (1129,'LICENCIATURA','MATERIAS INSTITUCIONALES','TC0701_2','FARIAS CASTELLANOS ISIS','ESCENARIOS DE INTERVENCION SOCIAL II','FEMENINO',1);</v>
      </c>
    </row>
    <row r="129" spans="1:10" ht="101.5" x14ac:dyDescent="0.35">
      <c r="A129">
        <v>1130</v>
      </c>
      <c r="B129" t="s">
        <v>5</v>
      </c>
      <c r="C129" t="s">
        <v>1792</v>
      </c>
      <c r="D129" t="s">
        <v>1828</v>
      </c>
      <c r="E129" t="s">
        <v>1974</v>
      </c>
      <c r="F129" t="s">
        <v>2188</v>
      </c>
      <c r="G129" t="s">
        <v>2242</v>
      </c>
      <c r="H129">
        <v>1</v>
      </c>
      <c r="I129" s="14" t="str">
        <f t="shared" si="3"/>
        <v>1130,'LICENCIATURA','MATERIAS INSTITUCIONALES','TC0701_3','GUDIÑO SEGOVIANO VICTOR MANUEL','ESCENARIOS DE INTERVENCION SOCIAL II','MASCULINO',1</v>
      </c>
      <c r="J129" s="12" t="str">
        <f t="shared" si="2"/>
        <v>INSERT INTO profesores (id,nivel,carrera,grupo,nombre,materia,sexo,sello) VALUES (1130,'LICENCIATURA','MATERIAS INSTITUCIONALES','TC0701_3','GUDIÑO SEGOVIANO VICTOR MANUEL','ESCENARIOS DE INTERVENCION SOCIAL II','MASCULINO',1);</v>
      </c>
    </row>
    <row r="130" spans="1:10" ht="101.5" x14ac:dyDescent="0.35">
      <c r="A130">
        <v>1131</v>
      </c>
      <c r="B130" t="s">
        <v>5</v>
      </c>
      <c r="C130" t="s">
        <v>1792</v>
      </c>
      <c r="D130" t="s">
        <v>1829</v>
      </c>
      <c r="E130" t="s">
        <v>1968</v>
      </c>
      <c r="F130" t="s">
        <v>2188</v>
      </c>
      <c r="G130" t="s">
        <v>2243</v>
      </c>
      <c r="H130">
        <v>1</v>
      </c>
      <c r="I130" s="14" t="str">
        <f t="shared" si="3"/>
        <v>1131,'LICENCIATURA','MATERIAS INSTITUCIONALES','TC0701_4','MORONES MUÑOZ MARIANA ELISA','ESCENARIOS DE INTERVENCION SOCIAL II','FEMENINO',1</v>
      </c>
      <c r="J130" s="12" t="str">
        <f t="shared" ref="J130:J193" si="4">CONCATENATE($I$1,I130,");")</f>
        <v>INSERT INTO profesores (id,nivel,carrera,grupo,nombre,materia,sexo,sello) VALUES (1131,'LICENCIATURA','MATERIAS INSTITUCIONALES','TC0701_4','MORONES MUÑOZ MARIANA ELISA','ESCENARIOS DE INTERVENCION SOCIAL II','FEMENINO',1);</v>
      </c>
    </row>
    <row r="131" spans="1:10" ht="101.5" x14ac:dyDescent="0.35">
      <c r="A131">
        <v>1132</v>
      </c>
      <c r="B131" t="s">
        <v>5</v>
      </c>
      <c r="C131" t="s">
        <v>1792</v>
      </c>
      <c r="D131" t="s">
        <v>1830</v>
      </c>
      <c r="E131" t="s">
        <v>1975</v>
      </c>
      <c r="F131" t="s">
        <v>2188</v>
      </c>
      <c r="G131" t="s">
        <v>2243</v>
      </c>
      <c r="H131">
        <v>1</v>
      </c>
      <c r="I131" s="14" t="str">
        <f t="shared" ref="I131:I194" si="5">CONCATENATE(A131,",'",B131,"','",C131,"','",D131,"','",E131,"','",F131,"','",G131,"',",H131)</f>
        <v>1132,'LICENCIATURA','MATERIAS INSTITUCIONALES','TC0701_5','ANGUIANO SUAREZ DEL REAL ANA LORENA','ESCENARIOS DE INTERVENCION SOCIAL II','FEMENINO',1</v>
      </c>
      <c r="J131" s="12" t="str">
        <f t="shared" si="4"/>
        <v>INSERT INTO profesores (id,nivel,carrera,grupo,nombre,materia,sexo,sello) VALUES (1132,'LICENCIATURA','MATERIAS INSTITUCIONALES','TC0701_5','ANGUIANO SUAREZ DEL REAL ANA LORENA','ESCENARIOS DE INTERVENCION SOCIAL II','FEMENINO',1);</v>
      </c>
    </row>
    <row r="132" spans="1:10" ht="101.5" x14ac:dyDescent="0.35">
      <c r="A132">
        <v>1133</v>
      </c>
      <c r="B132" t="s">
        <v>5</v>
      </c>
      <c r="C132" t="s">
        <v>1792</v>
      </c>
      <c r="D132" t="s">
        <v>1831</v>
      </c>
      <c r="E132" t="s">
        <v>1975</v>
      </c>
      <c r="F132" t="s">
        <v>2188</v>
      </c>
      <c r="G132" t="s">
        <v>2243</v>
      </c>
      <c r="H132">
        <v>1</v>
      </c>
      <c r="I132" s="14" t="str">
        <f t="shared" si="5"/>
        <v>1133,'LICENCIATURA','MATERIAS INSTITUCIONALES','TC0701_10','ANGUIANO SUAREZ DEL REAL ANA LORENA','ESCENARIOS DE INTERVENCION SOCIAL II','FEMENINO',1</v>
      </c>
      <c r="J132" s="12" t="str">
        <f t="shared" si="4"/>
        <v>INSERT INTO profesores (id,nivel,carrera,grupo,nombre,materia,sexo,sello) VALUES (1133,'LICENCIATURA','MATERIAS INSTITUCIONALES','TC0701_10','ANGUIANO SUAREZ DEL REAL ANA LORENA','ESCENARIOS DE INTERVENCION SOCIAL II','FEMENINO',1);</v>
      </c>
    </row>
    <row r="133" spans="1:10" ht="101.5" x14ac:dyDescent="0.35">
      <c r="A133">
        <v>1134</v>
      </c>
      <c r="B133" t="s">
        <v>5</v>
      </c>
      <c r="C133" t="s">
        <v>1792</v>
      </c>
      <c r="D133" t="s">
        <v>1832</v>
      </c>
      <c r="E133" t="s">
        <v>1973</v>
      </c>
      <c r="F133" t="s">
        <v>2188</v>
      </c>
      <c r="G133" t="s">
        <v>2243</v>
      </c>
      <c r="H133">
        <v>1</v>
      </c>
      <c r="I133" s="14" t="str">
        <f t="shared" si="5"/>
        <v>1134,'LICENCIATURA','MATERIAS INSTITUCIONALES','TC0701_6','CHAN  NUÑEZ MARIA ELENA','ESCENARIOS DE INTERVENCION SOCIAL II','FEMENINO',1</v>
      </c>
      <c r="J133" s="12" t="str">
        <f t="shared" si="4"/>
        <v>INSERT INTO profesores (id,nivel,carrera,grupo,nombre,materia,sexo,sello) VALUES (1134,'LICENCIATURA','MATERIAS INSTITUCIONALES','TC0701_6','CHAN  NUÑEZ MARIA ELENA','ESCENARIOS DE INTERVENCION SOCIAL II','FEMENINO',1);</v>
      </c>
    </row>
    <row r="134" spans="1:10" ht="101.5" x14ac:dyDescent="0.35">
      <c r="A134">
        <v>1135</v>
      </c>
      <c r="B134" t="s">
        <v>5</v>
      </c>
      <c r="C134" t="s">
        <v>1792</v>
      </c>
      <c r="D134" t="s">
        <v>1833</v>
      </c>
      <c r="E134" t="s">
        <v>1972</v>
      </c>
      <c r="F134" t="s">
        <v>2188</v>
      </c>
      <c r="G134" t="s">
        <v>2243</v>
      </c>
      <c r="H134">
        <v>1</v>
      </c>
      <c r="I134" s="14" t="str">
        <f t="shared" si="5"/>
        <v>1135,'LICENCIATURA','MATERIAS INSTITUCIONALES','TC0701_7','FARIAS CASTELLANOS ISIS','ESCENARIOS DE INTERVENCION SOCIAL II','FEMENINO',1</v>
      </c>
      <c r="J134" s="12" t="str">
        <f t="shared" si="4"/>
        <v>INSERT INTO profesores (id,nivel,carrera,grupo,nombre,materia,sexo,sello) VALUES (1135,'LICENCIATURA','MATERIAS INSTITUCIONALES','TC0701_7','FARIAS CASTELLANOS ISIS','ESCENARIOS DE INTERVENCION SOCIAL II','FEMENINO',1);</v>
      </c>
    </row>
    <row r="135" spans="1:10" ht="101.5" x14ac:dyDescent="0.35">
      <c r="A135">
        <v>1136</v>
      </c>
      <c r="B135" t="s">
        <v>5</v>
      </c>
      <c r="C135" t="s">
        <v>1792</v>
      </c>
      <c r="D135" t="s">
        <v>1834</v>
      </c>
      <c r="E135" t="s">
        <v>1974</v>
      </c>
      <c r="F135" t="s">
        <v>2188</v>
      </c>
      <c r="G135" t="s">
        <v>2242</v>
      </c>
      <c r="H135">
        <v>1</v>
      </c>
      <c r="I135" s="14" t="str">
        <f t="shared" si="5"/>
        <v>1136,'LICENCIATURA','MATERIAS INSTITUCIONALES','TC0701_8','GUDIÑO SEGOVIANO VICTOR MANUEL','ESCENARIOS DE INTERVENCION SOCIAL II','MASCULINO',1</v>
      </c>
      <c r="J135" s="12" t="str">
        <f t="shared" si="4"/>
        <v>INSERT INTO profesores (id,nivel,carrera,grupo,nombre,materia,sexo,sello) VALUES (1136,'LICENCIATURA','MATERIAS INSTITUCIONALES','TC0701_8','GUDIÑO SEGOVIANO VICTOR MANUEL','ESCENARIOS DE INTERVENCION SOCIAL II','MASCULINO',1);</v>
      </c>
    </row>
    <row r="136" spans="1:10" ht="101.5" x14ac:dyDescent="0.35">
      <c r="A136">
        <v>1137</v>
      </c>
      <c r="B136" t="s">
        <v>5</v>
      </c>
      <c r="C136" t="s">
        <v>1792</v>
      </c>
      <c r="D136" t="s">
        <v>1835</v>
      </c>
      <c r="E136" t="s">
        <v>1968</v>
      </c>
      <c r="F136" t="s">
        <v>2188</v>
      </c>
      <c r="G136" t="s">
        <v>2243</v>
      </c>
      <c r="H136">
        <v>1</v>
      </c>
      <c r="I136" s="14" t="str">
        <f t="shared" si="5"/>
        <v>1137,'LICENCIATURA','MATERIAS INSTITUCIONALES','TC0701_9','MORONES MUÑOZ MARIANA ELISA','ESCENARIOS DE INTERVENCION SOCIAL II','FEMENINO',1</v>
      </c>
      <c r="J136" s="12" t="str">
        <f t="shared" si="4"/>
        <v>INSERT INTO profesores (id,nivel,carrera,grupo,nombre,materia,sexo,sello) VALUES (1137,'LICENCIATURA','MATERIAS INSTITUCIONALES','TC0701_9','MORONES MUÑOZ MARIANA ELISA','ESCENARIOS DE INTERVENCION SOCIAL II','FEMENINO',1);</v>
      </c>
    </row>
    <row r="137" spans="1:10" ht="101.5" x14ac:dyDescent="0.35">
      <c r="A137">
        <v>1138</v>
      </c>
      <c r="B137" t="s">
        <v>5</v>
      </c>
      <c r="C137" t="s">
        <v>1730</v>
      </c>
      <c r="D137" t="s">
        <v>1757</v>
      </c>
      <c r="E137" t="s">
        <v>1868</v>
      </c>
      <c r="F137" t="s">
        <v>2035</v>
      </c>
      <c r="G137" t="s">
        <v>2242</v>
      </c>
      <c r="H137">
        <v>0</v>
      </c>
      <c r="I137" s="14" t="str">
        <f t="shared" si="5"/>
        <v>1138,'LICENCIATURA','ANIMACION DIGITAL Y VIDEOJUEGOS','ANIM 5°','GOMEZ OROZCO SAMUEL','ESQUELETOS I','MASCULINO',0</v>
      </c>
      <c r="J137" s="12" t="str">
        <f t="shared" si="4"/>
        <v>INSERT INTO profesores (id,nivel,carrera,grupo,nombre,materia,sexo,sello) VALUES (1138,'LICENCIATURA','ANIMACION DIGITAL Y VIDEOJUEGOS','ANIM 5°','GOMEZ OROZCO SAMUEL','ESQUELETOS I','MASCULINO',0);</v>
      </c>
    </row>
    <row r="138" spans="1:10" ht="101.5" x14ac:dyDescent="0.35">
      <c r="A138">
        <v>1139</v>
      </c>
      <c r="B138" t="s">
        <v>5</v>
      </c>
      <c r="C138" t="s">
        <v>1730</v>
      </c>
      <c r="D138" t="s">
        <v>1755</v>
      </c>
      <c r="E138" t="s">
        <v>1869</v>
      </c>
      <c r="F138" t="s">
        <v>2036</v>
      </c>
      <c r="G138" t="s">
        <v>2242</v>
      </c>
      <c r="H138">
        <v>0</v>
      </c>
      <c r="I138" s="14" t="str">
        <f t="shared" si="5"/>
        <v>1139,'LICENCIATURA','ANIMACION DIGITAL Y VIDEOJUEGOS','ANIM 7°','SALCEDO RONDON JAVIER EDUARDO','ESQUELETOS II','MASCULINO',0</v>
      </c>
      <c r="J138" s="12" t="str">
        <f t="shared" si="4"/>
        <v>INSERT INTO profesores (id,nivel,carrera,grupo,nombre,materia,sexo,sello) VALUES (1139,'LICENCIATURA','ANIMACION DIGITAL Y VIDEOJUEGOS','ANIM 7°','SALCEDO RONDON JAVIER EDUARDO','ESQUELETOS II','MASCULINO',0);</v>
      </c>
    </row>
    <row r="139" spans="1:10" ht="101.5" x14ac:dyDescent="0.35">
      <c r="A139">
        <v>1140</v>
      </c>
      <c r="B139" t="s">
        <v>5</v>
      </c>
      <c r="C139" t="s">
        <v>1727</v>
      </c>
      <c r="D139" t="s">
        <v>1781</v>
      </c>
      <c r="E139" t="s">
        <v>1858</v>
      </c>
      <c r="F139" t="s">
        <v>2021</v>
      </c>
      <c r="G139" t="s">
        <v>2243</v>
      </c>
      <c r="H139">
        <v>0</v>
      </c>
      <c r="I139" s="14" t="str">
        <f t="shared" si="5"/>
        <v>1140,'LICENCIATURA','ADMINISTRACION Y DIRECCION DE NEGOCIOS','ADMON 3°','DE ALBA GONZALEZ JULIETA','ESTADISTICA II','FEMENINO',0</v>
      </c>
      <c r="J139" s="12" t="str">
        <f t="shared" si="4"/>
        <v>INSERT INTO profesores (id,nivel,carrera,grupo,nombre,materia,sexo,sello) VALUES (1140,'LICENCIATURA','ADMINISTRACION Y DIRECCION DE NEGOCIOS','ADMON 3°','DE ALBA GONZALEZ JULIETA','ESTADISTICA II','FEMENINO',0);</v>
      </c>
    </row>
    <row r="140" spans="1:10" ht="101.5" x14ac:dyDescent="0.35">
      <c r="A140">
        <v>1141</v>
      </c>
      <c r="B140" t="s">
        <v>5</v>
      </c>
      <c r="C140" t="s">
        <v>1726</v>
      </c>
      <c r="D140" t="s">
        <v>1784</v>
      </c>
      <c r="E140" t="s">
        <v>2000</v>
      </c>
      <c r="F140" t="s">
        <v>2223</v>
      </c>
      <c r="G140" t="s">
        <v>2242</v>
      </c>
      <c r="H140">
        <v>0</v>
      </c>
      <c r="I140" s="14" t="str">
        <f t="shared" si="5"/>
        <v>1141,'LICENCIATURA','PSICOLOGIA','PSI 1°','URIBE LOPEZ ALEJANDRO','ESTADISTICAS','MASCULINO',0</v>
      </c>
      <c r="J140" s="12" t="str">
        <f t="shared" si="4"/>
        <v>INSERT INTO profesores (id,nivel,carrera,grupo,nombre,materia,sexo,sello) VALUES (1141,'LICENCIATURA','PSICOLOGIA','PSI 1°','URIBE LOPEZ ALEJANDRO','ESTADISTICAS','MASCULINO',0);</v>
      </c>
    </row>
    <row r="141" spans="1:10" ht="101.5" x14ac:dyDescent="0.35">
      <c r="A141">
        <v>1142</v>
      </c>
      <c r="B141" t="s">
        <v>5</v>
      </c>
      <c r="C141" t="s">
        <v>1723</v>
      </c>
      <c r="D141" t="s">
        <v>1766</v>
      </c>
      <c r="E141" t="s">
        <v>1944</v>
      </c>
      <c r="F141" t="s">
        <v>2150</v>
      </c>
      <c r="G141" t="s">
        <v>2242</v>
      </c>
      <c r="H141">
        <v>0</v>
      </c>
      <c r="I141" s="14" t="str">
        <f t="shared" si="5"/>
        <v>1142,'LICENCIATURA','INGENIERIA CIBERNETICA Y EN SISTEMAS COMPUTACIONALES','CIB 7°','PEÑA MARTIN CARLOS AZAEL','ESTANDARES DE TECNOLOGIAS DE INFORMACION','MASCULINO',0</v>
      </c>
      <c r="J141" s="12" t="str">
        <f t="shared" si="4"/>
        <v>INSERT INTO profesores (id,nivel,carrera,grupo,nombre,materia,sexo,sello) VALUES (1142,'LICENCIATURA','INGENIERIA CIBERNETICA Y EN SISTEMAS COMPUTACIONALES','CIB 7°','PEÑA MARTIN CARLOS AZAEL','ESTANDARES DE TECNOLOGIAS DE INFORMACION','MASCULINO',0);</v>
      </c>
    </row>
    <row r="142" spans="1:10" ht="101.5" x14ac:dyDescent="0.35">
      <c r="A142">
        <v>1143</v>
      </c>
      <c r="B142" t="s">
        <v>5</v>
      </c>
      <c r="C142" t="s">
        <v>1731</v>
      </c>
      <c r="D142" t="s">
        <v>1774</v>
      </c>
      <c r="E142" t="s">
        <v>1934</v>
      </c>
      <c r="F142" t="s">
        <v>2137</v>
      </c>
      <c r="G142" t="s">
        <v>2243</v>
      </c>
      <c r="H142">
        <v>0</v>
      </c>
      <c r="I142" s="14" t="str">
        <f t="shared" si="5"/>
        <v>1143,'LICENCIATURA','INGENIERÍA AUTOMOTRIZ','AUTO 3° A','VELA TORRES FATIMA ALEJANDRA','ESTATICA','FEMENINO',0</v>
      </c>
      <c r="J142" s="12" t="str">
        <f t="shared" si="4"/>
        <v>INSERT INTO profesores (id,nivel,carrera,grupo,nombre,materia,sexo,sello) VALUES (1143,'LICENCIATURA','INGENIERÍA AUTOMOTRIZ','AUTO 3° A','VELA TORRES FATIMA ALEJANDRA','ESTATICA','FEMENINO',0);</v>
      </c>
    </row>
    <row r="143" spans="1:10" ht="101.5" x14ac:dyDescent="0.35">
      <c r="A143">
        <v>1144</v>
      </c>
      <c r="B143" t="s">
        <v>5</v>
      </c>
      <c r="C143" t="s">
        <v>1731</v>
      </c>
      <c r="D143" t="s">
        <v>1778</v>
      </c>
      <c r="E143" t="s">
        <v>1934</v>
      </c>
      <c r="F143" t="s">
        <v>2137</v>
      </c>
      <c r="G143" t="s">
        <v>2243</v>
      </c>
      <c r="H143">
        <v>0</v>
      </c>
      <c r="I143" s="14" t="str">
        <f t="shared" si="5"/>
        <v>1144,'LICENCIATURA','INGENIERÍA AUTOMOTRIZ','AUTO 3° B','VELA TORRES FATIMA ALEJANDRA','ESTATICA','FEMENINO',0</v>
      </c>
      <c r="J143" s="12" t="str">
        <f t="shared" si="4"/>
        <v>INSERT INTO profesores (id,nivel,carrera,grupo,nombre,materia,sexo,sello) VALUES (1144,'LICENCIATURA','INGENIERÍA AUTOMOTRIZ','AUTO 3° B','VELA TORRES FATIMA ALEJANDRA','ESTATICA','FEMENINO',0);</v>
      </c>
    </row>
    <row r="144" spans="1:10" ht="101.5" x14ac:dyDescent="0.35">
      <c r="A144">
        <v>1145</v>
      </c>
      <c r="B144" t="s">
        <v>5</v>
      </c>
      <c r="C144" t="s">
        <v>1726</v>
      </c>
      <c r="D144" t="s">
        <v>1764</v>
      </c>
      <c r="E144" t="s">
        <v>2001</v>
      </c>
      <c r="F144" t="s">
        <v>2224</v>
      </c>
      <c r="G144" t="s">
        <v>2242</v>
      </c>
      <c r="H144">
        <v>0</v>
      </c>
      <c r="I144" s="14" t="str">
        <f t="shared" si="5"/>
        <v>1145,'LICENCIATURA','PSICOLOGIA','PSI 7°','FLORES GUZMAN HECTOR ALFONSO','ETICA DEL PSICOLOGO','MASCULINO',0</v>
      </c>
      <c r="J144" s="12" t="str">
        <f t="shared" si="4"/>
        <v>INSERT INTO profesores (id,nivel,carrera,grupo,nombre,materia,sexo,sello) VALUES (1145,'LICENCIATURA','PSICOLOGIA','PSI 7°','FLORES GUZMAN HECTOR ALFONSO','ETICA DEL PSICOLOGO','MASCULINO',0);</v>
      </c>
    </row>
    <row r="145" spans="1:10" ht="101.5" x14ac:dyDescent="0.35">
      <c r="A145">
        <v>1146</v>
      </c>
      <c r="B145" t="s">
        <v>5</v>
      </c>
      <c r="C145" t="s">
        <v>1725</v>
      </c>
      <c r="D145" t="s">
        <v>1783</v>
      </c>
      <c r="E145" t="s">
        <v>1920</v>
      </c>
      <c r="F145" t="s">
        <v>2111</v>
      </c>
      <c r="G145" t="s">
        <v>2242</v>
      </c>
      <c r="H145">
        <v>0</v>
      </c>
      <c r="I145" s="14" t="str">
        <f t="shared" si="5"/>
        <v>1146,'LICENCIATURA','INGENIERIA AEROESPACIAL','AERO 1°A','SHINDO  DAISUKE','FÍSICA I','MASCULINO',0</v>
      </c>
      <c r="J145" s="12" t="str">
        <f t="shared" si="4"/>
        <v>INSERT INTO profesores (id,nivel,carrera,grupo,nombre,materia,sexo,sello) VALUES (1146,'LICENCIATURA','INGENIERIA AEROESPACIAL','AERO 1°A','SHINDO  DAISUKE','FÍSICA I','MASCULINO',0);</v>
      </c>
    </row>
    <row r="146" spans="1:10" ht="101.5" x14ac:dyDescent="0.35">
      <c r="A146">
        <v>1147</v>
      </c>
      <c r="B146" t="s">
        <v>5</v>
      </c>
      <c r="C146" t="s">
        <v>1724</v>
      </c>
      <c r="D146" t="s">
        <v>1753</v>
      </c>
      <c r="E146" t="s">
        <v>1990</v>
      </c>
      <c r="F146" t="s">
        <v>2207</v>
      </c>
      <c r="G146" t="s">
        <v>2242</v>
      </c>
      <c r="H146">
        <v>0</v>
      </c>
      <c r="I146" s="14" t="str">
        <f t="shared" si="5"/>
        <v>1147,'LICENCIATURA','NUTRICION Y GASTRONOMIA','NUT 7°','RODRIGUEZ ALONSO IRVING TRINIDAD','FISIOLOGIA DEL EJERCICIO','MASCULINO',0</v>
      </c>
      <c r="J146" s="12" t="str">
        <f t="shared" si="4"/>
        <v>INSERT INTO profesores (id,nivel,carrera,grupo,nombre,materia,sexo,sello) VALUES (1147,'LICENCIATURA','NUTRICION Y GASTRONOMIA','NUT 7°','RODRIGUEZ ALONSO IRVING TRINIDAD','FISIOLOGIA DEL EJERCICIO','MASCULINO',0);</v>
      </c>
    </row>
    <row r="147" spans="1:10" ht="101.5" x14ac:dyDescent="0.35">
      <c r="A147">
        <v>1148</v>
      </c>
      <c r="B147" t="s">
        <v>5</v>
      </c>
      <c r="C147" t="s">
        <v>1724</v>
      </c>
      <c r="D147" t="s">
        <v>1772</v>
      </c>
      <c r="E147" t="s">
        <v>1991</v>
      </c>
      <c r="F147" t="s">
        <v>2208</v>
      </c>
      <c r="G147" t="s">
        <v>2242</v>
      </c>
      <c r="H147">
        <v>0</v>
      </c>
      <c r="I147" s="14" t="str">
        <f t="shared" si="5"/>
        <v>1148,'LICENCIATURA','NUTRICION Y GASTRONOMIA','NUT 3°','GONZALEZ GONZALEZ ENRIQUE','FISIOPATOLOGIA','MASCULINO',0</v>
      </c>
      <c r="J147" s="12" t="str">
        <f t="shared" si="4"/>
        <v>INSERT INTO profesores (id,nivel,carrera,grupo,nombre,materia,sexo,sello) VALUES (1148,'LICENCIATURA','NUTRICION Y GASTRONOMIA','NUT 3°','GONZALEZ GONZALEZ ENRIQUE','FISIOPATOLOGIA','MASCULINO',0);</v>
      </c>
    </row>
    <row r="148" spans="1:10" ht="101.5" x14ac:dyDescent="0.35">
      <c r="A148">
        <v>1149</v>
      </c>
      <c r="B148" t="s">
        <v>5</v>
      </c>
      <c r="C148" t="s">
        <v>1727</v>
      </c>
      <c r="D148" t="s">
        <v>1781</v>
      </c>
      <c r="E148" t="s">
        <v>1859</v>
      </c>
      <c r="F148" t="s">
        <v>2022</v>
      </c>
      <c r="G148" t="s">
        <v>2242</v>
      </c>
      <c r="H148">
        <v>0</v>
      </c>
      <c r="I148" s="14" t="str">
        <f t="shared" si="5"/>
        <v>1149,'LICENCIATURA','ADMINISTRACION Y DIRECCION DE NEGOCIOS','ADMON 3°','RAMIREZ GUZMAN MARTIN','FUNDAMENTOS DE COSTOS','MASCULINO',0</v>
      </c>
      <c r="J148" s="12" t="str">
        <f t="shared" si="4"/>
        <v>INSERT INTO profesores (id,nivel,carrera,grupo,nombre,materia,sexo,sello) VALUES (1149,'LICENCIATURA','ADMINISTRACION Y DIRECCION DE NEGOCIOS','ADMON 3°','RAMIREZ GUZMAN MARTIN','FUNDAMENTOS DE COSTOS','MASCULINO',0);</v>
      </c>
    </row>
    <row r="149" spans="1:10" ht="101.5" x14ac:dyDescent="0.35">
      <c r="A149">
        <v>1150</v>
      </c>
      <c r="B149" t="s">
        <v>5</v>
      </c>
      <c r="C149" t="s">
        <v>1725</v>
      </c>
      <c r="D149" t="s">
        <v>1783</v>
      </c>
      <c r="E149" t="s">
        <v>1923</v>
      </c>
      <c r="F149" t="s">
        <v>2112</v>
      </c>
      <c r="G149" t="s">
        <v>2242</v>
      </c>
      <c r="H149">
        <v>0</v>
      </c>
      <c r="I149" s="14" t="str">
        <f t="shared" si="5"/>
        <v>1150,'LICENCIATURA','INGENIERIA AEROESPACIAL','AERO 1°A','RUBIO DELGADO ALFREDO','FUNDAMENTOS DE INGENIERÍA AEROESPACIAL','MASCULINO',0</v>
      </c>
      <c r="J149" s="12" t="str">
        <f t="shared" si="4"/>
        <v>INSERT INTO profesores (id,nivel,carrera,grupo,nombre,materia,sexo,sello) VALUES (1150,'LICENCIATURA','INGENIERIA AEROESPACIAL','AERO 1°A','RUBIO DELGADO ALFREDO','FUNDAMENTOS DE INGENIERÍA AEROESPACIAL','MASCULINO',0);</v>
      </c>
    </row>
    <row r="150" spans="1:10" ht="101.5" x14ac:dyDescent="0.35">
      <c r="A150">
        <v>1151</v>
      </c>
      <c r="B150" t="s">
        <v>5</v>
      </c>
      <c r="C150" t="s">
        <v>1792</v>
      </c>
      <c r="D150" t="s">
        <v>1836</v>
      </c>
      <c r="E150" t="s">
        <v>1972</v>
      </c>
      <c r="F150" t="s">
        <v>2189</v>
      </c>
      <c r="G150" t="s">
        <v>2243</v>
      </c>
      <c r="H150">
        <v>1</v>
      </c>
      <c r="I150" s="14" t="str">
        <f t="shared" si="5"/>
        <v>1151,'LICENCIATURA','MATERIAS INSTITUCIONALES','TC0302_1','FARIAS CASTELLANOS ISIS','FUNDAMENTOS DE LA GESTION DE CONOCIMIENTO CIENTIFICO','FEMENINO',1</v>
      </c>
      <c r="J150" s="12" t="str">
        <f t="shared" si="4"/>
        <v>INSERT INTO profesores (id,nivel,carrera,grupo,nombre,materia,sexo,sello) VALUES (1151,'LICENCIATURA','MATERIAS INSTITUCIONALES','TC0302_1','FARIAS CASTELLANOS ISIS','FUNDAMENTOS DE LA GESTION DE CONOCIMIENTO CIENTIFICO','FEMENINO',1);</v>
      </c>
    </row>
    <row r="151" spans="1:10" ht="101.5" x14ac:dyDescent="0.35">
      <c r="A151">
        <v>1152</v>
      </c>
      <c r="B151" t="s">
        <v>5</v>
      </c>
      <c r="C151" t="s">
        <v>1792</v>
      </c>
      <c r="D151" t="s">
        <v>1837</v>
      </c>
      <c r="E151" t="s">
        <v>1968</v>
      </c>
      <c r="F151" t="s">
        <v>2189</v>
      </c>
      <c r="G151" t="s">
        <v>2243</v>
      </c>
      <c r="H151">
        <v>1</v>
      </c>
      <c r="I151" s="14" t="str">
        <f t="shared" si="5"/>
        <v>1152,'LICENCIATURA','MATERIAS INSTITUCIONALES','TC0302_2','MORONES MUÑOZ MARIANA ELISA','FUNDAMENTOS DE LA GESTION DE CONOCIMIENTO CIENTIFICO','FEMENINO',1</v>
      </c>
      <c r="J151" s="12" t="str">
        <f t="shared" si="4"/>
        <v>INSERT INTO profesores (id,nivel,carrera,grupo,nombre,materia,sexo,sello) VALUES (1152,'LICENCIATURA','MATERIAS INSTITUCIONALES','TC0302_2','MORONES MUÑOZ MARIANA ELISA','FUNDAMENTOS DE LA GESTION DE CONOCIMIENTO CIENTIFICO','FEMENINO',1);</v>
      </c>
    </row>
    <row r="152" spans="1:10" ht="101.5" x14ac:dyDescent="0.35">
      <c r="A152">
        <v>1153</v>
      </c>
      <c r="B152" t="s">
        <v>5</v>
      </c>
      <c r="C152" t="s">
        <v>1792</v>
      </c>
      <c r="D152" t="s">
        <v>1838</v>
      </c>
      <c r="E152" t="s">
        <v>1976</v>
      </c>
      <c r="F152" t="s">
        <v>2189</v>
      </c>
      <c r="G152" t="s">
        <v>2242</v>
      </c>
      <c r="H152">
        <v>1</v>
      </c>
      <c r="I152" s="14" t="str">
        <f t="shared" si="5"/>
        <v>1153,'LICENCIATURA','MATERIAS INSTITUCIONALES','TC0302_3','FLORES FERNANDEZ IVAN','FUNDAMENTOS DE LA GESTION DE CONOCIMIENTO CIENTIFICO','MASCULINO',1</v>
      </c>
      <c r="J152" s="12" t="str">
        <f t="shared" si="4"/>
        <v>INSERT INTO profesores (id,nivel,carrera,grupo,nombre,materia,sexo,sello) VALUES (1153,'LICENCIATURA','MATERIAS INSTITUCIONALES','TC0302_3','FLORES FERNANDEZ IVAN','FUNDAMENTOS DE LA GESTION DE CONOCIMIENTO CIENTIFICO','MASCULINO',1);</v>
      </c>
    </row>
    <row r="153" spans="1:10" ht="101.5" x14ac:dyDescent="0.35">
      <c r="A153">
        <v>1154</v>
      </c>
      <c r="B153" t="s">
        <v>5</v>
      </c>
      <c r="C153" t="s">
        <v>1792</v>
      </c>
      <c r="D153" t="s">
        <v>1839</v>
      </c>
      <c r="E153" t="s">
        <v>1972</v>
      </c>
      <c r="F153" t="s">
        <v>2189</v>
      </c>
      <c r="G153" t="s">
        <v>2243</v>
      </c>
      <c r="H153">
        <v>1</v>
      </c>
      <c r="I153" s="14" t="str">
        <f t="shared" si="5"/>
        <v>1154,'LICENCIATURA','MATERIAS INSTITUCIONALES','TC0302_4','FARIAS CASTELLANOS ISIS','FUNDAMENTOS DE LA GESTION DE CONOCIMIENTO CIENTIFICO','FEMENINO',1</v>
      </c>
      <c r="J153" s="12" t="str">
        <f t="shared" si="4"/>
        <v>INSERT INTO profesores (id,nivel,carrera,grupo,nombre,materia,sexo,sello) VALUES (1154,'LICENCIATURA','MATERIAS INSTITUCIONALES','TC0302_4','FARIAS CASTELLANOS ISIS','FUNDAMENTOS DE LA GESTION DE CONOCIMIENTO CIENTIFICO','FEMENINO',1);</v>
      </c>
    </row>
    <row r="154" spans="1:10" ht="101.5" x14ac:dyDescent="0.35">
      <c r="A154">
        <v>1155</v>
      </c>
      <c r="B154" t="s">
        <v>5</v>
      </c>
      <c r="C154" t="s">
        <v>1792</v>
      </c>
      <c r="D154" t="s">
        <v>1840</v>
      </c>
      <c r="E154" t="s">
        <v>1968</v>
      </c>
      <c r="F154" t="s">
        <v>2189</v>
      </c>
      <c r="G154" t="s">
        <v>2243</v>
      </c>
      <c r="H154">
        <v>1</v>
      </c>
      <c r="I154" s="14" t="str">
        <f t="shared" si="5"/>
        <v>1155,'LICENCIATURA','MATERIAS INSTITUCIONALES','TC0302_5','MORONES MUÑOZ MARIANA ELISA','FUNDAMENTOS DE LA GESTION DE CONOCIMIENTO CIENTIFICO','FEMENINO',1</v>
      </c>
      <c r="J154" s="12" t="str">
        <f t="shared" si="4"/>
        <v>INSERT INTO profesores (id,nivel,carrera,grupo,nombre,materia,sexo,sello) VALUES (1155,'LICENCIATURA','MATERIAS INSTITUCIONALES','TC0302_5','MORONES MUÑOZ MARIANA ELISA','FUNDAMENTOS DE LA GESTION DE CONOCIMIENTO CIENTIFICO','FEMENINO',1);</v>
      </c>
    </row>
    <row r="155" spans="1:10" ht="101.5" x14ac:dyDescent="0.35">
      <c r="A155">
        <v>1156</v>
      </c>
      <c r="B155" t="s">
        <v>5</v>
      </c>
      <c r="C155" t="s">
        <v>1792</v>
      </c>
      <c r="D155" t="s">
        <v>1841</v>
      </c>
      <c r="E155" t="s">
        <v>1976</v>
      </c>
      <c r="F155" t="s">
        <v>2189</v>
      </c>
      <c r="G155" t="s">
        <v>2242</v>
      </c>
      <c r="H155">
        <v>1</v>
      </c>
      <c r="I155" s="14" t="str">
        <f t="shared" si="5"/>
        <v>1156,'LICENCIATURA','MATERIAS INSTITUCIONALES','TC0302_6','FLORES FERNANDEZ IVAN','FUNDAMENTOS DE LA GESTION DE CONOCIMIENTO CIENTIFICO','MASCULINO',1</v>
      </c>
      <c r="J155" s="12" t="str">
        <f t="shared" si="4"/>
        <v>INSERT INTO profesores (id,nivel,carrera,grupo,nombre,materia,sexo,sello) VALUES (1156,'LICENCIATURA','MATERIAS INSTITUCIONALES','TC0302_6','FLORES FERNANDEZ IVAN','FUNDAMENTOS DE LA GESTION DE CONOCIMIENTO CIENTIFICO','MASCULINO',1);</v>
      </c>
    </row>
    <row r="156" spans="1:10" ht="101.5" x14ac:dyDescent="0.35">
      <c r="A156">
        <v>1157</v>
      </c>
      <c r="B156" t="s">
        <v>5</v>
      </c>
      <c r="C156" t="s">
        <v>1725</v>
      </c>
      <c r="D156" t="s">
        <v>1767</v>
      </c>
      <c r="E156" t="s">
        <v>1924</v>
      </c>
      <c r="F156" t="s">
        <v>2113</v>
      </c>
      <c r="G156" t="s">
        <v>2242</v>
      </c>
      <c r="H156">
        <v>0</v>
      </c>
      <c r="I156" s="14" t="str">
        <f t="shared" si="5"/>
        <v>1157,'LICENCIATURA','INGENIERIA AEROESPACIAL','AERO 5°A','RODRIGUEZ CABRERA JUAN JOSE','FUNDAMENTOS DE NAVEGACION AEREA','MASCULINO',0</v>
      </c>
      <c r="J156" s="12" t="str">
        <f t="shared" si="4"/>
        <v>INSERT INTO profesores (id,nivel,carrera,grupo,nombre,materia,sexo,sello) VALUES (1157,'LICENCIATURA','INGENIERIA AEROESPACIAL','AERO 5°A','RODRIGUEZ CABRERA JUAN JOSE','FUNDAMENTOS DE NAVEGACION AEREA','MASCULINO',0);</v>
      </c>
    </row>
    <row r="157" spans="1:10" ht="101.5" x14ac:dyDescent="0.35">
      <c r="A157">
        <v>1158</v>
      </c>
      <c r="B157" t="s">
        <v>5</v>
      </c>
      <c r="C157" t="s">
        <v>1725</v>
      </c>
      <c r="D157" t="s">
        <v>1769</v>
      </c>
      <c r="E157" t="s">
        <v>1924</v>
      </c>
      <c r="F157" t="s">
        <v>2113</v>
      </c>
      <c r="G157" t="s">
        <v>2242</v>
      </c>
      <c r="H157">
        <v>0</v>
      </c>
      <c r="I157" s="14" t="str">
        <f t="shared" si="5"/>
        <v>1158,'LICENCIATURA','INGENIERIA AEROESPACIAL','AERO 5°B','RODRIGUEZ CABRERA JUAN JOSE','FUNDAMENTOS DE NAVEGACION AEREA','MASCULINO',0</v>
      </c>
      <c r="J157" s="12" t="str">
        <f t="shared" si="4"/>
        <v>INSERT INTO profesores (id,nivel,carrera,grupo,nombre,materia,sexo,sello) VALUES (1158,'LICENCIATURA','INGENIERIA AEROESPACIAL','AERO 5°B','RODRIGUEZ CABRERA JUAN JOSE','FUNDAMENTOS DE NAVEGACION AEREA','MASCULINO',0);</v>
      </c>
    </row>
    <row r="158" spans="1:10" ht="101.5" x14ac:dyDescent="0.35">
      <c r="A158">
        <v>1159</v>
      </c>
      <c r="B158" t="s">
        <v>5</v>
      </c>
      <c r="C158" t="s">
        <v>1725</v>
      </c>
      <c r="D158" t="s">
        <v>1767</v>
      </c>
      <c r="E158" t="s">
        <v>1925</v>
      </c>
      <c r="F158" t="s">
        <v>2114</v>
      </c>
      <c r="G158" t="s">
        <v>2242</v>
      </c>
      <c r="H158">
        <v>0</v>
      </c>
      <c r="I158" s="14" t="str">
        <f t="shared" si="5"/>
        <v>1159,'LICENCIATURA','INGENIERIA AEROESPACIAL','AERO 5°A','GARCIA FLORES JOSE LUIS','FUNDAMENTOS DE PROPULSION','MASCULINO',0</v>
      </c>
      <c r="J158" s="12" t="str">
        <f t="shared" si="4"/>
        <v>INSERT INTO profesores (id,nivel,carrera,grupo,nombre,materia,sexo,sello) VALUES (1159,'LICENCIATURA','INGENIERIA AEROESPACIAL','AERO 5°A','GARCIA FLORES JOSE LUIS','FUNDAMENTOS DE PROPULSION','MASCULINO',0);</v>
      </c>
    </row>
    <row r="159" spans="1:10" ht="101.5" x14ac:dyDescent="0.35">
      <c r="A159">
        <v>1160</v>
      </c>
      <c r="B159" t="s">
        <v>5</v>
      </c>
      <c r="C159" t="s">
        <v>1725</v>
      </c>
      <c r="D159" t="s">
        <v>1769</v>
      </c>
      <c r="E159" t="s">
        <v>1925</v>
      </c>
      <c r="F159" t="s">
        <v>2114</v>
      </c>
      <c r="G159" t="s">
        <v>2242</v>
      </c>
      <c r="H159">
        <v>0</v>
      </c>
      <c r="I159" s="14" t="str">
        <f t="shared" si="5"/>
        <v>1160,'LICENCIATURA','INGENIERIA AEROESPACIAL','AERO 5°B','GARCIA FLORES JOSE LUIS','FUNDAMENTOS DE PROPULSION','MASCULINO',0</v>
      </c>
      <c r="J159" s="12" t="str">
        <f t="shared" si="4"/>
        <v>INSERT INTO profesores (id,nivel,carrera,grupo,nombre,materia,sexo,sello) VALUES (1160,'LICENCIATURA','INGENIERIA AEROESPACIAL','AERO 5°B','GARCIA FLORES JOSE LUIS','FUNDAMENTOS DE PROPULSION','MASCULINO',0);</v>
      </c>
    </row>
    <row r="160" spans="1:10" ht="101.5" x14ac:dyDescent="0.35">
      <c r="A160">
        <v>1161</v>
      </c>
      <c r="B160" t="s">
        <v>5</v>
      </c>
      <c r="C160" t="s">
        <v>1726</v>
      </c>
      <c r="D160" t="s">
        <v>1784</v>
      </c>
      <c r="E160" t="s">
        <v>1966</v>
      </c>
      <c r="F160" t="s">
        <v>2225</v>
      </c>
      <c r="G160" t="s">
        <v>2242</v>
      </c>
      <c r="H160">
        <v>0</v>
      </c>
      <c r="I160" s="14" t="str">
        <f t="shared" si="5"/>
        <v>1161,'LICENCIATURA','PSICOLOGIA','PSI 1°','TAPIA VELAZQUEZ FRANCISCO','FUNDAMENTOS FILOSOFICOS','MASCULINO',0</v>
      </c>
      <c r="J160" s="12" t="str">
        <f t="shared" si="4"/>
        <v>INSERT INTO profesores (id,nivel,carrera,grupo,nombre,materia,sexo,sello) VALUES (1161,'LICENCIATURA','PSICOLOGIA','PSI 1°','TAPIA VELAZQUEZ FRANCISCO','FUNDAMENTOS FILOSOFICOS','MASCULINO',0);</v>
      </c>
    </row>
    <row r="161" spans="1:10" ht="101.5" x14ac:dyDescent="0.35">
      <c r="A161">
        <v>1162</v>
      </c>
      <c r="B161" t="s">
        <v>5</v>
      </c>
      <c r="C161" t="s">
        <v>1729</v>
      </c>
      <c r="D161" t="s">
        <v>1759</v>
      </c>
      <c r="E161" t="s">
        <v>1882</v>
      </c>
      <c r="F161" t="s">
        <v>2059</v>
      </c>
      <c r="G161" t="s">
        <v>2242</v>
      </c>
      <c r="H161">
        <v>0</v>
      </c>
      <c r="I161" s="14" t="str">
        <f t="shared" si="5"/>
        <v>1162,'LICENCIATURA','ARQUITECTURA','ARQ 3°','MONTELONGO AGUAYO DANIEL','FUNDAMENTOS TECNICOS DE LA EDIFICACION','MASCULINO',0</v>
      </c>
      <c r="J161" s="12" t="str">
        <f t="shared" si="4"/>
        <v>INSERT INTO profesores (id,nivel,carrera,grupo,nombre,materia,sexo,sello) VALUES (1162,'LICENCIATURA','ARQUITECTURA','ARQ 3°','MONTELONGO AGUAYO DANIEL','FUNDAMENTOS TECNICOS DE LA EDIFICACION','MASCULINO',0);</v>
      </c>
    </row>
    <row r="162" spans="1:10" ht="101.5" x14ac:dyDescent="0.35">
      <c r="A162">
        <v>1163</v>
      </c>
      <c r="B162" t="s">
        <v>5</v>
      </c>
      <c r="C162" t="s">
        <v>1729</v>
      </c>
      <c r="D162" t="s">
        <v>1760</v>
      </c>
      <c r="E162" t="s">
        <v>1879</v>
      </c>
      <c r="F162" t="s">
        <v>2060</v>
      </c>
      <c r="G162" t="s">
        <v>2242</v>
      </c>
      <c r="H162">
        <v>0</v>
      </c>
      <c r="I162" s="14" t="str">
        <f t="shared" si="5"/>
        <v>1163,'LICENCIATURA','ARQUITECTURA','ARQ 1°','PONCE CUEVAS JUAN','FUNDAMENTOS Y PRINCIPIOS DEL DISEÑO ARQUITECTÓNICO','MASCULINO',0</v>
      </c>
      <c r="J162" s="12" t="str">
        <f t="shared" si="4"/>
        <v>INSERT INTO profesores (id,nivel,carrera,grupo,nombre,materia,sexo,sello) VALUES (1163,'LICENCIATURA','ARQUITECTURA','ARQ 1°','PONCE CUEVAS JUAN','FUNDAMENTOS Y PRINCIPIOS DEL DISEÑO ARQUITECTÓNICO','MASCULINO',0);</v>
      </c>
    </row>
    <row r="163" spans="1:10" ht="101.5" x14ac:dyDescent="0.35">
      <c r="A163">
        <v>1164</v>
      </c>
      <c r="B163" t="s">
        <v>5</v>
      </c>
      <c r="C163" t="s">
        <v>1729</v>
      </c>
      <c r="D163" t="s">
        <v>1760</v>
      </c>
      <c r="E163" t="s">
        <v>1885</v>
      </c>
      <c r="F163" t="s">
        <v>2061</v>
      </c>
      <c r="G163" t="s">
        <v>2243</v>
      </c>
      <c r="H163">
        <v>0</v>
      </c>
      <c r="I163" s="14" t="str">
        <f t="shared" si="5"/>
        <v>1164,'LICENCIATURA','ARQUITECTURA','ARQ 1°','ESPINO CAMPOS NYDIA','GEOMETRÍA DESCRIPTIVA','FEMENINO',0</v>
      </c>
      <c r="J163" s="12" t="str">
        <f t="shared" si="4"/>
        <v>INSERT INTO profesores (id,nivel,carrera,grupo,nombre,materia,sexo,sello) VALUES (1164,'LICENCIATURA','ARQUITECTURA','ARQ 1°','ESPINO CAMPOS NYDIA','GEOMETRÍA DESCRIPTIVA','FEMENINO',0);</v>
      </c>
    </row>
    <row r="164" spans="1:10" ht="101.5" x14ac:dyDescent="0.35">
      <c r="A164">
        <v>1165</v>
      </c>
      <c r="B164" t="s">
        <v>5</v>
      </c>
      <c r="C164" t="s">
        <v>1727</v>
      </c>
      <c r="D164" t="s">
        <v>1750</v>
      </c>
      <c r="E164" t="s">
        <v>1860</v>
      </c>
      <c r="F164" t="s">
        <v>2023</v>
      </c>
      <c r="G164" t="s">
        <v>2242</v>
      </c>
      <c r="H164">
        <v>0</v>
      </c>
      <c r="I164" s="14" t="str">
        <f t="shared" si="5"/>
        <v>1165,'LICENCIATURA','ADMINISTRACION Y DIRECCION DE NEGOCIOS','ADMON 7°','ESCARCEGA GARCIA DE LEON MIGUEL ANGEL','GESTION DE LA PRODUCCION','MASCULINO',0</v>
      </c>
      <c r="J164" s="12" t="str">
        <f t="shared" si="4"/>
        <v>INSERT INTO profesores (id,nivel,carrera,grupo,nombre,materia,sexo,sello) VALUES (1165,'LICENCIATURA','ADMINISTRACION Y DIRECCION DE NEGOCIOS','ADMON 7°','ESCARCEGA GARCIA DE LEON MIGUEL ANGEL','GESTION DE LA PRODUCCION','MASCULINO',0);</v>
      </c>
    </row>
    <row r="165" spans="1:10" ht="101.5" x14ac:dyDescent="0.35">
      <c r="A165">
        <v>1166</v>
      </c>
      <c r="B165" t="s">
        <v>5</v>
      </c>
      <c r="C165" t="s">
        <v>1731</v>
      </c>
      <c r="D165" t="s">
        <v>1761</v>
      </c>
      <c r="E165" t="s">
        <v>1940</v>
      </c>
      <c r="F165" t="s">
        <v>2138</v>
      </c>
      <c r="G165" t="s">
        <v>2242</v>
      </c>
      <c r="H165">
        <v>0</v>
      </c>
      <c r="I165" s="14" t="str">
        <f t="shared" si="5"/>
        <v>1166,'LICENCIATURA','INGENIERÍA AUTOMOTRIZ','AUTO 7°','CARDENAS CASTILLO SANTIAGO','GESTION DE MANTENIMIENTO AUTOMOTRIZ ','MASCULINO',0</v>
      </c>
      <c r="J165" s="12" t="str">
        <f t="shared" si="4"/>
        <v>INSERT INTO profesores (id,nivel,carrera,grupo,nombre,materia,sexo,sello) VALUES (1166,'LICENCIATURA','INGENIERÍA AUTOMOTRIZ','AUTO 7°','CARDENAS CASTILLO SANTIAGO','GESTION DE MANTENIMIENTO AUTOMOTRIZ ','MASCULINO',0);</v>
      </c>
    </row>
    <row r="166" spans="1:10" ht="101.5" x14ac:dyDescent="0.35">
      <c r="A166">
        <v>1167</v>
      </c>
      <c r="B166" t="s">
        <v>5</v>
      </c>
      <c r="C166" t="s">
        <v>1732</v>
      </c>
      <c r="D166" t="s">
        <v>1762</v>
      </c>
      <c r="E166" t="s">
        <v>1898</v>
      </c>
      <c r="F166" t="s">
        <v>2083</v>
      </c>
      <c r="G166" t="s">
        <v>2242</v>
      </c>
      <c r="H166">
        <v>0</v>
      </c>
      <c r="I166" s="14" t="str">
        <f t="shared" si="5"/>
        <v>1167,'LICENCIATURA','DERECHO','DER 9°','PADILLA GALINDO EMMANUEL','GESTION DE POLITICAS PUBLICAS','MASCULINO',0</v>
      </c>
      <c r="J166" s="12" t="str">
        <f t="shared" si="4"/>
        <v>INSERT INTO profesores (id,nivel,carrera,grupo,nombre,materia,sexo,sello) VALUES (1167,'LICENCIATURA','DERECHO','DER 9°','PADILLA GALINDO EMMANUEL','GESTION DE POLITICAS PUBLICAS','MASCULINO',0);</v>
      </c>
    </row>
    <row r="167" spans="1:10" ht="101.5" x14ac:dyDescent="0.35">
      <c r="A167">
        <v>1168</v>
      </c>
      <c r="B167" t="s">
        <v>5</v>
      </c>
      <c r="C167" t="s">
        <v>1727</v>
      </c>
      <c r="D167" t="s">
        <v>1768</v>
      </c>
      <c r="E167" t="s">
        <v>1851</v>
      </c>
      <c r="F167" t="s">
        <v>2024</v>
      </c>
      <c r="G167" t="s">
        <v>2242</v>
      </c>
      <c r="H167">
        <v>0</v>
      </c>
      <c r="I167" s="14" t="str">
        <f t="shared" si="5"/>
        <v>1168,'LICENCIATURA','ADMINISTRACION Y DIRECCION DE NEGOCIOS','ADMON 5°','GOMEZ LEDEZMA JESUS ALEJANDRO','GESTION DE PRESUPUESTOS DE MERCADOTECNIA','MASCULINO',0</v>
      </c>
      <c r="J167" s="12" t="str">
        <f t="shared" si="4"/>
        <v>INSERT INTO profesores (id,nivel,carrera,grupo,nombre,materia,sexo,sello) VALUES (1168,'LICENCIATURA','ADMINISTRACION Y DIRECCION DE NEGOCIOS','ADMON 5°','GOMEZ LEDEZMA JESUS ALEJANDRO','GESTION DE PRESUPUESTOS DE MERCADOTECNIA','MASCULINO',0);</v>
      </c>
    </row>
    <row r="168" spans="1:10" ht="101.5" x14ac:dyDescent="0.35">
      <c r="A168">
        <v>1169</v>
      </c>
      <c r="B168" t="s">
        <v>5</v>
      </c>
      <c r="C168" t="s">
        <v>1792</v>
      </c>
      <c r="D168" t="s">
        <v>1842</v>
      </c>
      <c r="E168" t="s">
        <v>1968</v>
      </c>
      <c r="F168" t="s">
        <v>2190</v>
      </c>
      <c r="G168" t="s">
        <v>2243</v>
      </c>
      <c r="H168">
        <v>1</v>
      </c>
      <c r="I168" s="14" t="str">
        <f t="shared" si="5"/>
        <v>1169,'LICENCIATURA','MATERIAS INSTITUCIONALES','TC0102_1','MORONES MUÑOZ MARIANA ELISA','HERRAMIENTAS TECNOLOGICAS Y SU USO COTIDIANO','FEMENINO',1</v>
      </c>
      <c r="J168" s="12" t="str">
        <f t="shared" si="4"/>
        <v>INSERT INTO profesores (id,nivel,carrera,grupo,nombre,materia,sexo,sello) VALUES (1169,'LICENCIATURA','MATERIAS INSTITUCIONALES','TC0102_1','MORONES MUÑOZ MARIANA ELISA','HERRAMIENTAS TECNOLOGICAS Y SU USO COTIDIANO','FEMENINO',1);</v>
      </c>
    </row>
    <row r="169" spans="1:10" ht="101.5" x14ac:dyDescent="0.35">
      <c r="A169">
        <v>1170</v>
      </c>
      <c r="B169" t="s">
        <v>5</v>
      </c>
      <c r="C169" t="s">
        <v>1792</v>
      </c>
      <c r="D169" t="s">
        <v>1843</v>
      </c>
      <c r="E169" t="s">
        <v>1851</v>
      </c>
      <c r="F169" t="s">
        <v>2190</v>
      </c>
      <c r="G169" t="s">
        <v>2242</v>
      </c>
      <c r="H169">
        <v>1</v>
      </c>
      <c r="I169" s="14" t="str">
        <f t="shared" si="5"/>
        <v>1170,'LICENCIATURA','MATERIAS INSTITUCIONALES','TC0102_2','GOMEZ LEDEZMA JESUS ALEJANDRO','HERRAMIENTAS TECNOLOGICAS Y SU USO COTIDIANO','MASCULINO',1</v>
      </c>
      <c r="J169" s="12" t="str">
        <f t="shared" si="4"/>
        <v>INSERT INTO profesores (id,nivel,carrera,grupo,nombre,materia,sexo,sello) VALUES (1170,'LICENCIATURA','MATERIAS INSTITUCIONALES','TC0102_2','GOMEZ LEDEZMA JESUS ALEJANDRO','HERRAMIENTAS TECNOLOGICAS Y SU USO COTIDIANO','MASCULINO',1);</v>
      </c>
    </row>
    <row r="170" spans="1:10" ht="101.5" x14ac:dyDescent="0.35">
      <c r="A170">
        <v>1171</v>
      </c>
      <c r="B170" t="s">
        <v>5</v>
      </c>
      <c r="C170" t="s">
        <v>1728</v>
      </c>
      <c r="D170" t="s">
        <v>1751</v>
      </c>
      <c r="E170" t="s">
        <v>1961</v>
      </c>
      <c r="F170" t="s">
        <v>2179</v>
      </c>
      <c r="G170" t="s">
        <v>2242</v>
      </c>
      <c r="H170">
        <v>0</v>
      </c>
      <c r="I170" s="14" t="str">
        <f t="shared" si="5"/>
        <v>1171,'LICENCIATURA','INGENIERIA INDUSTRIAL Y EN SISTEMAS ORGANIZACIONALES','IND 7°','GONZALEZ PACAS DANIEL','HIGIENE Y SEGURIDAD INDUSTRIAL','MASCULINO',0</v>
      </c>
      <c r="J170" s="12" t="str">
        <f t="shared" si="4"/>
        <v>INSERT INTO profesores (id,nivel,carrera,grupo,nombre,materia,sexo,sello) VALUES (1171,'LICENCIATURA','INGENIERIA INDUSTRIAL Y EN SISTEMAS ORGANIZACIONALES','IND 7°','GONZALEZ PACAS DANIEL','HIGIENE Y SEGURIDAD INDUSTRIAL','MASCULINO',0);</v>
      </c>
    </row>
    <row r="171" spans="1:10" ht="101.5" x14ac:dyDescent="0.35">
      <c r="A171">
        <v>1172</v>
      </c>
      <c r="B171" t="s">
        <v>5</v>
      </c>
      <c r="C171" t="s">
        <v>1729</v>
      </c>
      <c r="D171" t="s">
        <v>1759</v>
      </c>
      <c r="E171" t="s">
        <v>1888</v>
      </c>
      <c r="F171" t="s">
        <v>2062</v>
      </c>
      <c r="G171" t="s">
        <v>2243</v>
      </c>
      <c r="H171">
        <v>0</v>
      </c>
      <c r="I171" s="14" t="str">
        <f t="shared" si="5"/>
        <v>1172,'LICENCIATURA','ARQUITECTURA','ARQ 3°','ALVARADO BAEZ DULCE CARMINA','HISTORIA CRITICA DE LA ARQUITECTURA Y URBANISMO INTERMEDIA','FEMENINO',0</v>
      </c>
      <c r="J171" s="12" t="str">
        <f t="shared" si="4"/>
        <v>INSERT INTO profesores (id,nivel,carrera,grupo,nombre,materia,sexo,sello) VALUES (1172,'LICENCIATURA','ARQUITECTURA','ARQ 3°','ALVARADO BAEZ DULCE CARMINA','HISTORIA CRITICA DE LA ARQUITECTURA Y URBANISMO INTERMEDIA','FEMENINO',0);</v>
      </c>
    </row>
    <row r="172" spans="1:10" ht="101.5" x14ac:dyDescent="0.35">
      <c r="A172">
        <v>1173</v>
      </c>
      <c r="B172" t="s">
        <v>5</v>
      </c>
      <c r="C172" t="s">
        <v>1729</v>
      </c>
      <c r="D172" t="s">
        <v>1758</v>
      </c>
      <c r="E172" t="s">
        <v>1889</v>
      </c>
      <c r="F172" t="s">
        <v>2063</v>
      </c>
      <c r="G172" t="s">
        <v>2242</v>
      </c>
      <c r="H172">
        <v>0</v>
      </c>
      <c r="I172" s="14" t="str">
        <f t="shared" si="5"/>
        <v>1173,'LICENCIATURA','ARQUITECTURA','ARQ 5°','PEREZ GUTIERREZ JORGE HUMBERTO','HISTORIA CRITICA DE LA ARQUITECTURA Y URBANISMO SUPERIOR','MASCULINO',0</v>
      </c>
      <c r="J172" s="12" t="str">
        <f t="shared" si="4"/>
        <v>INSERT INTO profesores (id,nivel,carrera,grupo,nombre,materia,sexo,sello) VALUES (1173,'LICENCIATURA','ARQUITECTURA','ARQ 5°','PEREZ GUTIERREZ JORGE HUMBERTO','HISTORIA CRITICA DE LA ARQUITECTURA Y URBANISMO SUPERIOR','MASCULINO',0);</v>
      </c>
    </row>
    <row r="173" spans="1:10" ht="101.5" x14ac:dyDescent="0.35">
      <c r="A173">
        <v>1174</v>
      </c>
      <c r="B173" t="s">
        <v>5</v>
      </c>
      <c r="C173" t="s">
        <v>1792</v>
      </c>
      <c r="D173" t="s">
        <v>1842</v>
      </c>
      <c r="E173" t="s">
        <v>1963</v>
      </c>
      <c r="F173" t="s">
        <v>2191</v>
      </c>
      <c r="G173" t="s">
        <v>2243</v>
      </c>
      <c r="H173">
        <v>1</v>
      </c>
      <c r="I173" s="14" t="str">
        <f t="shared" si="5"/>
        <v>1174,'LICENCIATURA','MATERIAS INSTITUCIONALES','TC0102_1','HERNANDEZ MONTAÑO AIDA CITLALI','IDENTIDAD MARISTA Y PROYECTO DE VIDA','FEMENINO',1</v>
      </c>
      <c r="J173" s="12" t="str">
        <f t="shared" si="4"/>
        <v>INSERT INTO profesores (id,nivel,carrera,grupo,nombre,materia,sexo,sello) VALUES (1174,'LICENCIATURA','MATERIAS INSTITUCIONALES','TC0102_1','HERNANDEZ MONTAÑO AIDA CITLALI','IDENTIDAD MARISTA Y PROYECTO DE VIDA','FEMENINO',1);</v>
      </c>
    </row>
    <row r="174" spans="1:10" ht="101.5" x14ac:dyDescent="0.35">
      <c r="A174">
        <v>1175</v>
      </c>
      <c r="B174" t="s">
        <v>5</v>
      </c>
      <c r="C174" t="s">
        <v>1792</v>
      </c>
      <c r="D174" t="s">
        <v>1843</v>
      </c>
      <c r="E174" t="s">
        <v>1964</v>
      </c>
      <c r="F174" t="s">
        <v>2191</v>
      </c>
      <c r="G174" t="s">
        <v>2242</v>
      </c>
      <c r="H174">
        <v>1</v>
      </c>
      <c r="I174" s="14" t="str">
        <f t="shared" si="5"/>
        <v>1175,'LICENCIATURA','MATERIAS INSTITUCIONALES','TC0102_2','LUNA HERRERA JOSE CARLOS','IDENTIDAD MARISTA Y PROYECTO DE VIDA','MASCULINO',1</v>
      </c>
      <c r="J174" s="12" t="str">
        <f t="shared" si="4"/>
        <v>INSERT INTO profesores (id,nivel,carrera,grupo,nombre,materia,sexo,sello) VALUES (1175,'LICENCIATURA','MATERIAS INSTITUCIONALES','TC0102_2','LUNA HERRERA JOSE CARLOS','IDENTIDAD MARISTA Y PROYECTO DE VIDA','MASCULINO',1);</v>
      </c>
    </row>
    <row r="175" spans="1:10" ht="101.5" x14ac:dyDescent="0.35">
      <c r="A175">
        <v>1186</v>
      </c>
      <c r="B175" t="s">
        <v>5</v>
      </c>
      <c r="C175" t="s">
        <v>1729</v>
      </c>
      <c r="D175" t="s">
        <v>1758</v>
      </c>
      <c r="E175" t="s">
        <v>1890</v>
      </c>
      <c r="F175" t="s">
        <v>2064</v>
      </c>
      <c r="G175" t="s">
        <v>2243</v>
      </c>
      <c r="H175">
        <v>0</v>
      </c>
      <c r="I175" s="14" t="str">
        <f t="shared" si="5"/>
        <v>1186,'LICENCIATURA','ARQUITECTURA','ARQ 5°','CALDERON CHAVARIN NOEMI MONSERRAT','IDENTIDAD Y PATRIMONIO CULTURAL','FEMENINO',0</v>
      </c>
      <c r="J175" s="12" t="str">
        <f t="shared" si="4"/>
        <v>INSERT INTO profesores (id,nivel,carrera,grupo,nombre,materia,sexo,sello) VALUES (1186,'LICENCIATURA','ARQUITECTURA','ARQ 5°','CALDERON CHAVARIN NOEMI MONSERRAT','IDENTIDAD Y PATRIMONIO CULTURAL','FEMENINO',0);</v>
      </c>
    </row>
    <row r="176" spans="1:10" ht="101.5" x14ac:dyDescent="0.35">
      <c r="A176">
        <v>1194</v>
      </c>
      <c r="B176" t="s">
        <v>5</v>
      </c>
      <c r="C176" t="s">
        <v>1723</v>
      </c>
      <c r="D176" t="s">
        <v>1746</v>
      </c>
      <c r="E176" t="s">
        <v>1946</v>
      </c>
      <c r="F176" t="s">
        <v>2151</v>
      </c>
      <c r="G176" t="s">
        <v>2242</v>
      </c>
      <c r="H176">
        <v>0</v>
      </c>
      <c r="I176" s="14" t="str">
        <f t="shared" si="5"/>
        <v>1194,'LICENCIATURA','INGENIERIA CIBERNETICA Y EN SISTEMAS COMPUTACIONALES','CIB 9°','RODRIGUEZ ROBLES MARTIN ONESIMO','INFORMATICA FORENSE','MASCULINO',0</v>
      </c>
      <c r="J176" s="12" t="str">
        <f t="shared" si="4"/>
        <v>INSERT INTO profesores (id,nivel,carrera,grupo,nombre,materia,sexo,sello) VALUES (1194,'LICENCIATURA','INGENIERIA CIBERNETICA Y EN SISTEMAS COMPUTACIONALES','CIB 9°','RODRIGUEZ ROBLES MARTIN ONESIMO','INFORMATICA FORENSE','MASCULINO',0);</v>
      </c>
    </row>
    <row r="177" spans="1:10" ht="101.5" x14ac:dyDescent="0.35">
      <c r="A177">
        <v>1195</v>
      </c>
      <c r="B177" t="s">
        <v>5</v>
      </c>
      <c r="C177" t="s">
        <v>1724</v>
      </c>
      <c r="D177" t="s">
        <v>1747</v>
      </c>
      <c r="E177" t="s">
        <v>1992</v>
      </c>
      <c r="F177" t="s">
        <v>2209</v>
      </c>
      <c r="G177" t="s">
        <v>2242</v>
      </c>
      <c r="H177">
        <v>0</v>
      </c>
      <c r="I177" s="14" t="str">
        <f t="shared" si="5"/>
        <v>1195,'LICENCIATURA','NUTRICION Y GASTRONOMIA','NUT 9°','MARQUEZ CORONA FRANCISCO ALBERTO','INMUNONUTRICION','MASCULINO',0</v>
      </c>
      <c r="J177" s="12" t="str">
        <f t="shared" si="4"/>
        <v>INSERT INTO profesores (id,nivel,carrera,grupo,nombre,materia,sexo,sello) VALUES (1195,'LICENCIATURA','NUTRICION Y GASTRONOMIA','NUT 9°','MARQUEZ CORONA FRANCISCO ALBERTO','INMUNONUTRICION','MASCULINO',0);</v>
      </c>
    </row>
    <row r="178" spans="1:10" ht="101.5" x14ac:dyDescent="0.35">
      <c r="A178">
        <v>1196</v>
      </c>
      <c r="B178" t="s">
        <v>5</v>
      </c>
      <c r="C178" t="s">
        <v>1727</v>
      </c>
      <c r="D178" t="s">
        <v>1750</v>
      </c>
      <c r="E178" t="s">
        <v>1853</v>
      </c>
      <c r="F178" t="s">
        <v>2025</v>
      </c>
      <c r="G178" t="s">
        <v>2242</v>
      </c>
      <c r="H178">
        <v>0</v>
      </c>
      <c r="I178" s="14" t="str">
        <f t="shared" si="5"/>
        <v>1196,'LICENCIATURA','ADMINISTRACION Y DIRECCION DE NEGOCIOS','ADMON 7°','RODRIGUEZ ROMERO DENIS PAUL','INTELIGENCIA DE NEGOCIOS','MASCULINO',0</v>
      </c>
      <c r="J178" s="12" t="str">
        <f t="shared" si="4"/>
        <v>INSERT INTO profesores (id,nivel,carrera,grupo,nombre,materia,sexo,sello) VALUES (1196,'LICENCIATURA','ADMINISTRACION Y DIRECCION DE NEGOCIOS','ADMON 7°','RODRIGUEZ ROMERO DENIS PAUL','INTELIGENCIA DE NEGOCIOS','MASCULINO',0);</v>
      </c>
    </row>
    <row r="179" spans="1:10" ht="101.5" x14ac:dyDescent="0.35">
      <c r="A179">
        <v>1197</v>
      </c>
      <c r="B179" t="s">
        <v>5</v>
      </c>
      <c r="C179" t="s">
        <v>1723</v>
      </c>
      <c r="D179" t="s">
        <v>1746</v>
      </c>
      <c r="E179" t="s">
        <v>1853</v>
      </c>
      <c r="F179" t="s">
        <v>2025</v>
      </c>
      <c r="G179" t="s">
        <v>2242</v>
      </c>
      <c r="H179">
        <v>0</v>
      </c>
      <c r="I179" s="14" t="str">
        <f t="shared" si="5"/>
        <v>1197,'LICENCIATURA','INGENIERIA CIBERNETICA Y EN SISTEMAS COMPUTACIONALES','CIB 9°','RODRIGUEZ ROMERO DENIS PAUL','INTELIGENCIA DE NEGOCIOS','MASCULINO',0</v>
      </c>
      <c r="J179" s="12" t="str">
        <f t="shared" si="4"/>
        <v>INSERT INTO profesores (id,nivel,carrera,grupo,nombre,materia,sexo,sello) VALUES (1197,'LICENCIATURA','INGENIERIA CIBERNETICA Y EN SISTEMAS COMPUTACIONALES','CIB 9°','RODRIGUEZ ROMERO DENIS PAUL','INTELIGENCIA DE NEGOCIOS','MASCULINO',0);</v>
      </c>
    </row>
    <row r="180" spans="1:10" ht="101.5" x14ac:dyDescent="0.35">
      <c r="A180">
        <v>1198</v>
      </c>
      <c r="B180" t="s">
        <v>5</v>
      </c>
      <c r="C180" t="s">
        <v>1726</v>
      </c>
      <c r="D180" t="s">
        <v>1764</v>
      </c>
      <c r="E180" t="s">
        <v>2002</v>
      </c>
      <c r="F180" t="s">
        <v>2226</v>
      </c>
      <c r="G180" t="s">
        <v>2242</v>
      </c>
      <c r="H180">
        <v>0</v>
      </c>
      <c r="I180" s="14" t="str">
        <f t="shared" si="5"/>
        <v>1198,'LICENCIATURA','PSICOLOGIA','PSI 7°','RAMIREZ RAMIREZ RICARDO','INTERVENCION EN CRISIS','MASCULINO',0</v>
      </c>
      <c r="J180" s="12" t="str">
        <f t="shared" si="4"/>
        <v>INSERT INTO profesores (id,nivel,carrera,grupo,nombre,materia,sexo,sello) VALUES (1198,'LICENCIATURA','PSICOLOGIA','PSI 7°','RAMIREZ RAMIREZ RICARDO','INTERVENCION EN CRISIS','MASCULINO',0);</v>
      </c>
    </row>
    <row r="181" spans="1:10" ht="101.5" x14ac:dyDescent="0.35">
      <c r="A181">
        <v>1199</v>
      </c>
      <c r="B181" t="s">
        <v>5</v>
      </c>
      <c r="C181" t="s">
        <v>1726</v>
      </c>
      <c r="D181" t="s">
        <v>1764</v>
      </c>
      <c r="E181" t="s">
        <v>2003</v>
      </c>
      <c r="F181" t="s">
        <v>2227</v>
      </c>
      <c r="G181" t="s">
        <v>2242</v>
      </c>
      <c r="H181">
        <v>0</v>
      </c>
      <c r="I181" s="14" t="str">
        <f t="shared" si="5"/>
        <v>1199,'LICENCIATURA','PSICOLOGIA','PSI 7°','HERRERA ARAGON DAVID','INTERVENCION PSICOLOGICA DESDE EL COGNITIVO-CONDUCTUAL','MASCULINO',0</v>
      </c>
      <c r="J181" s="12" t="str">
        <f t="shared" si="4"/>
        <v>INSERT INTO profesores (id,nivel,carrera,grupo,nombre,materia,sexo,sello) VALUES (1199,'LICENCIATURA','PSICOLOGIA','PSI 7°','HERRERA ARAGON DAVID','INTERVENCION PSICOLOGICA DESDE EL COGNITIVO-CONDUCTUAL','MASCULINO',0);</v>
      </c>
    </row>
    <row r="182" spans="1:10" ht="101.5" x14ac:dyDescent="0.35">
      <c r="A182">
        <v>1200</v>
      </c>
      <c r="B182" t="s">
        <v>5</v>
      </c>
      <c r="C182" t="s">
        <v>1726</v>
      </c>
      <c r="D182" t="s">
        <v>1749</v>
      </c>
      <c r="E182" t="s">
        <v>2001</v>
      </c>
      <c r="F182" t="s">
        <v>2228</v>
      </c>
      <c r="G182" t="s">
        <v>2242</v>
      </c>
      <c r="H182">
        <v>0</v>
      </c>
      <c r="I182" s="14" t="str">
        <f t="shared" si="5"/>
        <v>1200,'LICENCIATURA','PSICOLOGIA','PSI 5°','FLORES GUZMAN HECTOR ALFONSO','INTERVENCION PSICOLOGICA DESDE EL PSICOANALISIS','MASCULINO',0</v>
      </c>
      <c r="J182" s="12" t="str">
        <f t="shared" si="4"/>
        <v>INSERT INTO profesores (id,nivel,carrera,grupo,nombre,materia,sexo,sello) VALUES (1200,'LICENCIATURA','PSICOLOGIA','PSI 5°','FLORES GUZMAN HECTOR ALFONSO','INTERVENCION PSICOLOGICA DESDE EL PSICOANALISIS','MASCULINO',0);</v>
      </c>
    </row>
    <row r="183" spans="1:10" ht="101.5" x14ac:dyDescent="0.35">
      <c r="A183">
        <v>1201</v>
      </c>
      <c r="B183" t="s">
        <v>5</v>
      </c>
      <c r="C183" t="s">
        <v>1731</v>
      </c>
      <c r="D183" t="s">
        <v>1782</v>
      </c>
      <c r="E183" t="s">
        <v>1940</v>
      </c>
      <c r="F183" t="s">
        <v>2139</v>
      </c>
      <c r="G183" t="s">
        <v>2242</v>
      </c>
      <c r="H183">
        <v>0</v>
      </c>
      <c r="I183" s="14" t="str">
        <f t="shared" si="5"/>
        <v>1201,'LICENCIATURA','INGENIERÍA AUTOMOTRIZ','AUTO 1° A','CARDENAS CASTILLO SANTIAGO','INTRODUCCION A LA MECANICA AUTOMOTRIZ ','MASCULINO',0</v>
      </c>
      <c r="J183" s="12" t="str">
        <f t="shared" si="4"/>
        <v>INSERT INTO profesores (id,nivel,carrera,grupo,nombre,materia,sexo,sello) VALUES (1201,'LICENCIATURA','INGENIERÍA AUTOMOTRIZ','AUTO 1° A','CARDENAS CASTILLO SANTIAGO','INTRODUCCION A LA MECANICA AUTOMOTRIZ ','MASCULINO',0);</v>
      </c>
    </row>
    <row r="184" spans="1:10" ht="101.5" x14ac:dyDescent="0.35">
      <c r="A184">
        <v>1202</v>
      </c>
      <c r="B184" t="s">
        <v>5</v>
      </c>
      <c r="C184" t="s">
        <v>1731</v>
      </c>
      <c r="D184" t="s">
        <v>1773</v>
      </c>
      <c r="E184" t="s">
        <v>1940</v>
      </c>
      <c r="F184" t="s">
        <v>2139</v>
      </c>
      <c r="G184" t="s">
        <v>2242</v>
      </c>
      <c r="H184">
        <v>0</v>
      </c>
      <c r="I184" s="14" t="str">
        <f t="shared" si="5"/>
        <v>1202,'LICENCIATURA','INGENIERÍA AUTOMOTRIZ','AUTO 1° B','CARDENAS CASTILLO SANTIAGO','INTRODUCCION A LA MECANICA AUTOMOTRIZ ','MASCULINO',0</v>
      </c>
      <c r="J184" s="12" t="str">
        <f t="shared" si="4"/>
        <v>INSERT INTO profesores (id,nivel,carrera,grupo,nombre,materia,sexo,sello) VALUES (1202,'LICENCIATURA','INGENIERÍA AUTOMOTRIZ','AUTO 1° B','CARDENAS CASTILLO SANTIAGO','INTRODUCCION A LA MECANICA AUTOMOTRIZ ','MASCULINO',0);</v>
      </c>
    </row>
    <row r="185" spans="1:10" ht="101.5" x14ac:dyDescent="0.35">
      <c r="A185">
        <v>1203</v>
      </c>
      <c r="B185" t="s">
        <v>5</v>
      </c>
      <c r="C185" t="s">
        <v>1731</v>
      </c>
      <c r="D185" t="s">
        <v>1782</v>
      </c>
      <c r="E185" t="s">
        <v>1941</v>
      </c>
      <c r="F185" t="s">
        <v>2140</v>
      </c>
      <c r="G185" t="s">
        <v>2242</v>
      </c>
      <c r="H185">
        <v>0</v>
      </c>
      <c r="I185" s="14" t="str">
        <f t="shared" si="5"/>
        <v>1203,'LICENCIATURA','INGENIERÍA AUTOMOTRIZ','AUTO 1° A','MACIAS GARZA JORGE ENRIQUE','INTRODUCCION A LA PROGRAMACION','MASCULINO',0</v>
      </c>
      <c r="J185" s="12" t="str">
        <f t="shared" si="4"/>
        <v>INSERT INTO profesores (id,nivel,carrera,grupo,nombre,materia,sexo,sello) VALUES (1203,'LICENCIATURA','INGENIERÍA AUTOMOTRIZ','AUTO 1° A','MACIAS GARZA JORGE ENRIQUE','INTRODUCCION A LA PROGRAMACION','MASCULINO',0);</v>
      </c>
    </row>
    <row r="186" spans="1:10" ht="101.5" x14ac:dyDescent="0.35">
      <c r="A186">
        <v>1204</v>
      </c>
      <c r="B186" t="s">
        <v>5</v>
      </c>
      <c r="C186" t="s">
        <v>1731</v>
      </c>
      <c r="D186" t="s">
        <v>1773</v>
      </c>
      <c r="E186" t="s">
        <v>1942</v>
      </c>
      <c r="F186" t="s">
        <v>2140</v>
      </c>
      <c r="G186" t="s">
        <v>2243</v>
      </c>
      <c r="H186">
        <v>0</v>
      </c>
      <c r="I186" s="14" t="str">
        <f t="shared" si="5"/>
        <v>1204,'LICENCIATURA','INGENIERÍA AUTOMOTRIZ','AUTO 1° B','MADRIGAL RODRIGUEZ GRISELDA','INTRODUCCION A LA PROGRAMACION','FEMENINO',0</v>
      </c>
      <c r="J186" s="12" t="str">
        <f t="shared" si="4"/>
        <v>INSERT INTO profesores (id,nivel,carrera,grupo,nombre,materia,sexo,sello) VALUES (1204,'LICENCIATURA','INGENIERÍA AUTOMOTRIZ','AUTO 1° B','MADRIGAL RODRIGUEZ GRISELDA','INTRODUCCION A LA PROGRAMACION','FEMENINO',0);</v>
      </c>
    </row>
    <row r="187" spans="1:10" ht="101.5" x14ac:dyDescent="0.35">
      <c r="A187">
        <v>1205</v>
      </c>
      <c r="B187" t="s">
        <v>5</v>
      </c>
      <c r="C187" t="s">
        <v>1729</v>
      </c>
      <c r="D187" t="s">
        <v>1754</v>
      </c>
      <c r="E187" t="s">
        <v>1887</v>
      </c>
      <c r="F187" t="s">
        <v>2065</v>
      </c>
      <c r="G187" t="s">
        <v>2242</v>
      </c>
      <c r="H187">
        <v>0</v>
      </c>
      <c r="I187" s="14" t="str">
        <f t="shared" si="5"/>
        <v>1205,'LICENCIATURA','ARQUITECTURA','ARQ 7°','SANCHEZ MUÑOZ JOSE JORGE','INVESTIGACION APLICADA','MASCULINO',0</v>
      </c>
      <c r="J187" s="12" t="str">
        <f t="shared" si="4"/>
        <v>INSERT INTO profesores (id,nivel,carrera,grupo,nombre,materia,sexo,sello) VALUES (1205,'LICENCIATURA','ARQUITECTURA','ARQ 7°','SANCHEZ MUÑOZ JOSE JORGE','INVESTIGACION APLICADA','MASCULINO',0);</v>
      </c>
    </row>
    <row r="188" spans="1:10" ht="101.5" x14ac:dyDescent="0.35">
      <c r="A188">
        <v>1206</v>
      </c>
      <c r="B188" t="s">
        <v>5</v>
      </c>
      <c r="C188" t="s">
        <v>1792</v>
      </c>
      <c r="D188" t="s">
        <v>1844</v>
      </c>
      <c r="E188" t="s">
        <v>1977</v>
      </c>
      <c r="F188" t="s">
        <v>2192</v>
      </c>
      <c r="G188" t="s">
        <v>2242</v>
      </c>
      <c r="H188">
        <v>1</v>
      </c>
      <c r="I188" s="14" t="str">
        <f t="shared" si="5"/>
        <v>1206,'LICENCIATURA','MATERIAS INSTITUCIONALES','TC0303_1','FLORES MARTIN VICTOR DIEGO','LA DIVERSIDAD ESPIRITUAL','MASCULINO',1</v>
      </c>
      <c r="J188" s="12" t="str">
        <f t="shared" si="4"/>
        <v>INSERT INTO profesores (id,nivel,carrera,grupo,nombre,materia,sexo,sello) VALUES (1206,'LICENCIATURA','MATERIAS INSTITUCIONALES','TC0303_1','FLORES MARTIN VICTOR DIEGO','LA DIVERSIDAD ESPIRITUAL','MASCULINO',1);</v>
      </c>
    </row>
    <row r="189" spans="1:10" ht="101.5" x14ac:dyDescent="0.35">
      <c r="A189">
        <v>1207</v>
      </c>
      <c r="B189" t="s">
        <v>5</v>
      </c>
      <c r="C189" t="s">
        <v>1792</v>
      </c>
      <c r="D189" t="s">
        <v>1845</v>
      </c>
      <c r="E189" t="s">
        <v>1978</v>
      </c>
      <c r="F189" t="s">
        <v>2192</v>
      </c>
      <c r="G189" t="s">
        <v>2242</v>
      </c>
      <c r="H189">
        <v>1</v>
      </c>
      <c r="I189" s="14" t="str">
        <f t="shared" si="5"/>
        <v>1207,'LICENCIATURA','MATERIAS INSTITUCIONALES','TC0303_2','DE LEON GUTIERREZ CESAR JAVIER','LA DIVERSIDAD ESPIRITUAL','MASCULINO',1</v>
      </c>
      <c r="J189" s="12" t="str">
        <f t="shared" si="4"/>
        <v>INSERT INTO profesores (id,nivel,carrera,grupo,nombre,materia,sexo,sello) VALUES (1207,'LICENCIATURA','MATERIAS INSTITUCIONALES','TC0303_2','DE LEON GUTIERREZ CESAR JAVIER','LA DIVERSIDAD ESPIRITUAL','MASCULINO',1);</v>
      </c>
    </row>
    <row r="190" spans="1:10" ht="101.5" x14ac:dyDescent="0.35">
      <c r="A190">
        <v>1208</v>
      </c>
      <c r="B190" t="s">
        <v>5</v>
      </c>
      <c r="C190" t="s">
        <v>1792</v>
      </c>
      <c r="D190" t="s">
        <v>1846</v>
      </c>
      <c r="E190" t="s">
        <v>1979</v>
      </c>
      <c r="F190" t="s">
        <v>2192</v>
      </c>
      <c r="G190" t="s">
        <v>2242</v>
      </c>
      <c r="H190">
        <v>1</v>
      </c>
      <c r="I190" s="14" t="str">
        <f t="shared" si="5"/>
        <v>1208,'LICENCIATURA','MATERIAS INSTITUCIONALES','TC0303_3','BARTOLO TONIX JOSE DE JESUS','LA DIVERSIDAD ESPIRITUAL','MASCULINO',1</v>
      </c>
      <c r="J190" s="12" t="str">
        <f t="shared" si="4"/>
        <v>INSERT INTO profesores (id,nivel,carrera,grupo,nombre,materia,sexo,sello) VALUES (1208,'LICENCIATURA','MATERIAS INSTITUCIONALES','TC0303_3','BARTOLO TONIX JOSE DE JESUS','LA DIVERSIDAD ESPIRITUAL','MASCULINO',1);</v>
      </c>
    </row>
    <row r="191" spans="1:10" ht="101.5" x14ac:dyDescent="0.35">
      <c r="A191">
        <v>1209</v>
      </c>
      <c r="B191" t="s">
        <v>5</v>
      </c>
      <c r="C191" t="s">
        <v>1792</v>
      </c>
      <c r="D191" t="s">
        <v>1847</v>
      </c>
      <c r="E191" t="s">
        <v>1977</v>
      </c>
      <c r="F191" t="s">
        <v>2192</v>
      </c>
      <c r="G191" t="s">
        <v>2242</v>
      </c>
      <c r="H191">
        <v>1</v>
      </c>
      <c r="I191" s="14" t="str">
        <f t="shared" si="5"/>
        <v>1209,'LICENCIATURA','MATERIAS INSTITUCIONALES','TC0303_4','FLORES MARTIN VICTOR DIEGO','LA DIVERSIDAD ESPIRITUAL','MASCULINO',1</v>
      </c>
      <c r="J191" s="12" t="str">
        <f t="shared" si="4"/>
        <v>INSERT INTO profesores (id,nivel,carrera,grupo,nombre,materia,sexo,sello) VALUES (1209,'LICENCIATURA','MATERIAS INSTITUCIONALES','TC0303_4','FLORES MARTIN VICTOR DIEGO','LA DIVERSIDAD ESPIRITUAL','MASCULINO',1);</v>
      </c>
    </row>
    <row r="192" spans="1:10" ht="101.5" x14ac:dyDescent="0.35">
      <c r="A192">
        <v>1210</v>
      </c>
      <c r="B192" t="s">
        <v>5</v>
      </c>
      <c r="C192" t="s">
        <v>1792</v>
      </c>
      <c r="D192" t="s">
        <v>1848</v>
      </c>
      <c r="E192" t="s">
        <v>1978</v>
      </c>
      <c r="F192" t="s">
        <v>2192</v>
      </c>
      <c r="G192" t="s">
        <v>2242</v>
      </c>
      <c r="H192">
        <v>1</v>
      </c>
      <c r="I192" s="14" t="str">
        <f t="shared" si="5"/>
        <v>1210,'LICENCIATURA','MATERIAS INSTITUCIONALES','TC0303_5','DE LEON GUTIERREZ CESAR JAVIER','LA DIVERSIDAD ESPIRITUAL','MASCULINO',1</v>
      </c>
      <c r="J192" s="12" t="str">
        <f t="shared" si="4"/>
        <v>INSERT INTO profesores (id,nivel,carrera,grupo,nombre,materia,sexo,sello) VALUES (1210,'LICENCIATURA','MATERIAS INSTITUCIONALES','TC0303_5','DE LEON GUTIERREZ CESAR JAVIER','LA DIVERSIDAD ESPIRITUAL','MASCULINO',1);</v>
      </c>
    </row>
    <row r="193" spans="1:10" ht="101.5" x14ac:dyDescent="0.35">
      <c r="A193">
        <v>1211</v>
      </c>
      <c r="B193" t="s">
        <v>5</v>
      </c>
      <c r="C193" t="s">
        <v>1792</v>
      </c>
      <c r="D193" t="s">
        <v>1849</v>
      </c>
      <c r="E193" t="s">
        <v>1979</v>
      </c>
      <c r="F193" t="s">
        <v>2192</v>
      </c>
      <c r="G193" t="s">
        <v>2242</v>
      </c>
      <c r="H193">
        <v>1</v>
      </c>
      <c r="I193" s="14" t="str">
        <f t="shared" si="5"/>
        <v>1211,'LICENCIATURA','MATERIAS INSTITUCIONALES','TC0303_6','BARTOLO TONIX JOSE DE JESUS','LA DIVERSIDAD ESPIRITUAL','MASCULINO',1</v>
      </c>
      <c r="J193" s="12" t="str">
        <f t="shared" si="4"/>
        <v>INSERT INTO profesores (id,nivel,carrera,grupo,nombre,materia,sexo,sello) VALUES (1211,'LICENCIATURA','MATERIAS INSTITUCIONALES','TC0303_6','BARTOLO TONIX JOSE DE JESUS','LA DIVERSIDAD ESPIRITUAL','MASCULINO',1);</v>
      </c>
    </row>
    <row r="194" spans="1:10" ht="101.5" x14ac:dyDescent="0.35">
      <c r="A194">
        <v>1212</v>
      </c>
      <c r="B194" t="s">
        <v>5</v>
      </c>
      <c r="C194" t="s">
        <v>1723</v>
      </c>
      <c r="D194" t="s">
        <v>1766</v>
      </c>
      <c r="E194" t="s">
        <v>1949</v>
      </c>
      <c r="F194" t="s">
        <v>2152</v>
      </c>
      <c r="G194" t="s">
        <v>2242</v>
      </c>
      <c r="H194">
        <v>0</v>
      </c>
      <c r="I194" s="14" t="str">
        <f t="shared" si="5"/>
        <v>1212,'LICENCIATURA','INGENIERIA CIBERNETICA Y EN SISTEMAS COMPUTACIONALES','CIB 7°','BAEZA MONTIEL RICARDO IGNACIO','LENGUAJE ENSAMBLADOR','MASCULINO',0</v>
      </c>
      <c r="J194" s="12" t="str">
        <f t="shared" ref="J194:J257" si="6">CONCATENATE($I$1,I194,");")</f>
        <v>INSERT INTO profesores (id,nivel,carrera,grupo,nombre,materia,sexo,sello) VALUES (1212,'LICENCIATURA','INGENIERIA CIBERNETICA Y EN SISTEMAS COMPUTACIONALES','CIB 7°','BAEZA MONTIEL RICARDO IGNACIO','LENGUAJE ENSAMBLADOR','MASCULINO',0);</v>
      </c>
    </row>
    <row r="195" spans="1:10" ht="101.5" x14ac:dyDescent="0.35">
      <c r="A195">
        <v>1213</v>
      </c>
      <c r="B195" t="s">
        <v>5</v>
      </c>
      <c r="C195" t="s">
        <v>1730</v>
      </c>
      <c r="D195" t="s">
        <v>1757</v>
      </c>
      <c r="E195" t="s">
        <v>1870</v>
      </c>
      <c r="F195" t="s">
        <v>2037</v>
      </c>
      <c r="G195" t="s">
        <v>2242</v>
      </c>
      <c r="H195">
        <v>0</v>
      </c>
      <c r="I195" s="14" t="str">
        <f t="shared" ref="I195:I258" si="7">CONCATENATE(A195,",'",B195,"','",C195,"','",D195,"','",E195,"','",F195,"','",G195,"',",H195)</f>
        <v>1213,'LICENCIATURA','ANIMACION DIGITAL Y VIDEOJUEGOS','ANIM 5°','FLORES MONTAÑO SAUL EMMANUEL','LOGICA Y ALGORITMOS','MASCULINO',0</v>
      </c>
      <c r="J195" s="12" t="str">
        <f t="shared" si="6"/>
        <v>INSERT INTO profesores (id,nivel,carrera,grupo,nombre,materia,sexo,sello) VALUES (1213,'LICENCIATURA','ANIMACION DIGITAL Y VIDEOJUEGOS','ANIM 5°','FLORES MONTAÑO SAUL EMMANUEL','LOGICA Y ALGORITMOS','MASCULINO',0);</v>
      </c>
    </row>
    <row r="196" spans="1:10" ht="101.5" x14ac:dyDescent="0.35">
      <c r="A196">
        <v>1214</v>
      </c>
      <c r="B196" t="s">
        <v>5</v>
      </c>
      <c r="C196" t="s">
        <v>1727</v>
      </c>
      <c r="D196" t="s">
        <v>1781</v>
      </c>
      <c r="E196" t="s">
        <v>1861</v>
      </c>
      <c r="F196" t="s">
        <v>2026</v>
      </c>
      <c r="G196" t="s">
        <v>2243</v>
      </c>
      <c r="H196">
        <v>0</v>
      </c>
      <c r="I196" s="14" t="str">
        <f t="shared" si="7"/>
        <v>1214,'LICENCIATURA','ADMINISTRACION Y DIRECCION DE NEGOCIOS','ADMON 3°','PADILLA MARTINEZ ELSA GEORGINA','MACROECONOMIA','FEMENINO',0</v>
      </c>
      <c r="J196" s="12" t="str">
        <f t="shared" si="6"/>
        <v>INSERT INTO profesores (id,nivel,carrera,grupo,nombre,materia,sexo,sello) VALUES (1214,'LICENCIATURA','ADMINISTRACION Y DIRECCION DE NEGOCIOS','ADMON 3°','PADILLA MARTINEZ ELSA GEORGINA','MACROECONOMIA','FEMENINO',0);</v>
      </c>
    </row>
    <row r="197" spans="1:10" ht="101.5" x14ac:dyDescent="0.35">
      <c r="A197">
        <v>1215</v>
      </c>
      <c r="B197" t="s">
        <v>5</v>
      </c>
      <c r="C197" t="s">
        <v>1728</v>
      </c>
      <c r="D197" t="s">
        <v>1751</v>
      </c>
      <c r="E197" t="s">
        <v>1957</v>
      </c>
      <c r="F197" t="s">
        <v>2180</v>
      </c>
      <c r="G197" t="s">
        <v>2242</v>
      </c>
      <c r="H197">
        <v>0</v>
      </c>
      <c r="I197" s="14" t="str">
        <f t="shared" si="7"/>
        <v>1215,'LICENCIATURA','INGENIERIA INDUSTRIAL Y EN SISTEMAS ORGANIZACIONALES','IND 7°','AVALOS MEDINA SALVADOR','MANUFACTURA INTEGRADA POR COMPUTADORA','MASCULINO',0</v>
      </c>
      <c r="J197" s="12" t="str">
        <f t="shared" si="6"/>
        <v>INSERT INTO profesores (id,nivel,carrera,grupo,nombre,materia,sexo,sello) VALUES (1215,'LICENCIATURA','INGENIERIA INDUSTRIAL Y EN SISTEMAS ORGANIZACIONALES','IND 7°','AVALOS MEDINA SALVADOR','MANUFACTURA INTEGRADA POR COMPUTADORA','MASCULINO',0);</v>
      </c>
    </row>
    <row r="198" spans="1:10" ht="101.5" x14ac:dyDescent="0.35">
      <c r="A198">
        <v>1216</v>
      </c>
      <c r="B198" t="s">
        <v>5</v>
      </c>
      <c r="C198" t="s">
        <v>1729</v>
      </c>
      <c r="D198" t="s">
        <v>1759</v>
      </c>
      <c r="E198" t="s">
        <v>1889</v>
      </c>
      <c r="F198" t="s">
        <v>2066</v>
      </c>
      <c r="G198" t="s">
        <v>2242</v>
      </c>
      <c r="H198">
        <v>0</v>
      </c>
      <c r="I198" s="14" t="str">
        <f t="shared" si="7"/>
        <v>1216,'LICENCIATURA','ARQUITECTURA','ARQ 3°','PEREZ GUTIERREZ JORGE HUMBERTO','MAQUETAS DIGITALES','MASCULINO',0</v>
      </c>
      <c r="J198" s="12" t="str">
        <f t="shared" si="6"/>
        <v>INSERT INTO profesores (id,nivel,carrera,grupo,nombre,materia,sexo,sello) VALUES (1216,'LICENCIATURA','ARQUITECTURA','ARQ 3°','PEREZ GUTIERREZ JORGE HUMBERTO','MAQUETAS DIGITALES','MASCULINO',0);</v>
      </c>
    </row>
    <row r="199" spans="1:10" ht="101.5" x14ac:dyDescent="0.35">
      <c r="A199">
        <v>1217</v>
      </c>
      <c r="B199" t="s">
        <v>5</v>
      </c>
      <c r="C199" t="s">
        <v>1729</v>
      </c>
      <c r="D199" t="s">
        <v>1760</v>
      </c>
      <c r="E199" t="s">
        <v>1889</v>
      </c>
      <c r="F199" t="s">
        <v>2067</v>
      </c>
      <c r="G199" t="s">
        <v>2242</v>
      </c>
      <c r="H199">
        <v>0</v>
      </c>
      <c r="I199" s="14" t="str">
        <f t="shared" si="7"/>
        <v>1217,'LICENCIATURA','ARQUITECTURA','ARQ 1°','PEREZ GUTIERREZ JORGE HUMBERTO','MATEMÁTICAS APLICADAS','MASCULINO',0</v>
      </c>
      <c r="J199" s="12" t="str">
        <f t="shared" si="6"/>
        <v>INSERT INTO profesores (id,nivel,carrera,grupo,nombre,materia,sexo,sello) VALUES (1217,'LICENCIATURA','ARQUITECTURA','ARQ 1°','PEREZ GUTIERREZ JORGE HUMBERTO','MATEMÁTICAS APLICADAS','MASCULINO',0);</v>
      </c>
    </row>
    <row r="200" spans="1:10" ht="101.5" x14ac:dyDescent="0.35">
      <c r="A200">
        <v>1218</v>
      </c>
      <c r="B200" t="s">
        <v>5</v>
      </c>
      <c r="C200" t="s">
        <v>1731</v>
      </c>
      <c r="D200" t="s">
        <v>1774</v>
      </c>
      <c r="E200" t="s">
        <v>1943</v>
      </c>
      <c r="F200" t="s">
        <v>2141</v>
      </c>
      <c r="G200" t="s">
        <v>2242</v>
      </c>
      <c r="H200">
        <v>0</v>
      </c>
      <c r="I200" s="14" t="str">
        <f t="shared" si="7"/>
        <v>1218,'LICENCIATURA','INGENIERÍA AUTOMOTRIZ','AUTO 3° A','PARRA ALDRETE JOSE LUIS','MECANICA DE FLUIDOS','MASCULINO',0</v>
      </c>
      <c r="J200" s="12" t="str">
        <f t="shared" si="6"/>
        <v>INSERT INTO profesores (id,nivel,carrera,grupo,nombre,materia,sexo,sello) VALUES (1218,'LICENCIATURA','INGENIERÍA AUTOMOTRIZ','AUTO 3° A','PARRA ALDRETE JOSE LUIS','MECANICA DE FLUIDOS','MASCULINO',0);</v>
      </c>
    </row>
    <row r="201" spans="1:10" ht="101.5" x14ac:dyDescent="0.35">
      <c r="A201">
        <v>1219</v>
      </c>
      <c r="B201" t="s">
        <v>5</v>
      </c>
      <c r="C201" t="s">
        <v>1731</v>
      </c>
      <c r="D201" t="s">
        <v>1778</v>
      </c>
      <c r="E201" t="s">
        <v>1943</v>
      </c>
      <c r="F201" t="s">
        <v>2141</v>
      </c>
      <c r="G201" t="s">
        <v>2242</v>
      </c>
      <c r="H201">
        <v>0</v>
      </c>
      <c r="I201" s="14" t="str">
        <f t="shared" si="7"/>
        <v>1219,'LICENCIATURA','INGENIERÍA AUTOMOTRIZ','AUTO 3° B','PARRA ALDRETE JOSE LUIS','MECANICA DE FLUIDOS','MASCULINO',0</v>
      </c>
      <c r="J201" s="12" t="str">
        <f t="shared" si="6"/>
        <v>INSERT INTO profesores (id,nivel,carrera,grupo,nombre,materia,sexo,sello) VALUES (1219,'LICENCIATURA','INGENIERÍA AUTOMOTRIZ','AUTO 3° B','PARRA ALDRETE JOSE LUIS','MECANICA DE FLUIDOS','MASCULINO',0);</v>
      </c>
    </row>
    <row r="202" spans="1:10" ht="101.5" x14ac:dyDescent="0.35">
      <c r="A202">
        <v>1220</v>
      </c>
      <c r="B202" t="s">
        <v>5</v>
      </c>
      <c r="C202" t="s">
        <v>1723</v>
      </c>
      <c r="D202" t="s">
        <v>1766</v>
      </c>
      <c r="E202" t="s">
        <v>1950</v>
      </c>
      <c r="F202" t="s">
        <v>2153</v>
      </c>
      <c r="G202" t="s">
        <v>2242</v>
      </c>
      <c r="H202">
        <v>0</v>
      </c>
      <c r="I202" s="14" t="str">
        <f t="shared" si="7"/>
        <v>1220,'LICENCIATURA','INGENIERIA CIBERNETICA Y EN SISTEMAS COMPUTACIONALES','CIB 7°','MAGAÑA SANCHEZ SALVADOR','MEGADATOS','MASCULINO',0</v>
      </c>
      <c r="J202" s="12" t="str">
        <f t="shared" si="6"/>
        <v>INSERT INTO profesores (id,nivel,carrera,grupo,nombre,materia,sexo,sello) VALUES (1220,'LICENCIATURA','INGENIERIA CIBERNETICA Y EN SISTEMAS COMPUTACIONALES','CIB 7°','MAGAÑA SANCHEZ SALVADOR','MEGADATOS','MASCULINO',0);</v>
      </c>
    </row>
    <row r="203" spans="1:10" ht="101.5" x14ac:dyDescent="0.35">
      <c r="A203">
        <v>1221</v>
      </c>
      <c r="B203" t="s">
        <v>5</v>
      </c>
      <c r="C203" t="s">
        <v>1733</v>
      </c>
      <c r="D203" t="s">
        <v>1763</v>
      </c>
      <c r="E203" t="s">
        <v>1903</v>
      </c>
      <c r="F203" t="s">
        <v>2088</v>
      </c>
      <c r="G203" t="s">
        <v>2243</v>
      </c>
      <c r="H203">
        <v>0</v>
      </c>
      <c r="I203" s="14" t="str">
        <f t="shared" si="7"/>
        <v>1221,'LICENCIATURA','DISEÑO GRAFICO Y DIGITAL','DGD 7°','PEREZ ORTIZ MERCEDES','MERCADOTECNIA DIGITAL PARA EL DISEÑO','FEMENINO',0</v>
      </c>
      <c r="J203" s="12" t="str">
        <f t="shared" si="6"/>
        <v>INSERT INTO profesores (id,nivel,carrera,grupo,nombre,materia,sexo,sello) VALUES (1221,'LICENCIATURA','DISEÑO GRAFICO Y DIGITAL','DGD 7°','PEREZ ORTIZ MERCEDES','MERCADOTECNIA DIGITAL PARA EL DISEÑO','FEMENINO',0);</v>
      </c>
    </row>
    <row r="204" spans="1:10" ht="101.5" x14ac:dyDescent="0.35">
      <c r="A204">
        <v>1222</v>
      </c>
      <c r="B204" t="s">
        <v>5</v>
      </c>
      <c r="C204" t="s">
        <v>1725</v>
      </c>
      <c r="D204" t="s">
        <v>1748</v>
      </c>
      <c r="E204" t="s">
        <v>1926</v>
      </c>
      <c r="F204" t="s">
        <v>2115</v>
      </c>
      <c r="G204" t="s">
        <v>2242</v>
      </c>
      <c r="H204">
        <v>0</v>
      </c>
      <c r="I204" s="14" t="str">
        <f t="shared" si="7"/>
        <v>1222,'LICENCIATURA','INGENIERIA AEROESPACIAL','AERO 9°','QUEZADA NAVARRO VICTOR MANUEL','METODOS DE ELEMENTO FINITO','MASCULINO',0</v>
      </c>
      <c r="J204" s="12" t="str">
        <f t="shared" si="6"/>
        <v>INSERT INTO profesores (id,nivel,carrera,grupo,nombre,materia,sexo,sello) VALUES (1222,'LICENCIATURA','INGENIERIA AEROESPACIAL','AERO 9°','QUEZADA NAVARRO VICTOR MANUEL','METODOS DE ELEMENTO FINITO','MASCULINO',0);</v>
      </c>
    </row>
    <row r="205" spans="1:10" ht="101.5" x14ac:dyDescent="0.35">
      <c r="A205">
        <v>1223</v>
      </c>
      <c r="B205" t="s">
        <v>5</v>
      </c>
      <c r="C205" t="s">
        <v>1724</v>
      </c>
      <c r="D205" t="s">
        <v>1772</v>
      </c>
      <c r="E205" t="s">
        <v>1993</v>
      </c>
      <c r="F205" t="s">
        <v>2210</v>
      </c>
      <c r="G205" t="s">
        <v>2243</v>
      </c>
      <c r="H205">
        <v>0</v>
      </c>
      <c r="I205" s="14" t="str">
        <f t="shared" si="7"/>
        <v>1223,'LICENCIATURA','NUTRICION Y GASTRONOMIA','NUT 3°','DOMINGUEZ LOPEZ MARIA ALEJANDRA','MICROBIOLOGIA Y TOXICOLOGIA DE ALIMENTOS','FEMENINO',0</v>
      </c>
      <c r="J205" s="12" t="str">
        <f t="shared" si="6"/>
        <v>INSERT INTO profesores (id,nivel,carrera,grupo,nombre,materia,sexo,sello) VALUES (1223,'LICENCIATURA','NUTRICION Y GASTRONOMIA','NUT 3°','DOMINGUEZ LOPEZ MARIA ALEJANDRA','MICROBIOLOGIA Y TOXICOLOGIA DE ALIMENTOS','FEMENINO',0);</v>
      </c>
    </row>
    <row r="206" spans="1:10" ht="101.5" x14ac:dyDescent="0.35">
      <c r="A206">
        <v>1224</v>
      </c>
      <c r="B206" t="s">
        <v>5</v>
      </c>
      <c r="C206" t="s">
        <v>1730</v>
      </c>
      <c r="D206" t="s">
        <v>1777</v>
      </c>
      <c r="E206" t="s">
        <v>1871</v>
      </c>
      <c r="F206" t="s">
        <v>2038</v>
      </c>
      <c r="G206" t="s">
        <v>2243</v>
      </c>
      <c r="H206">
        <v>0</v>
      </c>
      <c r="I206" s="14" t="str">
        <f t="shared" si="7"/>
        <v>1224,'LICENCIATURA','ANIMACION DIGITAL Y VIDEOJUEGOS','ANIM 3°','ABREU TEJEDA RAQUEL ABIGAIL','MODELADO 3D INORGANICO','FEMENINO',0</v>
      </c>
      <c r="J206" s="12" t="str">
        <f t="shared" si="6"/>
        <v>INSERT INTO profesores (id,nivel,carrera,grupo,nombre,materia,sexo,sello) VALUES (1224,'LICENCIATURA','ANIMACION DIGITAL Y VIDEOJUEGOS','ANIM 3°','ABREU TEJEDA RAQUEL ABIGAIL','MODELADO 3D INORGANICO','FEMENINO',0);</v>
      </c>
    </row>
    <row r="207" spans="1:10" ht="101.5" x14ac:dyDescent="0.35">
      <c r="A207">
        <v>1225</v>
      </c>
      <c r="B207" t="s">
        <v>5</v>
      </c>
      <c r="C207" t="s">
        <v>1729</v>
      </c>
      <c r="D207" t="s">
        <v>1758</v>
      </c>
      <c r="E207" t="s">
        <v>1885</v>
      </c>
      <c r="F207" t="s">
        <v>2068</v>
      </c>
      <c r="G207" t="s">
        <v>2243</v>
      </c>
      <c r="H207">
        <v>0</v>
      </c>
      <c r="I207" s="14" t="str">
        <f t="shared" si="7"/>
        <v>1225,'LICENCIATURA','ARQUITECTURA','ARQ 5°','ESPINO CAMPOS NYDIA','MODELADO TRIDIMENSIONAL DIGITAL','FEMENINO',0</v>
      </c>
      <c r="J207" s="12" t="str">
        <f t="shared" si="6"/>
        <v>INSERT INTO profesores (id,nivel,carrera,grupo,nombre,materia,sexo,sello) VALUES (1225,'LICENCIATURA','ARQUITECTURA','ARQ 5°','ESPINO CAMPOS NYDIA','MODELADO TRIDIMENSIONAL DIGITAL','FEMENINO',0);</v>
      </c>
    </row>
    <row r="208" spans="1:10" ht="101.5" x14ac:dyDescent="0.35">
      <c r="A208">
        <v>1226</v>
      </c>
      <c r="B208" t="s">
        <v>5</v>
      </c>
      <c r="C208" t="s">
        <v>1727</v>
      </c>
      <c r="D208" t="s">
        <v>1781</v>
      </c>
      <c r="E208" t="s">
        <v>1862</v>
      </c>
      <c r="F208" t="s">
        <v>2027</v>
      </c>
      <c r="G208" t="s">
        <v>2242</v>
      </c>
      <c r="H208">
        <v>0</v>
      </c>
      <c r="I208" s="14" t="str">
        <f t="shared" si="7"/>
        <v>1226,'LICENCIATURA','ADMINISTRACION Y DIRECCION DE NEGOCIOS','ADMON 3°','ZEPEDA REYNOSO JESUS EMMANUEL','MODELOS DE NEGOCIOS','MASCULINO',0</v>
      </c>
      <c r="J208" s="12" t="str">
        <f t="shared" si="6"/>
        <v>INSERT INTO profesores (id,nivel,carrera,grupo,nombre,materia,sexo,sello) VALUES (1226,'LICENCIATURA','ADMINISTRACION Y DIRECCION DE NEGOCIOS','ADMON 3°','ZEPEDA REYNOSO JESUS EMMANUEL','MODELOS DE NEGOCIOS','MASCULINO',0);</v>
      </c>
    </row>
    <row r="209" spans="1:10" ht="101.5" x14ac:dyDescent="0.35">
      <c r="A209">
        <v>1227</v>
      </c>
      <c r="B209" t="s">
        <v>5</v>
      </c>
      <c r="C209" t="s">
        <v>1728</v>
      </c>
      <c r="D209" t="s">
        <v>1751</v>
      </c>
      <c r="E209" t="s">
        <v>1938</v>
      </c>
      <c r="F209" t="s">
        <v>2181</v>
      </c>
      <c r="G209" t="s">
        <v>2242</v>
      </c>
      <c r="H209">
        <v>0</v>
      </c>
      <c r="I209" s="14" t="str">
        <f t="shared" si="7"/>
        <v>1227,'LICENCIATURA','INGENIERIA INDUSTRIAL Y EN SISTEMAS ORGANIZACIONALES','IND 7°','ESQUIVEL LEAL ALEJANDRO GUADALUPE','MODELOS DE SIMULACION','MASCULINO',0</v>
      </c>
      <c r="J209" s="12" t="str">
        <f t="shared" si="6"/>
        <v>INSERT INTO profesores (id,nivel,carrera,grupo,nombre,materia,sexo,sello) VALUES (1227,'LICENCIATURA','INGENIERIA INDUSTRIAL Y EN SISTEMAS ORGANIZACIONALES','IND 7°','ESQUIVEL LEAL ALEJANDRO GUADALUPE','MODELOS DE SIMULACION','MASCULINO',0);</v>
      </c>
    </row>
    <row r="210" spans="1:10" ht="101.5" x14ac:dyDescent="0.35">
      <c r="A210">
        <v>1228</v>
      </c>
      <c r="B210" t="s">
        <v>5</v>
      </c>
      <c r="C210" t="s">
        <v>1726</v>
      </c>
      <c r="D210" t="s">
        <v>1749</v>
      </c>
      <c r="E210" t="s">
        <v>2004</v>
      </c>
      <c r="F210" t="s">
        <v>2229</v>
      </c>
      <c r="G210" t="s">
        <v>2242</v>
      </c>
      <c r="H210">
        <v>0</v>
      </c>
      <c r="I210" s="14" t="str">
        <f t="shared" si="7"/>
        <v>1228,'LICENCIATURA','PSICOLOGIA','PSI 5°','GOMEZ PEREZ DAVID UBALDO','MODELOS PSICOLOGICOS DE INTERVENCION I','MASCULINO',0</v>
      </c>
      <c r="J210" s="12" t="str">
        <f t="shared" si="6"/>
        <v>INSERT INTO profesores (id,nivel,carrera,grupo,nombre,materia,sexo,sello) VALUES (1228,'LICENCIATURA','PSICOLOGIA','PSI 5°','GOMEZ PEREZ DAVID UBALDO','MODELOS PSICOLOGICOS DE INTERVENCION I','MASCULINO',0);</v>
      </c>
    </row>
    <row r="211" spans="1:10" ht="101.5" x14ac:dyDescent="0.35">
      <c r="A211">
        <v>1229</v>
      </c>
      <c r="B211" t="s">
        <v>5</v>
      </c>
      <c r="C211" t="s">
        <v>1726</v>
      </c>
      <c r="D211" t="s">
        <v>1764</v>
      </c>
      <c r="E211" t="s">
        <v>2005</v>
      </c>
      <c r="F211" t="s">
        <v>2230</v>
      </c>
      <c r="G211" t="s">
        <v>2242</v>
      </c>
      <c r="H211">
        <v>0</v>
      </c>
      <c r="I211" s="14" t="str">
        <f t="shared" si="7"/>
        <v>1229,'LICENCIATURA','PSICOLOGIA','PSI 7°','RIZO AVALOS JOSE DE JESUS','MODELOS PSICOLOGICOS DE INTERVENCION III','MASCULINO',0</v>
      </c>
      <c r="J211" s="12" t="str">
        <f t="shared" si="6"/>
        <v>INSERT INTO profesores (id,nivel,carrera,grupo,nombre,materia,sexo,sello) VALUES (1229,'LICENCIATURA','PSICOLOGIA','PSI 7°','RIZO AVALOS JOSE DE JESUS','MODELOS PSICOLOGICOS DE INTERVENCION III','MASCULINO',0);</v>
      </c>
    </row>
    <row r="212" spans="1:10" ht="101.5" x14ac:dyDescent="0.35">
      <c r="A212">
        <v>1230</v>
      </c>
      <c r="B212" t="s">
        <v>5</v>
      </c>
      <c r="C212" t="s">
        <v>1731</v>
      </c>
      <c r="D212" t="s">
        <v>1761</v>
      </c>
      <c r="E212" t="s">
        <v>1918</v>
      </c>
      <c r="F212" t="s">
        <v>2142</v>
      </c>
      <c r="G212" t="s">
        <v>2242</v>
      </c>
      <c r="H212">
        <v>0</v>
      </c>
      <c r="I212" s="14" t="str">
        <f t="shared" si="7"/>
        <v>1230,'LICENCIATURA','INGENIERÍA AUTOMOTRIZ','AUTO 7°','MENDEZ JIMENEZ ALBERTO','MOTORES DE COMBUSTIÓN INTERNA ','MASCULINO',0</v>
      </c>
      <c r="J212" s="12" t="str">
        <f t="shared" si="6"/>
        <v>INSERT INTO profesores (id,nivel,carrera,grupo,nombre,materia,sexo,sello) VALUES (1230,'LICENCIATURA','INGENIERÍA AUTOMOTRIZ','AUTO 7°','MENDEZ JIMENEZ ALBERTO','MOTORES DE COMBUSTIÓN INTERNA ','MASCULINO',0);</v>
      </c>
    </row>
    <row r="213" spans="1:10" ht="101.5" x14ac:dyDescent="0.35">
      <c r="A213">
        <v>1231</v>
      </c>
      <c r="B213" t="s">
        <v>5</v>
      </c>
      <c r="C213" t="s">
        <v>1730</v>
      </c>
      <c r="D213" t="s">
        <v>1755</v>
      </c>
      <c r="E213" t="s">
        <v>1870</v>
      </c>
      <c r="F213" t="s">
        <v>2039</v>
      </c>
      <c r="G213" t="s">
        <v>2242</v>
      </c>
      <c r="H213">
        <v>0</v>
      </c>
      <c r="I213" s="14" t="str">
        <f t="shared" si="7"/>
        <v>1231,'LICENCIATURA','ANIMACION DIGITAL Y VIDEOJUEGOS','ANIM 7°','FLORES MONTAÑO SAUL EMMANUEL','MOTORES PARA VIDEOJUEGOS I','MASCULINO',0</v>
      </c>
      <c r="J213" s="12" t="str">
        <f t="shared" si="6"/>
        <v>INSERT INTO profesores (id,nivel,carrera,grupo,nombre,materia,sexo,sello) VALUES (1231,'LICENCIATURA','ANIMACION DIGITAL Y VIDEOJUEGOS','ANIM 7°','FLORES MONTAÑO SAUL EMMANUEL','MOTORES PARA VIDEOJUEGOS I','MASCULINO',0);</v>
      </c>
    </row>
    <row r="214" spans="1:10" ht="101.5" x14ac:dyDescent="0.35">
      <c r="A214">
        <v>1232</v>
      </c>
      <c r="B214" t="s">
        <v>5</v>
      </c>
      <c r="C214" t="s">
        <v>1725</v>
      </c>
      <c r="D214" t="s">
        <v>1752</v>
      </c>
      <c r="E214" t="s">
        <v>1927</v>
      </c>
      <c r="F214" t="s">
        <v>2116</v>
      </c>
      <c r="G214" t="s">
        <v>2242</v>
      </c>
      <c r="H214">
        <v>0</v>
      </c>
      <c r="I214" s="14" t="str">
        <f t="shared" si="7"/>
        <v>1232,'LICENCIATURA','INGENIERIA AEROESPACIAL','AERO 7°','SANCHEZ LOPEZ FERNANDO','MOTORES TURBORREACTORES Y SUS SISTEMAS','MASCULINO',0</v>
      </c>
      <c r="J214" s="12" t="str">
        <f t="shared" si="6"/>
        <v>INSERT INTO profesores (id,nivel,carrera,grupo,nombre,materia,sexo,sello) VALUES (1232,'LICENCIATURA','INGENIERIA AEROESPACIAL','AERO 7°','SANCHEZ LOPEZ FERNANDO','MOTORES TURBORREACTORES Y SUS SISTEMAS','MASCULINO',0);</v>
      </c>
    </row>
    <row r="215" spans="1:10" ht="101.5" x14ac:dyDescent="0.35">
      <c r="A215">
        <v>1233</v>
      </c>
      <c r="B215" t="s">
        <v>5</v>
      </c>
      <c r="C215" t="s">
        <v>1727</v>
      </c>
      <c r="D215" t="s">
        <v>1768</v>
      </c>
      <c r="E215" t="s">
        <v>1863</v>
      </c>
      <c r="F215" t="s">
        <v>2028</v>
      </c>
      <c r="G215" t="s">
        <v>2242</v>
      </c>
      <c r="H215">
        <v>0</v>
      </c>
      <c r="I215" s="14" t="str">
        <f t="shared" si="7"/>
        <v>1233,'LICENCIATURA','ADMINISTRACION Y DIRECCION DE NEGOCIOS','ADMON 5°','RIOS NUÑO RAFAEL','NEGOCIACION Y GENERACION DE CONTRATOS','MASCULINO',0</v>
      </c>
      <c r="J215" s="12" t="str">
        <f t="shared" si="6"/>
        <v>INSERT INTO profesores (id,nivel,carrera,grupo,nombre,materia,sexo,sello) VALUES (1233,'LICENCIATURA','ADMINISTRACION Y DIRECCION DE NEGOCIOS','ADMON 5°','RIOS NUÑO RAFAEL','NEGOCIACION Y GENERACION DE CONTRATOS','MASCULINO',0);</v>
      </c>
    </row>
    <row r="216" spans="1:10" ht="101.5" x14ac:dyDescent="0.35">
      <c r="A216">
        <v>1234</v>
      </c>
      <c r="B216" t="s">
        <v>5</v>
      </c>
      <c r="C216" t="s">
        <v>1726</v>
      </c>
      <c r="D216" t="s">
        <v>1779</v>
      </c>
      <c r="E216" t="s">
        <v>1964</v>
      </c>
      <c r="F216" t="s">
        <v>2231</v>
      </c>
      <c r="G216" t="s">
        <v>2242</v>
      </c>
      <c r="H216">
        <v>0</v>
      </c>
      <c r="I216" s="14" t="str">
        <f t="shared" si="7"/>
        <v>1234,'LICENCIATURA','PSICOLOGIA','PSI 3°','LUNA HERRERA JOSE CARLOS','NEUROPSICOLOGIA','MASCULINO',0</v>
      </c>
      <c r="J216" s="12" t="str">
        <f t="shared" si="6"/>
        <v>INSERT INTO profesores (id,nivel,carrera,grupo,nombre,materia,sexo,sello) VALUES (1234,'LICENCIATURA','PSICOLOGIA','PSI 3°','LUNA HERRERA JOSE CARLOS','NEUROPSICOLOGIA','MASCULINO',0);</v>
      </c>
    </row>
    <row r="217" spans="1:10" ht="101.5" x14ac:dyDescent="0.35">
      <c r="A217">
        <v>1235</v>
      </c>
      <c r="B217" t="s">
        <v>5</v>
      </c>
      <c r="C217" t="s">
        <v>1725</v>
      </c>
      <c r="D217" t="s">
        <v>1767</v>
      </c>
      <c r="E217" t="s">
        <v>1928</v>
      </c>
      <c r="F217" t="s">
        <v>2117</v>
      </c>
      <c r="G217" t="s">
        <v>2242</v>
      </c>
      <c r="H217">
        <v>0</v>
      </c>
      <c r="I217" s="14" t="str">
        <f t="shared" si="7"/>
        <v>1235,'LICENCIATURA','INGENIERIA AEROESPACIAL','AERO 5°A','JIMENEZ ANDALON ENRIQUE','NORMATIVIDAD AERONAUTICA II','MASCULINO',0</v>
      </c>
      <c r="J217" s="12" t="str">
        <f t="shared" si="6"/>
        <v>INSERT INTO profesores (id,nivel,carrera,grupo,nombre,materia,sexo,sello) VALUES (1235,'LICENCIATURA','INGENIERIA AEROESPACIAL','AERO 5°A','JIMENEZ ANDALON ENRIQUE','NORMATIVIDAD AERONAUTICA II','MASCULINO',0);</v>
      </c>
    </row>
    <row r="218" spans="1:10" ht="101.5" x14ac:dyDescent="0.35">
      <c r="A218">
        <v>1236</v>
      </c>
      <c r="B218" t="s">
        <v>5</v>
      </c>
      <c r="C218" t="s">
        <v>1725</v>
      </c>
      <c r="D218" t="s">
        <v>1769</v>
      </c>
      <c r="E218" t="s">
        <v>1928</v>
      </c>
      <c r="F218" t="s">
        <v>2117</v>
      </c>
      <c r="G218" t="s">
        <v>2242</v>
      </c>
      <c r="H218">
        <v>0</v>
      </c>
      <c r="I218" s="14" t="str">
        <f t="shared" si="7"/>
        <v>1236,'LICENCIATURA','INGENIERIA AEROESPACIAL','AERO 5°B','JIMENEZ ANDALON ENRIQUE','NORMATIVIDAD AERONAUTICA II','MASCULINO',0</v>
      </c>
      <c r="J218" s="12" t="str">
        <f t="shared" si="6"/>
        <v>INSERT INTO profesores (id,nivel,carrera,grupo,nombre,materia,sexo,sello) VALUES (1236,'LICENCIATURA','INGENIERIA AEROESPACIAL','AERO 5°B','JIMENEZ ANDALON ENRIQUE','NORMATIVIDAD AERONAUTICA II','MASCULINO',0);</v>
      </c>
    </row>
    <row r="219" spans="1:10" ht="101.5" x14ac:dyDescent="0.35">
      <c r="A219">
        <v>1237</v>
      </c>
      <c r="B219" t="s">
        <v>5</v>
      </c>
      <c r="C219" t="s">
        <v>1731</v>
      </c>
      <c r="D219" t="s">
        <v>1770</v>
      </c>
      <c r="E219" t="s">
        <v>1944</v>
      </c>
      <c r="F219" t="s">
        <v>2143</v>
      </c>
      <c r="G219" t="s">
        <v>2242</v>
      </c>
      <c r="H219">
        <v>0</v>
      </c>
      <c r="I219" s="14" t="str">
        <f t="shared" si="7"/>
        <v>1237,'LICENCIATURA','INGENIERÍA AUTOMOTRIZ','AUTO 5°','PEÑA MARTIN CARLOS AZAEL','NORMATIVIDAD AUTOMOTRIZ','MASCULINO',0</v>
      </c>
      <c r="J219" s="12" t="str">
        <f t="shared" si="6"/>
        <v>INSERT INTO profesores (id,nivel,carrera,grupo,nombre,materia,sexo,sello) VALUES (1237,'LICENCIATURA','INGENIERÍA AUTOMOTRIZ','AUTO 5°','PEÑA MARTIN CARLOS AZAEL','NORMATIVIDAD AUTOMOTRIZ','MASCULINO',0);</v>
      </c>
    </row>
    <row r="220" spans="1:10" ht="101.5" x14ac:dyDescent="0.35">
      <c r="A220">
        <v>1238</v>
      </c>
      <c r="B220" t="s">
        <v>5</v>
      </c>
      <c r="C220" t="s">
        <v>1729</v>
      </c>
      <c r="D220" t="s">
        <v>1759</v>
      </c>
      <c r="E220" t="s">
        <v>1879</v>
      </c>
      <c r="F220" t="s">
        <v>2069</v>
      </c>
      <c r="G220" t="s">
        <v>2242</v>
      </c>
      <c r="H220">
        <v>0</v>
      </c>
      <c r="I220" s="14" t="str">
        <f t="shared" si="7"/>
        <v>1238,'LICENCIATURA','ARQUITECTURA','ARQ 3°','PONCE CUEVAS JUAN','NORMATIVIDAD EN LA ARQUITECTURA','MASCULINO',0</v>
      </c>
      <c r="J220" s="12" t="str">
        <f t="shared" si="6"/>
        <v>INSERT INTO profesores (id,nivel,carrera,grupo,nombre,materia,sexo,sello) VALUES (1238,'LICENCIATURA','ARQUITECTURA','ARQ 3°','PONCE CUEVAS JUAN','NORMATIVIDAD EN LA ARQUITECTURA','MASCULINO',0);</v>
      </c>
    </row>
    <row r="221" spans="1:10" ht="101.5" x14ac:dyDescent="0.35">
      <c r="A221">
        <v>1239</v>
      </c>
      <c r="B221" t="s">
        <v>5</v>
      </c>
      <c r="C221" t="s">
        <v>1723</v>
      </c>
      <c r="D221" t="s">
        <v>1766</v>
      </c>
      <c r="E221" t="s">
        <v>1951</v>
      </c>
      <c r="F221" t="s">
        <v>2154</v>
      </c>
      <c r="G221" t="s">
        <v>2243</v>
      </c>
      <c r="H221">
        <v>0</v>
      </c>
      <c r="I221" s="14" t="str">
        <f t="shared" si="7"/>
        <v>1239,'LICENCIATURA','INGENIERIA CIBERNETICA Y EN SISTEMAS COMPUTACIONALES','CIB 7°','OCHOA FLORES CLAUDIA ELIZABETH','NUBE','FEMENINO',0</v>
      </c>
      <c r="J221" s="12" t="str">
        <f t="shared" si="6"/>
        <v>INSERT INTO profesores (id,nivel,carrera,grupo,nombre,materia,sexo,sello) VALUES (1239,'LICENCIATURA','INGENIERIA CIBERNETICA Y EN SISTEMAS COMPUTACIONALES','CIB 7°','OCHOA FLORES CLAUDIA ELIZABETH','NUBE','FEMENINO',0);</v>
      </c>
    </row>
    <row r="222" spans="1:10" ht="101.5" x14ac:dyDescent="0.35">
      <c r="A222">
        <v>1240</v>
      </c>
      <c r="B222" t="s">
        <v>5</v>
      </c>
      <c r="C222" t="s">
        <v>1724</v>
      </c>
      <c r="D222" t="s">
        <v>1753</v>
      </c>
      <c r="E222" t="s">
        <v>1994</v>
      </c>
      <c r="F222" t="s">
        <v>2211</v>
      </c>
      <c r="G222" t="s">
        <v>2242</v>
      </c>
      <c r="H222">
        <v>0</v>
      </c>
      <c r="I222" s="14" t="str">
        <f t="shared" si="7"/>
        <v>1240,'LICENCIATURA','NUTRICION Y GASTRONOMIA','NUT 7°','PEÑA CAMACHO RODRIGO','NUTRICION CLINICA II','MASCULINO',0</v>
      </c>
      <c r="J222" s="12" t="str">
        <f t="shared" si="6"/>
        <v>INSERT INTO profesores (id,nivel,carrera,grupo,nombre,materia,sexo,sello) VALUES (1240,'LICENCIATURA','NUTRICION Y GASTRONOMIA','NUT 7°','PEÑA CAMACHO RODRIGO','NUTRICION CLINICA II','MASCULINO',0);</v>
      </c>
    </row>
    <row r="223" spans="1:10" ht="101.5" x14ac:dyDescent="0.35">
      <c r="A223">
        <v>1241</v>
      </c>
      <c r="B223" t="s">
        <v>5</v>
      </c>
      <c r="C223" t="s">
        <v>1724</v>
      </c>
      <c r="D223" t="s">
        <v>1747</v>
      </c>
      <c r="E223" t="s">
        <v>1995</v>
      </c>
      <c r="F223" t="s">
        <v>2212</v>
      </c>
      <c r="G223" t="s">
        <v>2243</v>
      </c>
      <c r="H223">
        <v>0</v>
      </c>
      <c r="I223" s="14" t="str">
        <f t="shared" si="7"/>
        <v>1241,'LICENCIATURA','NUTRICION Y GASTRONOMIA','NUT 9°','AGUILAR FLETES LUCILA GORETY','NUTRICION COMUNITARIA','FEMENINO',0</v>
      </c>
      <c r="J223" s="12" t="str">
        <f t="shared" si="6"/>
        <v>INSERT INTO profesores (id,nivel,carrera,grupo,nombre,materia,sexo,sello) VALUES (1241,'LICENCIATURA','NUTRICION Y GASTRONOMIA','NUT 9°','AGUILAR FLETES LUCILA GORETY','NUTRICION COMUNITARIA','FEMENINO',0);</v>
      </c>
    </row>
    <row r="224" spans="1:10" ht="101.5" x14ac:dyDescent="0.35">
      <c r="A224">
        <v>1242</v>
      </c>
      <c r="B224" t="s">
        <v>5</v>
      </c>
      <c r="C224" t="s">
        <v>1724</v>
      </c>
      <c r="D224" t="s">
        <v>1753</v>
      </c>
      <c r="E224" t="s">
        <v>1996</v>
      </c>
      <c r="F224" t="s">
        <v>2213</v>
      </c>
      <c r="G224" t="s">
        <v>2242</v>
      </c>
      <c r="H224">
        <v>0</v>
      </c>
      <c r="I224" s="14" t="str">
        <f t="shared" si="7"/>
        <v>1242,'LICENCIATURA','NUTRICION Y GASTRONOMIA','NUT 7°','BAÑUELOS MAGAÑA JESUS','NUTRICION ENTERAL Y PARENTERAL','MASCULINO',0</v>
      </c>
      <c r="J224" s="12" t="str">
        <f t="shared" si="6"/>
        <v>INSERT INTO profesores (id,nivel,carrera,grupo,nombre,materia,sexo,sello) VALUES (1242,'LICENCIATURA','NUTRICION Y GASTRONOMIA','NUT 7°','BAÑUELOS MAGAÑA JESUS','NUTRICION ENTERAL Y PARENTERAL','MASCULINO',0);</v>
      </c>
    </row>
    <row r="225" spans="1:10" ht="101.5" x14ac:dyDescent="0.35">
      <c r="A225">
        <v>1243</v>
      </c>
      <c r="B225" t="s">
        <v>5</v>
      </c>
      <c r="C225" t="s">
        <v>1724</v>
      </c>
      <c r="D225" t="s">
        <v>1772</v>
      </c>
      <c r="E225" t="s">
        <v>1989</v>
      </c>
      <c r="F225" t="s">
        <v>2214</v>
      </c>
      <c r="G225" t="s">
        <v>2243</v>
      </c>
      <c r="H225">
        <v>0</v>
      </c>
      <c r="I225" s="14" t="str">
        <f t="shared" si="7"/>
        <v>1243,'LICENCIATURA','NUTRICION Y GASTRONOMIA','NUT 3°','GONZALEZ ALVAREZ MARIA TERESA','NUTRICION Y CICLO DE VIDA','FEMENINO',0</v>
      </c>
      <c r="J225" s="12" t="str">
        <f t="shared" si="6"/>
        <v>INSERT INTO profesores (id,nivel,carrera,grupo,nombre,materia,sexo,sello) VALUES (1243,'LICENCIATURA','NUTRICION Y GASTRONOMIA','NUT 3°','GONZALEZ ALVAREZ MARIA TERESA','NUTRICION Y CICLO DE VIDA','FEMENINO',0);</v>
      </c>
    </row>
    <row r="226" spans="1:10" ht="101.5" x14ac:dyDescent="0.35">
      <c r="A226">
        <v>1244</v>
      </c>
      <c r="B226" t="s">
        <v>5</v>
      </c>
      <c r="C226" t="s">
        <v>1725</v>
      </c>
      <c r="D226" t="s">
        <v>1752</v>
      </c>
      <c r="E226" t="s">
        <v>1916</v>
      </c>
      <c r="F226" t="s">
        <v>2118</v>
      </c>
      <c r="G226" t="s">
        <v>2242</v>
      </c>
      <c r="H226">
        <v>0</v>
      </c>
      <c r="I226" s="14" t="str">
        <f t="shared" si="7"/>
        <v>1244,'LICENCIATURA','INGENIERIA AEROESPACIAL','AERO 7°','RODRIGUEZ MIRANDA JOSE BENJAMIN','OPERACION DE VEHICULOS AEREOS NO TRIPULADOS','MASCULINO',0</v>
      </c>
      <c r="J226" s="12" t="str">
        <f t="shared" si="6"/>
        <v>INSERT INTO profesores (id,nivel,carrera,grupo,nombre,materia,sexo,sello) VALUES (1244,'LICENCIATURA','INGENIERIA AEROESPACIAL','AERO 7°','RODRIGUEZ MIRANDA JOSE BENJAMIN','OPERACION DE VEHICULOS AEREOS NO TRIPULADOS','MASCULINO',0);</v>
      </c>
    </row>
    <row r="227" spans="1:10" ht="101.5" x14ac:dyDescent="0.35">
      <c r="A227">
        <v>1245</v>
      </c>
      <c r="B227" t="s">
        <v>5</v>
      </c>
      <c r="C227" t="s">
        <v>1724</v>
      </c>
      <c r="D227" t="s">
        <v>1772</v>
      </c>
      <c r="E227" t="s">
        <v>1988</v>
      </c>
      <c r="F227" t="s">
        <v>2215</v>
      </c>
      <c r="G227" t="s">
        <v>2242</v>
      </c>
      <c r="H227">
        <v>0</v>
      </c>
      <c r="I227" s="14" t="str">
        <f t="shared" si="7"/>
        <v>1245,'LICENCIATURA','NUTRICION Y GASTRONOMIA','NUT 3°','ARTEAGA CARDONA HORACIO','PANADERIA AVANZADA','MASCULINO',0</v>
      </c>
      <c r="J227" s="12" t="str">
        <f t="shared" si="6"/>
        <v>INSERT INTO profesores (id,nivel,carrera,grupo,nombre,materia,sexo,sello) VALUES (1245,'LICENCIATURA','NUTRICION Y GASTRONOMIA','NUT 3°','ARTEAGA CARDONA HORACIO','PANADERIA AVANZADA','MASCULINO',0);</v>
      </c>
    </row>
    <row r="228" spans="1:10" ht="101.5" x14ac:dyDescent="0.35">
      <c r="A228">
        <v>1246</v>
      </c>
      <c r="B228" t="s">
        <v>5</v>
      </c>
      <c r="C228" t="s">
        <v>1730</v>
      </c>
      <c r="D228" t="s">
        <v>1755</v>
      </c>
      <c r="E228" t="s">
        <v>1872</v>
      </c>
      <c r="F228" t="s">
        <v>2040</v>
      </c>
      <c r="G228" t="s">
        <v>2242</v>
      </c>
      <c r="H228">
        <v>0</v>
      </c>
      <c r="I228" s="14" t="str">
        <f t="shared" si="7"/>
        <v>1246,'LICENCIATURA','ANIMACION DIGITAL Y VIDEOJUEGOS','ANIM 7°','RAMIREZ ORNELAS FRANCISCO JAVIER','POSTPRODUCCION Y COMPOSICION I','MASCULINO',0</v>
      </c>
      <c r="J228" s="12" t="str">
        <f t="shared" si="6"/>
        <v>INSERT INTO profesores (id,nivel,carrera,grupo,nombre,materia,sexo,sello) VALUES (1246,'LICENCIATURA','ANIMACION DIGITAL Y VIDEOJUEGOS','ANIM 7°','RAMIREZ ORNELAS FRANCISCO JAVIER','POSTPRODUCCION Y COMPOSICION I','MASCULINO',0);</v>
      </c>
    </row>
    <row r="229" spans="1:10" ht="101.5" x14ac:dyDescent="0.35">
      <c r="A229">
        <v>1247</v>
      </c>
      <c r="B229" t="s">
        <v>5</v>
      </c>
      <c r="C229" t="s">
        <v>1732</v>
      </c>
      <c r="D229" t="s">
        <v>1762</v>
      </c>
      <c r="E229" t="s">
        <v>1899</v>
      </c>
      <c r="F229" t="s">
        <v>2084</v>
      </c>
      <c r="G229" t="s">
        <v>2243</v>
      </c>
      <c r="H229">
        <v>0</v>
      </c>
      <c r="I229" s="14" t="str">
        <f t="shared" si="7"/>
        <v>1247,'LICENCIATURA','DERECHO','DER 9°','ANTOLIN LUNA MARIA DE GUADALUPE','PRAXIOLOGIA JURIDICA','FEMENINO',0</v>
      </c>
      <c r="J229" s="12" t="str">
        <f t="shared" si="6"/>
        <v>INSERT INTO profesores (id,nivel,carrera,grupo,nombre,materia,sexo,sello) VALUES (1247,'LICENCIATURA','DERECHO','DER 9°','ANTOLIN LUNA MARIA DE GUADALUPE','PRAXIOLOGIA JURIDICA','FEMENINO',0);</v>
      </c>
    </row>
    <row r="230" spans="1:10" ht="101.5" x14ac:dyDescent="0.35">
      <c r="A230">
        <v>1248</v>
      </c>
      <c r="B230" t="s">
        <v>5</v>
      </c>
      <c r="C230" t="s">
        <v>1725</v>
      </c>
      <c r="D230" t="s">
        <v>1783</v>
      </c>
      <c r="E230" t="s">
        <v>1929</v>
      </c>
      <c r="F230" t="s">
        <v>2119</v>
      </c>
      <c r="G230" t="s">
        <v>2243</v>
      </c>
      <c r="H230">
        <v>0</v>
      </c>
      <c r="I230" s="14" t="str">
        <f t="shared" si="7"/>
        <v>1248,'LICENCIATURA','INGENIERIA AEROESPACIAL','AERO 1°A','FERRER LOPEZ BERTHA LUCRECIA','PROBABILIDAD Y ESTADÍSTICA','FEMENINO',0</v>
      </c>
      <c r="J230" s="12" t="str">
        <f t="shared" si="6"/>
        <v>INSERT INTO profesores (id,nivel,carrera,grupo,nombre,materia,sexo,sello) VALUES (1248,'LICENCIATURA','INGENIERIA AEROESPACIAL','AERO 1°A','FERRER LOPEZ BERTHA LUCRECIA','PROBABILIDAD Y ESTADÍSTICA','FEMENINO',0);</v>
      </c>
    </row>
    <row r="231" spans="1:10" ht="101.5" x14ac:dyDescent="0.35">
      <c r="A231">
        <v>1249</v>
      </c>
      <c r="B231" t="s">
        <v>5</v>
      </c>
      <c r="C231" t="s">
        <v>1731</v>
      </c>
      <c r="D231" t="s">
        <v>1782</v>
      </c>
      <c r="E231" t="s">
        <v>1858</v>
      </c>
      <c r="F231" t="s">
        <v>2144</v>
      </c>
      <c r="G231" t="s">
        <v>2243</v>
      </c>
      <c r="H231">
        <v>0</v>
      </c>
      <c r="I231" s="14" t="str">
        <f t="shared" si="7"/>
        <v>1249,'LICENCIATURA','INGENIERÍA AUTOMOTRIZ','AUTO 1° A','DE ALBA GONZALEZ JULIETA','PROBABILIDAD Y ESTADISTICA ','FEMENINO',0</v>
      </c>
      <c r="J231" s="12" t="str">
        <f t="shared" si="6"/>
        <v>INSERT INTO profesores (id,nivel,carrera,grupo,nombre,materia,sexo,sello) VALUES (1249,'LICENCIATURA','INGENIERÍA AUTOMOTRIZ','AUTO 1° A','DE ALBA GONZALEZ JULIETA','PROBABILIDAD Y ESTADISTICA ','FEMENINO',0);</v>
      </c>
    </row>
    <row r="232" spans="1:10" ht="101.5" x14ac:dyDescent="0.35">
      <c r="A232">
        <v>1250</v>
      </c>
      <c r="B232" t="s">
        <v>5</v>
      </c>
      <c r="C232" t="s">
        <v>1731</v>
      </c>
      <c r="D232" t="s">
        <v>1773</v>
      </c>
      <c r="E232" t="s">
        <v>1945</v>
      </c>
      <c r="F232" t="s">
        <v>2144</v>
      </c>
      <c r="G232" t="s">
        <v>2242</v>
      </c>
      <c r="H232">
        <v>0</v>
      </c>
      <c r="I232" s="14" t="str">
        <f t="shared" si="7"/>
        <v>1250,'LICENCIATURA','INGENIERÍA AUTOMOTRIZ','AUTO 1° B','SALAZAR PEÑA RODOLFO','PROBABILIDAD Y ESTADISTICA ','MASCULINO',0</v>
      </c>
      <c r="J232" s="12" t="str">
        <f t="shared" si="6"/>
        <v>INSERT INTO profesores (id,nivel,carrera,grupo,nombre,materia,sexo,sello) VALUES (1250,'LICENCIATURA','INGENIERÍA AUTOMOTRIZ','AUTO 1° B','SALAZAR PEÑA RODOLFO','PROBABILIDAD Y ESTADISTICA ','MASCULINO',0);</v>
      </c>
    </row>
    <row r="233" spans="1:10" ht="101.5" x14ac:dyDescent="0.35">
      <c r="A233">
        <v>1251</v>
      </c>
      <c r="B233" t="s">
        <v>5</v>
      </c>
      <c r="C233" t="s">
        <v>1726</v>
      </c>
      <c r="D233" t="s">
        <v>1779</v>
      </c>
      <c r="E233" t="s">
        <v>1905</v>
      </c>
      <c r="F233" t="s">
        <v>2232</v>
      </c>
      <c r="G233" t="s">
        <v>2243</v>
      </c>
      <c r="H233">
        <v>0</v>
      </c>
      <c r="I233" s="14" t="str">
        <f t="shared" si="7"/>
        <v>1251,'LICENCIATURA','PSICOLOGIA','PSI 3°','CORTES VELASCO CLAUDIA PAOLA','PROBLEMAS DE APRENDIZAJE','FEMENINO',0</v>
      </c>
      <c r="J233" s="12" t="str">
        <f t="shared" si="6"/>
        <v>INSERT INTO profesores (id,nivel,carrera,grupo,nombre,materia,sexo,sello) VALUES (1251,'LICENCIATURA','PSICOLOGIA','PSI 3°','CORTES VELASCO CLAUDIA PAOLA','PROBLEMAS DE APRENDIZAJE','FEMENINO',0);</v>
      </c>
    </row>
    <row r="234" spans="1:10" ht="101.5" x14ac:dyDescent="0.35">
      <c r="A234">
        <v>1252</v>
      </c>
      <c r="B234" t="s">
        <v>5</v>
      </c>
      <c r="C234" t="s">
        <v>1723</v>
      </c>
      <c r="D234" t="s">
        <v>1766</v>
      </c>
      <c r="E234" t="s">
        <v>1876</v>
      </c>
      <c r="F234" t="s">
        <v>2155</v>
      </c>
      <c r="G234" t="s">
        <v>2242</v>
      </c>
      <c r="H234">
        <v>0</v>
      </c>
      <c r="I234" s="14" t="str">
        <f t="shared" si="7"/>
        <v>1252,'LICENCIATURA','INGENIERIA CIBERNETICA Y EN SISTEMAS COMPUTACIONALES','CIB 7°','LOPEZ VIDAURRI FERNANDO ABIF','PROCESAMIENTO DIGITAL DE IMAGENES','MASCULINO',0</v>
      </c>
      <c r="J234" s="12" t="str">
        <f t="shared" si="6"/>
        <v>INSERT INTO profesores (id,nivel,carrera,grupo,nombre,materia,sexo,sello) VALUES (1252,'LICENCIATURA','INGENIERIA CIBERNETICA Y EN SISTEMAS COMPUTACIONALES','CIB 7°','LOPEZ VIDAURRI FERNANDO ABIF','PROCESAMIENTO DIGITAL DE IMAGENES','MASCULINO',0);</v>
      </c>
    </row>
    <row r="235" spans="1:10" ht="101.5" x14ac:dyDescent="0.35">
      <c r="A235">
        <v>1253</v>
      </c>
      <c r="B235" t="s">
        <v>5</v>
      </c>
      <c r="C235" t="s">
        <v>1734</v>
      </c>
      <c r="D235" t="s">
        <v>1771</v>
      </c>
      <c r="E235" t="s">
        <v>1876</v>
      </c>
      <c r="F235" t="s">
        <v>2166</v>
      </c>
      <c r="G235" t="s">
        <v>2242</v>
      </c>
      <c r="H235">
        <v>0</v>
      </c>
      <c r="I235" s="14" t="str">
        <f t="shared" si="7"/>
        <v>1253,'LICENCIATURA','INGENIERÍA EN INTELIGENCIA ARTIFICIAL','IA 5°','LOPEZ VIDAURRI FERNANDO ABIF','PROCESAMIENTO DIGITAL DE IMÁGENES','MASCULINO',0</v>
      </c>
      <c r="J235" s="12" t="str">
        <f t="shared" si="6"/>
        <v>INSERT INTO profesores (id,nivel,carrera,grupo,nombre,materia,sexo,sello) VALUES (1253,'LICENCIATURA','INGENIERÍA EN INTELIGENCIA ARTIFICIAL','IA 5°','LOPEZ VIDAURRI FERNANDO ABIF','PROCESAMIENTO DIGITAL DE IMÁGENES','MASCULINO',0);</v>
      </c>
    </row>
    <row r="236" spans="1:10" ht="101.5" x14ac:dyDescent="0.35">
      <c r="A236">
        <v>1254</v>
      </c>
      <c r="B236" t="s">
        <v>5</v>
      </c>
      <c r="C236" t="s">
        <v>1730</v>
      </c>
      <c r="D236" t="s">
        <v>1757</v>
      </c>
      <c r="E236" t="s">
        <v>1873</v>
      </c>
      <c r="F236" t="s">
        <v>2041</v>
      </c>
      <c r="G236" t="s">
        <v>2243</v>
      </c>
      <c r="H236">
        <v>0</v>
      </c>
      <c r="I236" s="14" t="str">
        <f t="shared" si="7"/>
        <v>1254,'LICENCIATURA','ANIMACION DIGITAL Y VIDEOJUEGOS','ANIM 5°','ZAMBRANO LOPEZ ZAIRA MARLENE','PRODUCCION AUDIOVISUAL','FEMENINO',0</v>
      </c>
      <c r="J236" s="12" t="str">
        <f t="shared" si="6"/>
        <v>INSERT INTO profesores (id,nivel,carrera,grupo,nombre,materia,sexo,sello) VALUES (1254,'LICENCIATURA','ANIMACION DIGITAL Y VIDEOJUEGOS','ANIM 5°','ZAMBRANO LOPEZ ZAIRA MARLENE','PRODUCCION AUDIOVISUAL','FEMENINO',0);</v>
      </c>
    </row>
    <row r="237" spans="1:10" ht="101.5" x14ac:dyDescent="0.35">
      <c r="A237">
        <v>1255</v>
      </c>
      <c r="B237" t="s">
        <v>5</v>
      </c>
      <c r="C237" t="s">
        <v>1730</v>
      </c>
      <c r="D237" t="s">
        <v>1757</v>
      </c>
      <c r="E237" t="s">
        <v>1874</v>
      </c>
      <c r="F237" t="s">
        <v>2042</v>
      </c>
      <c r="G237" t="s">
        <v>2242</v>
      </c>
      <c r="H237">
        <v>0</v>
      </c>
      <c r="I237" s="14" t="str">
        <f t="shared" si="7"/>
        <v>1255,'LICENCIATURA','ANIMACION DIGITAL Y VIDEOJUEGOS','ANIM 5°','GOMEZ CANALES ALAM','PRODUCCION DE ANIMACION 2D','MASCULINO',0</v>
      </c>
      <c r="J237" s="12" t="str">
        <f t="shared" si="6"/>
        <v>INSERT INTO profesores (id,nivel,carrera,grupo,nombre,materia,sexo,sello) VALUES (1255,'LICENCIATURA','ANIMACION DIGITAL Y VIDEOJUEGOS','ANIM 5°','GOMEZ CANALES ALAM','PRODUCCION DE ANIMACION 2D','MASCULINO',0);</v>
      </c>
    </row>
    <row r="238" spans="1:10" ht="101.5" x14ac:dyDescent="0.35">
      <c r="A238">
        <v>1256</v>
      </c>
      <c r="B238" t="s">
        <v>5</v>
      </c>
      <c r="C238" t="s">
        <v>1730</v>
      </c>
      <c r="D238" t="s">
        <v>1755</v>
      </c>
      <c r="E238" t="s">
        <v>1871</v>
      </c>
      <c r="F238" t="s">
        <v>2043</v>
      </c>
      <c r="G238" t="s">
        <v>2243</v>
      </c>
      <c r="H238">
        <v>0</v>
      </c>
      <c r="I238" s="14" t="str">
        <f t="shared" si="7"/>
        <v>1256,'LICENCIATURA','ANIMACION DIGITAL Y VIDEOJUEGOS','ANIM 7°','ABREU TEJEDA RAQUEL ABIGAIL','PROGRAMACION','FEMENINO',0</v>
      </c>
      <c r="J238" s="12" t="str">
        <f t="shared" si="6"/>
        <v>INSERT INTO profesores (id,nivel,carrera,grupo,nombre,materia,sexo,sello) VALUES (1256,'LICENCIATURA','ANIMACION DIGITAL Y VIDEOJUEGOS','ANIM 7°','ABREU TEJEDA RAQUEL ABIGAIL','PROGRAMACION','FEMENINO',0);</v>
      </c>
    </row>
    <row r="239" spans="1:10" ht="101.5" x14ac:dyDescent="0.35">
      <c r="A239">
        <v>1257</v>
      </c>
      <c r="B239" t="s">
        <v>5</v>
      </c>
      <c r="C239" t="s">
        <v>1731</v>
      </c>
      <c r="D239" t="s">
        <v>1761</v>
      </c>
      <c r="E239" t="s">
        <v>1946</v>
      </c>
      <c r="F239" t="s">
        <v>2145</v>
      </c>
      <c r="G239" t="s">
        <v>2242</v>
      </c>
      <c r="H239">
        <v>0</v>
      </c>
      <c r="I239" s="14" t="str">
        <f t="shared" si="7"/>
        <v>1257,'LICENCIATURA','INGENIERÍA AUTOMOTRIZ','AUTO 7°','RODRIGUEZ ROBLES MARTIN ONESIMO','PROGRAMACION DE SOFTWARE AUTOMOTRIZ ','MASCULINO',0</v>
      </c>
      <c r="J239" s="12" t="str">
        <f t="shared" si="6"/>
        <v>INSERT INTO profesores (id,nivel,carrera,grupo,nombre,materia,sexo,sello) VALUES (1257,'LICENCIATURA','INGENIERÍA AUTOMOTRIZ','AUTO 7°','RODRIGUEZ ROBLES MARTIN ONESIMO','PROGRAMACION DE SOFTWARE AUTOMOTRIZ ','MASCULINO',0);</v>
      </c>
    </row>
    <row r="240" spans="1:10" ht="101.5" x14ac:dyDescent="0.35">
      <c r="A240">
        <v>1258</v>
      </c>
      <c r="B240" t="s">
        <v>5</v>
      </c>
      <c r="C240" t="s">
        <v>1734</v>
      </c>
      <c r="D240" t="s">
        <v>1780</v>
      </c>
      <c r="E240" t="s">
        <v>1958</v>
      </c>
      <c r="F240" t="s">
        <v>2167</v>
      </c>
      <c r="G240" t="s">
        <v>2243</v>
      </c>
      <c r="H240">
        <v>0</v>
      </c>
      <c r="I240" s="14" t="str">
        <f t="shared" si="7"/>
        <v>1258,'LICENCIATURA','INGENIERÍA EN INTELIGENCIA ARTIFICIAL','IA 3°','BARUCH MORALES MARTHA IXCHEL','PROGRAMACIÓN MULTIPARADIGMA ','FEMENINO',0</v>
      </c>
      <c r="J240" s="12" t="str">
        <f t="shared" si="6"/>
        <v>INSERT INTO profesores (id,nivel,carrera,grupo,nombre,materia,sexo,sello) VALUES (1258,'LICENCIATURA','INGENIERÍA EN INTELIGENCIA ARTIFICIAL','IA 3°','BARUCH MORALES MARTHA IXCHEL','PROGRAMACIÓN MULTIPARADIGMA ','FEMENINO',0);</v>
      </c>
    </row>
    <row r="241" spans="1:10" ht="101.5" x14ac:dyDescent="0.35">
      <c r="A241">
        <v>1259</v>
      </c>
      <c r="B241" t="s">
        <v>5</v>
      </c>
      <c r="C241" t="s">
        <v>1723</v>
      </c>
      <c r="D241" t="s">
        <v>1766</v>
      </c>
      <c r="E241" t="s">
        <v>1952</v>
      </c>
      <c r="F241" t="s">
        <v>2156</v>
      </c>
      <c r="G241" t="s">
        <v>2242</v>
      </c>
      <c r="H241">
        <v>0</v>
      </c>
      <c r="I241" s="14" t="str">
        <f t="shared" si="7"/>
        <v>1259,'LICENCIATURA','INGENIERIA CIBERNETICA Y EN SISTEMAS COMPUTACIONALES','CIB 7°','VELAZQUEZ SANTOS ALFREDO DE JESUS','PROTOCOLOS DE COMUNICACION','MASCULINO',0</v>
      </c>
      <c r="J241" s="12" t="str">
        <f t="shared" si="6"/>
        <v>INSERT INTO profesores (id,nivel,carrera,grupo,nombre,materia,sexo,sello) VALUES (1259,'LICENCIATURA','INGENIERIA CIBERNETICA Y EN SISTEMAS COMPUTACIONALES','CIB 7°','VELAZQUEZ SANTOS ALFREDO DE JESUS','PROTOCOLOS DE COMUNICACION','MASCULINO',0);</v>
      </c>
    </row>
    <row r="242" spans="1:10" ht="101.5" x14ac:dyDescent="0.35">
      <c r="A242">
        <v>1260</v>
      </c>
      <c r="B242" t="s">
        <v>5</v>
      </c>
      <c r="C242" t="s">
        <v>1734</v>
      </c>
      <c r="D242" t="s">
        <v>1765</v>
      </c>
      <c r="E242" t="s">
        <v>1946</v>
      </c>
      <c r="F242" t="s">
        <v>2168</v>
      </c>
      <c r="G242" t="s">
        <v>2242</v>
      </c>
      <c r="H242">
        <v>0</v>
      </c>
      <c r="I242" s="14" t="str">
        <f t="shared" si="7"/>
        <v>1260,'LICENCIATURA','INGENIERÍA EN INTELIGENCIA ARTIFICIAL','IA 7°','RODRIGUEZ ROBLES MARTIN ONESIMO','PROYECTO TERMINAL I','MASCULINO',0</v>
      </c>
      <c r="J242" s="12" t="str">
        <f t="shared" si="6"/>
        <v>INSERT INTO profesores (id,nivel,carrera,grupo,nombre,materia,sexo,sello) VALUES (1260,'LICENCIATURA','INGENIERÍA EN INTELIGENCIA ARTIFICIAL','IA 7°','RODRIGUEZ ROBLES MARTIN ONESIMO','PROYECTO TERMINAL I','MASCULINO',0);</v>
      </c>
    </row>
    <row r="243" spans="1:10" ht="101.5" x14ac:dyDescent="0.35">
      <c r="A243">
        <v>1261</v>
      </c>
      <c r="B243" t="s">
        <v>5</v>
      </c>
      <c r="C243" t="s">
        <v>1726</v>
      </c>
      <c r="D243" t="s">
        <v>1779</v>
      </c>
      <c r="E243" t="s">
        <v>1965</v>
      </c>
      <c r="F243" t="s">
        <v>2233</v>
      </c>
      <c r="G243" t="s">
        <v>2243</v>
      </c>
      <c r="H243">
        <v>0</v>
      </c>
      <c r="I243" s="14" t="str">
        <f t="shared" si="7"/>
        <v>1261,'LICENCIATURA','PSICOLOGIA','PSI 3°','SALCEDO ROSALES ERIKA IVETTE','PRUEBAS PSICOMETRICAS','FEMENINO',0</v>
      </c>
      <c r="J243" s="12" t="str">
        <f t="shared" si="6"/>
        <v>INSERT INTO profesores (id,nivel,carrera,grupo,nombre,materia,sexo,sello) VALUES (1261,'LICENCIATURA','PSICOLOGIA','PSI 3°','SALCEDO ROSALES ERIKA IVETTE','PRUEBAS PSICOMETRICAS','FEMENINO',0);</v>
      </c>
    </row>
    <row r="244" spans="1:10" ht="101.5" x14ac:dyDescent="0.35">
      <c r="A244">
        <v>1262</v>
      </c>
      <c r="B244" t="s">
        <v>5</v>
      </c>
      <c r="C244" t="s">
        <v>1726</v>
      </c>
      <c r="D244" t="s">
        <v>1779</v>
      </c>
      <c r="E244" t="s">
        <v>2006</v>
      </c>
      <c r="F244" t="s">
        <v>2234</v>
      </c>
      <c r="G244" t="s">
        <v>2242</v>
      </c>
      <c r="H244">
        <v>0</v>
      </c>
      <c r="I244" s="14" t="str">
        <f t="shared" si="7"/>
        <v>1262,'LICENCIATURA','PSICOLOGIA','PSI 3°','BARRERA SANCHEZ IAN ALEJANDRO','PSICOLOGIA DEL ADULTO','MASCULINO',0</v>
      </c>
      <c r="J244" s="12" t="str">
        <f t="shared" si="6"/>
        <v>INSERT INTO profesores (id,nivel,carrera,grupo,nombre,materia,sexo,sello) VALUES (1262,'LICENCIATURA','PSICOLOGIA','PSI 3°','BARRERA SANCHEZ IAN ALEJANDRO','PSICOLOGIA DEL ADULTO','MASCULINO',0);</v>
      </c>
    </row>
    <row r="245" spans="1:10" ht="101.5" x14ac:dyDescent="0.35">
      <c r="A245">
        <v>1263</v>
      </c>
      <c r="B245" t="s">
        <v>5</v>
      </c>
      <c r="C245" t="s">
        <v>1726</v>
      </c>
      <c r="D245" t="s">
        <v>1764</v>
      </c>
      <c r="E245" t="s">
        <v>2007</v>
      </c>
      <c r="F245" t="s">
        <v>2235</v>
      </c>
      <c r="G245" t="s">
        <v>2242</v>
      </c>
      <c r="H245">
        <v>0</v>
      </c>
      <c r="I245" s="14" t="str">
        <f t="shared" si="7"/>
        <v>1263,'LICENCIATURA','PSICOLOGIA','PSI 7°','ZEPEDA  GOMEZ MANUEL GUSTAVO','PSICOLOGIA DEL DEPORTE','MASCULINO',0</v>
      </c>
      <c r="J245" s="12" t="str">
        <f t="shared" si="6"/>
        <v>INSERT INTO profesores (id,nivel,carrera,grupo,nombre,materia,sexo,sello) VALUES (1263,'LICENCIATURA','PSICOLOGIA','PSI 7°','ZEPEDA  GOMEZ MANUEL GUSTAVO','PSICOLOGIA DEL DEPORTE','MASCULINO',0);</v>
      </c>
    </row>
    <row r="246" spans="1:10" ht="101.5" x14ac:dyDescent="0.35">
      <c r="A246">
        <v>1264</v>
      </c>
      <c r="B246" t="s">
        <v>5</v>
      </c>
      <c r="C246" t="s">
        <v>1726</v>
      </c>
      <c r="D246" t="s">
        <v>1784</v>
      </c>
      <c r="E246" t="s">
        <v>2003</v>
      </c>
      <c r="F246" t="s">
        <v>2236</v>
      </c>
      <c r="G246" t="s">
        <v>2242</v>
      </c>
      <c r="H246">
        <v>0</v>
      </c>
      <c r="I246" s="14" t="str">
        <f t="shared" si="7"/>
        <v>1264,'LICENCIATURA','PSICOLOGIA','PSI 1°','HERRERA ARAGON DAVID','PSICOLOGIA GENERAL','MASCULINO',0</v>
      </c>
      <c r="J246" s="12" t="str">
        <f t="shared" si="6"/>
        <v>INSERT INTO profesores (id,nivel,carrera,grupo,nombre,materia,sexo,sello) VALUES (1264,'LICENCIATURA','PSICOLOGIA','PSI 1°','HERRERA ARAGON DAVID','PSICOLOGIA GENERAL','MASCULINO',0);</v>
      </c>
    </row>
    <row r="247" spans="1:10" ht="101.5" x14ac:dyDescent="0.35">
      <c r="A247">
        <v>1265</v>
      </c>
      <c r="B247" t="s">
        <v>5</v>
      </c>
      <c r="C247" t="s">
        <v>1726</v>
      </c>
      <c r="D247" t="s">
        <v>1784</v>
      </c>
      <c r="E247" t="s">
        <v>2008</v>
      </c>
      <c r="F247" t="s">
        <v>2237</v>
      </c>
      <c r="G247" t="s">
        <v>2243</v>
      </c>
      <c r="H247">
        <v>0</v>
      </c>
      <c r="I247" s="14" t="str">
        <f t="shared" si="7"/>
        <v>1265,'LICENCIATURA','PSICOLOGIA','PSI 1°','PEREZ CAMACHO MONSERRAT MARLEM','PSICOLOGIA NEONATAL','FEMENINO',0</v>
      </c>
      <c r="J247" s="12" t="str">
        <f t="shared" si="6"/>
        <v>INSERT INTO profesores (id,nivel,carrera,grupo,nombre,materia,sexo,sello) VALUES (1265,'LICENCIATURA','PSICOLOGIA','PSI 1°','PEREZ CAMACHO MONSERRAT MARLEM','PSICOLOGIA NEONATAL','FEMENINO',0);</v>
      </c>
    </row>
    <row r="248" spans="1:10" ht="101.5" x14ac:dyDescent="0.35">
      <c r="A248">
        <v>1266</v>
      </c>
      <c r="B248" t="s">
        <v>5</v>
      </c>
      <c r="C248" t="s">
        <v>1726</v>
      </c>
      <c r="D248" t="s">
        <v>1749</v>
      </c>
      <c r="E248" t="s">
        <v>2009</v>
      </c>
      <c r="F248" t="s">
        <v>2238</v>
      </c>
      <c r="G248" t="s">
        <v>2243</v>
      </c>
      <c r="H248">
        <v>0</v>
      </c>
      <c r="I248" s="14" t="str">
        <f t="shared" si="7"/>
        <v>1266,'LICENCIATURA','PSICOLOGIA','PSI 5°','VALERIO PRIETO ERIKA','PSICOLOGIA ORGANIZACIONAL','FEMENINO',0</v>
      </c>
      <c r="J248" s="12" t="str">
        <f t="shared" si="6"/>
        <v>INSERT INTO profesores (id,nivel,carrera,grupo,nombre,materia,sexo,sello) VALUES (1266,'LICENCIATURA','PSICOLOGIA','PSI 5°','VALERIO PRIETO ERIKA','PSICOLOGIA ORGANIZACIONAL','FEMENINO',0);</v>
      </c>
    </row>
    <row r="249" spans="1:10" ht="101.5" x14ac:dyDescent="0.35">
      <c r="A249">
        <v>1267</v>
      </c>
      <c r="B249" t="s">
        <v>5</v>
      </c>
      <c r="C249" t="s">
        <v>1725</v>
      </c>
      <c r="D249" t="s">
        <v>1783</v>
      </c>
      <c r="E249" t="s">
        <v>1919</v>
      </c>
      <c r="F249" t="s">
        <v>2120</v>
      </c>
      <c r="G249" t="s">
        <v>2242</v>
      </c>
      <c r="H249">
        <v>0</v>
      </c>
      <c r="I249" s="14" t="str">
        <f t="shared" si="7"/>
        <v>1267,'LICENCIATURA','INGENIERIA AEROESPACIAL','AERO 1°A','MEDEL JUAREZ VICTOR MANUEL','QUÍMICA GENERAL','MASCULINO',0</v>
      </c>
      <c r="J249" s="12" t="str">
        <f t="shared" si="6"/>
        <v>INSERT INTO profesores (id,nivel,carrera,grupo,nombre,materia,sexo,sello) VALUES (1267,'LICENCIATURA','INGENIERIA AEROESPACIAL','AERO 1°A','MEDEL JUAREZ VICTOR MANUEL','QUÍMICA GENERAL','MASCULINO',0);</v>
      </c>
    </row>
    <row r="250" spans="1:10" ht="101.5" x14ac:dyDescent="0.35">
      <c r="A250">
        <v>1268</v>
      </c>
      <c r="B250" t="s">
        <v>5</v>
      </c>
      <c r="C250" t="s">
        <v>1723</v>
      </c>
      <c r="D250" t="s">
        <v>1746</v>
      </c>
      <c r="E250" t="s">
        <v>1953</v>
      </c>
      <c r="F250" t="s">
        <v>2157</v>
      </c>
      <c r="G250" t="s">
        <v>2242</v>
      </c>
      <c r="H250">
        <v>0</v>
      </c>
      <c r="I250" s="14" t="str">
        <f t="shared" si="7"/>
        <v>1268,'LICENCIATURA','INGENIERIA CIBERNETICA Y EN SISTEMAS COMPUTACIONALES','CIB 9°','VIÑAS TELLO LUCIANO SI-CHEN','REDES DE COMPUTADORAS','MASCULINO',0</v>
      </c>
      <c r="J250" s="12" t="str">
        <f t="shared" si="6"/>
        <v>INSERT INTO profesores (id,nivel,carrera,grupo,nombre,materia,sexo,sello) VALUES (1268,'LICENCIATURA','INGENIERIA CIBERNETICA Y EN SISTEMAS COMPUTACIONALES','CIB 9°','VIÑAS TELLO LUCIANO SI-CHEN','REDES DE COMPUTADORAS','MASCULINO',0);</v>
      </c>
    </row>
    <row r="251" spans="1:10" ht="101.5" x14ac:dyDescent="0.35">
      <c r="A251">
        <v>1269</v>
      </c>
      <c r="B251" t="s">
        <v>5</v>
      </c>
      <c r="C251" t="s">
        <v>1724</v>
      </c>
      <c r="D251" t="s">
        <v>1753</v>
      </c>
      <c r="E251" t="s">
        <v>1997</v>
      </c>
      <c r="F251" t="s">
        <v>2216</v>
      </c>
      <c r="G251" t="s">
        <v>2243</v>
      </c>
      <c r="H251">
        <v>0</v>
      </c>
      <c r="I251" s="14" t="str">
        <f t="shared" si="7"/>
        <v>1269,'LICENCIATURA','NUTRICION Y GASTRONOMIA','NUT 7°','PONCE SAAVEDRA ERIKA ALICIA','REPOSTERIA AVANZADA','FEMENINO',0</v>
      </c>
      <c r="J251" s="12" t="str">
        <f t="shared" si="6"/>
        <v>INSERT INTO profesores (id,nivel,carrera,grupo,nombre,materia,sexo,sello) VALUES (1269,'LICENCIATURA','NUTRICION Y GASTRONOMIA','NUT 7°','PONCE SAAVEDRA ERIKA ALICIA','REPOSTERIA AVANZADA','FEMENINO',0);</v>
      </c>
    </row>
    <row r="252" spans="1:10" ht="101.5" x14ac:dyDescent="0.35">
      <c r="A252">
        <v>1270</v>
      </c>
      <c r="B252" t="s">
        <v>5</v>
      </c>
      <c r="C252" t="s">
        <v>1729</v>
      </c>
      <c r="D252" t="s">
        <v>1760</v>
      </c>
      <c r="E252" t="s">
        <v>1887</v>
      </c>
      <c r="F252" t="s">
        <v>2070</v>
      </c>
      <c r="G252" t="s">
        <v>2242</v>
      </c>
      <c r="H252">
        <v>0</v>
      </c>
      <c r="I252" s="14" t="str">
        <f t="shared" si="7"/>
        <v>1270,'LICENCIATURA','ARQUITECTURA','ARQ 1°','SANCHEZ MUÑOZ JOSE JORGE','REPRESENTACIÓN ARQUITECTÓNICA','MASCULINO',0</v>
      </c>
      <c r="J252" s="12" t="str">
        <f t="shared" si="6"/>
        <v>INSERT INTO profesores (id,nivel,carrera,grupo,nombre,materia,sexo,sello) VALUES (1270,'LICENCIATURA','ARQUITECTURA','ARQ 1°','SANCHEZ MUÑOZ JOSE JORGE','REPRESENTACIÓN ARQUITECTÓNICA','MASCULINO',0);</v>
      </c>
    </row>
    <row r="253" spans="1:10" ht="101.5" x14ac:dyDescent="0.35">
      <c r="A253">
        <v>1271</v>
      </c>
      <c r="B253" t="s">
        <v>5</v>
      </c>
      <c r="C253" t="s">
        <v>1729</v>
      </c>
      <c r="D253" t="s">
        <v>1754</v>
      </c>
      <c r="E253" t="s">
        <v>1891</v>
      </c>
      <c r="F253" t="s">
        <v>2071</v>
      </c>
      <c r="G253" t="s">
        <v>2242</v>
      </c>
      <c r="H253">
        <v>0</v>
      </c>
      <c r="I253" s="14" t="str">
        <f t="shared" si="7"/>
        <v>1271,'LICENCIATURA','ARQUITECTURA','ARQ 7°','RUIZ NAVARRETE DIEGO','REPRESENTACION GRAFICA VIRTUAL','MASCULINO',0</v>
      </c>
      <c r="J253" s="12" t="str">
        <f t="shared" si="6"/>
        <v>INSERT INTO profesores (id,nivel,carrera,grupo,nombre,materia,sexo,sello) VALUES (1271,'LICENCIATURA','ARQUITECTURA','ARQ 7°','RUIZ NAVARRETE DIEGO','REPRESENTACION GRAFICA VIRTUAL','MASCULINO',0);</v>
      </c>
    </row>
    <row r="254" spans="1:10" ht="101.5" x14ac:dyDescent="0.35">
      <c r="A254">
        <v>1272</v>
      </c>
      <c r="B254" t="s">
        <v>5</v>
      </c>
      <c r="C254" t="s">
        <v>1734</v>
      </c>
      <c r="D254" t="s">
        <v>1780</v>
      </c>
      <c r="E254" t="s">
        <v>1858</v>
      </c>
      <c r="F254" t="s">
        <v>2169</v>
      </c>
      <c r="G254" t="s">
        <v>2243</v>
      </c>
      <c r="H254">
        <v>0</v>
      </c>
      <c r="I254" s="14" t="str">
        <f t="shared" si="7"/>
        <v>1272,'LICENCIATURA','INGENIERÍA EN INTELIGENCIA ARTIFICIAL','IA 3°','DE ALBA GONZALEZ JULIETA','RESOLUCIÓN DE PROBLEMAS ','FEMENINO',0</v>
      </c>
      <c r="J254" s="12" t="str">
        <f t="shared" si="6"/>
        <v>INSERT INTO profesores (id,nivel,carrera,grupo,nombre,materia,sexo,sello) VALUES (1272,'LICENCIATURA','INGENIERÍA EN INTELIGENCIA ARTIFICIAL','IA 3°','DE ALBA GONZALEZ JULIETA','RESOLUCIÓN DE PROBLEMAS ','FEMENINO',0);</v>
      </c>
    </row>
    <row r="255" spans="1:10" ht="101.5" x14ac:dyDescent="0.35">
      <c r="A255">
        <v>1273</v>
      </c>
      <c r="B255" t="s">
        <v>5</v>
      </c>
      <c r="C255" t="s">
        <v>1734</v>
      </c>
      <c r="D255" t="s">
        <v>1765</v>
      </c>
      <c r="E255" t="s">
        <v>1959</v>
      </c>
      <c r="F255" t="s">
        <v>2170</v>
      </c>
      <c r="G255" t="s">
        <v>2242</v>
      </c>
      <c r="H255">
        <v>0</v>
      </c>
      <c r="I255" s="14" t="str">
        <f t="shared" si="7"/>
        <v>1273,'LICENCIATURA','INGENIERÍA EN INTELIGENCIA ARTIFICIAL','IA 7°','MORENO QUEZADA JOSE ALBERTO','ROBÓTICA','MASCULINO',0</v>
      </c>
      <c r="J255" s="12" t="str">
        <f t="shared" si="6"/>
        <v>INSERT INTO profesores (id,nivel,carrera,grupo,nombre,materia,sexo,sello) VALUES (1273,'LICENCIATURA','INGENIERÍA EN INTELIGENCIA ARTIFICIAL','IA 7°','MORENO QUEZADA JOSE ALBERTO','ROBÓTICA','MASCULINO',0);</v>
      </c>
    </row>
    <row r="256" spans="1:10" ht="101.5" x14ac:dyDescent="0.35">
      <c r="A256">
        <v>1274</v>
      </c>
      <c r="B256" t="s">
        <v>5</v>
      </c>
      <c r="C256" t="s">
        <v>1729</v>
      </c>
      <c r="D256" t="s">
        <v>1760</v>
      </c>
      <c r="E256" t="s">
        <v>1892</v>
      </c>
      <c r="F256" t="s">
        <v>2072</v>
      </c>
      <c r="G256" t="s">
        <v>2243</v>
      </c>
      <c r="H256">
        <v>0</v>
      </c>
      <c r="I256" s="14" t="str">
        <f t="shared" si="7"/>
        <v>1274,'LICENCIATURA','ARQUITECTURA','ARQ 1°','MARTINEZ GOMEZ LETICIA','SEMIÓTICA Y CONCEPTUALIZACIÓN','FEMENINO',0</v>
      </c>
      <c r="J256" s="12" t="str">
        <f t="shared" si="6"/>
        <v>INSERT INTO profesores (id,nivel,carrera,grupo,nombre,materia,sexo,sello) VALUES (1274,'LICENCIATURA','ARQUITECTURA','ARQ 1°','MARTINEZ GOMEZ LETICIA','SEMIÓTICA Y CONCEPTUALIZACIÓN','FEMENINO',0);</v>
      </c>
    </row>
    <row r="257" spans="1:10" ht="101.5" x14ac:dyDescent="0.35">
      <c r="A257">
        <v>1275</v>
      </c>
      <c r="B257" t="s">
        <v>5</v>
      </c>
      <c r="C257" t="s">
        <v>1724</v>
      </c>
      <c r="D257" t="s">
        <v>1756</v>
      </c>
      <c r="E257" t="s">
        <v>1987</v>
      </c>
      <c r="F257" t="s">
        <v>2217</v>
      </c>
      <c r="G257" t="s">
        <v>2243</v>
      </c>
      <c r="H257">
        <v>0</v>
      </c>
      <c r="I257" s="14" t="str">
        <f t="shared" si="7"/>
        <v>1275,'LICENCIATURA','NUTRICION Y GASTRONOMIA','NUT 5°','RIVAS RODRIGUEZ LAURA','SERVICIOS DE ALIMENTOS','FEMENINO',0</v>
      </c>
      <c r="J257" s="12" t="str">
        <f t="shared" si="6"/>
        <v>INSERT INTO profesores (id,nivel,carrera,grupo,nombre,materia,sexo,sello) VALUES (1275,'LICENCIATURA','NUTRICION Y GASTRONOMIA','NUT 5°','RIVAS RODRIGUEZ LAURA','SERVICIOS DE ALIMENTOS','FEMENINO',0);</v>
      </c>
    </row>
    <row r="258" spans="1:10" ht="101.5" x14ac:dyDescent="0.35">
      <c r="A258">
        <v>1276</v>
      </c>
      <c r="B258" t="s">
        <v>5</v>
      </c>
      <c r="C258" t="s">
        <v>1725</v>
      </c>
      <c r="D258" t="s">
        <v>1752</v>
      </c>
      <c r="E258" t="s">
        <v>1924</v>
      </c>
      <c r="F258" t="s">
        <v>2121</v>
      </c>
      <c r="G258" t="s">
        <v>2242</v>
      </c>
      <c r="H258">
        <v>0</v>
      </c>
      <c r="I258" s="14" t="str">
        <f t="shared" si="7"/>
        <v>1276,'LICENCIATURA','INGENIERIA AEROESPACIAL','AERO 7°','RODRIGUEZ CABRERA JUAN JOSE','SISTEMAS DE AERONAVES II','MASCULINO',0</v>
      </c>
      <c r="J258" s="12" t="str">
        <f t="shared" ref="J258:J295" si="8">CONCATENATE($I$1,I258,");")</f>
        <v>INSERT INTO profesores (id,nivel,carrera,grupo,nombre,materia,sexo,sello) VALUES (1276,'LICENCIATURA','INGENIERIA AEROESPACIAL','AERO 7°','RODRIGUEZ CABRERA JUAN JOSE','SISTEMAS DE AERONAVES II','MASCULINO',0);</v>
      </c>
    </row>
    <row r="259" spans="1:10" ht="101.5" x14ac:dyDescent="0.35">
      <c r="A259">
        <v>1277</v>
      </c>
      <c r="B259" t="s">
        <v>5</v>
      </c>
      <c r="C259" t="s">
        <v>1725</v>
      </c>
      <c r="D259" t="s">
        <v>1752</v>
      </c>
      <c r="E259" t="s">
        <v>1930</v>
      </c>
      <c r="F259" t="s">
        <v>2122</v>
      </c>
      <c r="G259" t="s">
        <v>2242</v>
      </c>
      <c r="H259">
        <v>0</v>
      </c>
      <c r="I259" s="14" t="str">
        <f t="shared" ref="I259:I295" si="9">CONCATENATE(A259,",'",B259,"','",C259,"','",D259,"','",E259,"','",F259,"','",G259,"',",H259)</f>
        <v>1277,'LICENCIATURA','INGENIERIA AEROESPACIAL','AERO 7°','HERNANDEZ ARRAMBIDE OSWALDO','SISTEMAS DE NAVEGACION','MASCULINO',0</v>
      </c>
      <c r="J259" s="12" t="str">
        <f t="shared" si="8"/>
        <v>INSERT INTO profesores (id,nivel,carrera,grupo,nombre,materia,sexo,sello) VALUES (1277,'LICENCIATURA','INGENIERIA AEROESPACIAL','AERO 7°','HERNANDEZ ARRAMBIDE OSWALDO','SISTEMAS DE NAVEGACION','MASCULINO',0);</v>
      </c>
    </row>
    <row r="260" spans="1:10" ht="101.5" x14ac:dyDescent="0.35">
      <c r="A260">
        <v>1278</v>
      </c>
      <c r="B260" t="s">
        <v>5</v>
      </c>
      <c r="C260" t="s">
        <v>1731</v>
      </c>
      <c r="D260" t="s">
        <v>1770</v>
      </c>
      <c r="E260" t="s">
        <v>1943</v>
      </c>
      <c r="F260" t="s">
        <v>2146</v>
      </c>
      <c r="G260" t="s">
        <v>2242</v>
      </c>
      <c r="H260">
        <v>0</v>
      </c>
      <c r="I260" s="14" t="str">
        <f t="shared" si="9"/>
        <v>1278,'LICENCIATURA','INGENIERÍA AUTOMOTRIZ','AUTO 5°','PARRA ALDRETE JOSE LUIS','SISTEMAS DE TRANSMISIÓN DE POTENCIA','MASCULINO',0</v>
      </c>
      <c r="J260" s="12" t="str">
        <f t="shared" si="8"/>
        <v>INSERT INTO profesores (id,nivel,carrera,grupo,nombre,materia,sexo,sello) VALUES (1278,'LICENCIATURA','INGENIERÍA AUTOMOTRIZ','AUTO 5°','PARRA ALDRETE JOSE LUIS','SISTEMAS DE TRANSMISIÓN DE POTENCIA','MASCULINO',0);</v>
      </c>
    </row>
    <row r="261" spans="1:10" ht="101.5" x14ac:dyDescent="0.35">
      <c r="A261">
        <v>1279</v>
      </c>
      <c r="B261" t="s">
        <v>5</v>
      </c>
      <c r="C261" t="s">
        <v>1731</v>
      </c>
      <c r="D261" t="s">
        <v>1761</v>
      </c>
      <c r="E261" t="s">
        <v>1947</v>
      </c>
      <c r="F261" t="s">
        <v>2147</v>
      </c>
      <c r="G261" t="s">
        <v>2242</v>
      </c>
      <c r="H261">
        <v>0</v>
      </c>
      <c r="I261" s="14" t="str">
        <f t="shared" si="9"/>
        <v>1279,'LICENCIATURA','INGENIERÍA AUTOMOTRIZ','AUTO 7°','SANTACRUZ MOTTE MARCO ANTONIO ','SISTEMAS ELÉCTRICOS AUTOMOTRICES ','MASCULINO',0</v>
      </c>
      <c r="J261" s="12" t="str">
        <f t="shared" si="8"/>
        <v>INSERT INTO profesores (id,nivel,carrera,grupo,nombre,materia,sexo,sello) VALUES (1279,'LICENCIATURA','INGENIERÍA AUTOMOTRIZ','AUTO 7°','SANTACRUZ MOTTE MARCO ANTONIO ','SISTEMAS ELÉCTRICOS AUTOMOTRICES ','MASCULINO',0);</v>
      </c>
    </row>
    <row r="262" spans="1:10" ht="101.5" x14ac:dyDescent="0.35">
      <c r="A262">
        <v>1280</v>
      </c>
      <c r="B262" t="s">
        <v>5</v>
      </c>
      <c r="C262" t="s">
        <v>1725</v>
      </c>
      <c r="D262" t="s">
        <v>1767</v>
      </c>
      <c r="E262" t="s">
        <v>1931</v>
      </c>
      <c r="F262" t="s">
        <v>2123</v>
      </c>
      <c r="G262" t="s">
        <v>2242</v>
      </c>
      <c r="H262">
        <v>0</v>
      </c>
      <c r="I262" s="14" t="str">
        <f t="shared" si="9"/>
        <v>1280,'LICENCIATURA','INGENIERIA AEROESPACIAL','AERO 5°A','MONTAÑO ALVIZO JUAN CARLOS','SISTEMAS ELECTRONICOS DE COMUNICACIONES','MASCULINO',0</v>
      </c>
      <c r="J262" s="12" t="str">
        <f t="shared" si="8"/>
        <v>INSERT INTO profesores (id,nivel,carrera,grupo,nombre,materia,sexo,sello) VALUES (1280,'LICENCIATURA','INGENIERIA AEROESPACIAL','AERO 5°A','MONTAÑO ALVIZO JUAN CARLOS','SISTEMAS ELECTRONICOS DE COMUNICACIONES','MASCULINO',0);</v>
      </c>
    </row>
    <row r="263" spans="1:10" ht="101.5" x14ac:dyDescent="0.35">
      <c r="A263">
        <v>1281</v>
      </c>
      <c r="B263" t="s">
        <v>5</v>
      </c>
      <c r="C263" t="s">
        <v>1725</v>
      </c>
      <c r="D263" t="s">
        <v>1769</v>
      </c>
      <c r="E263" t="s">
        <v>1931</v>
      </c>
      <c r="F263" t="s">
        <v>2123</v>
      </c>
      <c r="G263" t="s">
        <v>2242</v>
      </c>
      <c r="H263">
        <v>0</v>
      </c>
      <c r="I263" s="14" t="str">
        <f t="shared" si="9"/>
        <v>1281,'LICENCIATURA','INGENIERIA AEROESPACIAL','AERO 5°B','MONTAÑO ALVIZO JUAN CARLOS','SISTEMAS ELECTRONICOS DE COMUNICACIONES','MASCULINO',0</v>
      </c>
      <c r="J263" s="12" t="str">
        <f t="shared" si="8"/>
        <v>INSERT INTO profesores (id,nivel,carrera,grupo,nombre,materia,sexo,sello) VALUES (1281,'LICENCIATURA','INGENIERIA AEROESPACIAL','AERO 5°B','MONTAÑO ALVIZO JUAN CARLOS','SISTEMAS ELECTRONICOS DE COMUNICACIONES','MASCULINO',0);</v>
      </c>
    </row>
    <row r="264" spans="1:10" ht="101.5" x14ac:dyDescent="0.35">
      <c r="A264">
        <v>1282</v>
      </c>
      <c r="B264" t="s">
        <v>5</v>
      </c>
      <c r="C264" t="s">
        <v>1734</v>
      </c>
      <c r="D264" t="s">
        <v>1765</v>
      </c>
      <c r="E264" t="s">
        <v>1950</v>
      </c>
      <c r="F264" t="s">
        <v>2171</v>
      </c>
      <c r="G264" t="s">
        <v>2242</v>
      </c>
      <c r="H264">
        <v>0</v>
      </c>
      <c r="I264" s="14" t="str">
        <f t="shared" si="9"/>
        <v>1282,'LICENCIATURA','INGENIERÍA EN INTELIGENCIA ARTIFICIAL','IA 7°','MAGAÑA SANCHEZ SALVADOR','SISTEMAS EXPERTOS ','MASCULINO',0</v>
      </c>
      <c r="J264" s="12" t="str">
        <f t="shared" si="8"/>
        <v>INSERT INTO profesores (id,nivel,carrera,grupo,nombre,materia,sexo,sello) VALUES (1282,'LICENCIATURA','INGENIERÍA EN INTELIGENCIA ARTIFICIAL','IA 7°','MAGAÑA SANCHEZ SALVADOR','SISTEMAS EXPERTOS ','MASCULINO',0);</v>
      </c>
    </row>
    <row r="265" spans="1:10" ht="101.5" x14ac:dyDescent="0.35">
      <c r="A265">
        <v>1283</v>
      </c>
      <c r="B265" t="s">
        <v>5</v>
      </c>
      <c r="C265" t="s">
        <v>1731</v>
      </c>
      <c r="D265" t="s">
        <v>1770</v>
      </c>
      <c r="E265" t="s">
        <v>1850</v>
      </c>
      <c r="F265" t="s">
        <v>2148</v>
      </c>
      <c r="G265" t="s">
        <v>2242</v>
      </c>
      <c r="H265">
        <v>0</v>
      </c>
      <c r="I265" s="14" t="str">
        <f t="shared" si="9"/>
        <v>1283,'LICENCIATURA','INGENIERÍA AUTOMOTRIZ','AUTO 5°','HERNANDEZ SALDIVAR LUIS FERNANDO','SISTEMAS HIDRAULICOS Y NEUMATICOS','MASCULINO',0</v>
      </c>
      <c r="J265" s="12" t="str">
        <f t="shared" si="8"/>
        <v>INSERT INTO profesores (id,nivel,carrera,grupo,nombre,materia,sexo,sello) VALUES (1283,'LICENCIATURA','INGENIERÍA AUTOMOTRIZ','AUTO 5°','HERNANDEZ SALDIVAR LUIS FERNANDO','SISTEMAS HIDRAULICOS Y NEUMATICOS','MASCULINO',0);</v>
      </c>
    </row>
    <row r="266" spans="1:10" ht="101.5" x14ac:dyDescent="0.35">
      <c r="A266">
        <v>1284</v>
      </c>
      <c r="B266" t="s">
        <v>5</v>
      </c>
      <c r="C266" t="s">
        <v>1734</v>
      </c>
      <c r="D266" t="s">
        <v>1771</v>
      </c>
      <c r="E266" t="s">
        <v>1942</v>
      </c>
      <c r="F266" t="s">
        <v>2172</v>
      </c>
      <c r="G266" t="s">
        <v>2243</v>
      </c>
      <c r="H266">
        <v>0</v>
      </c>
      <c r="I266" s="14" t="str">
        <f t="shared" si="9"/>
        <v>1284,'LICENCIATURA','INGENIERÍA EN INTELIGENCIA ARTIFICIAL','IA 5°','MADRIGAL RODRIGUEZ GRISELDA','SISTEMAS OPERATIVOS APLICADOS','FEMENINO',0</v>
      </c>
      <c r="J266" s="12" t="str">
        <f t="shared" si="8"/>
        <v>INSERT INTO profesores (id,nivel,carrera,grupo,nombre,materia,sexo,sello) VALUES (1284,'LICENCIATURA','INGENIERÍA EN INTELIGENCIA ARTIFICIAL','IA 5°','MADRIGAL RODRIGUEZ GRISELDA','SISTEMAS OPERATIVOS APLICADOS','FEMENINO',0);</v>
      </c>
    </row>
    <row r="267" spans="1:10" ht="101.5" x14ac:dyDescent="0.35">
      <c r="A267">
        <v>1285</v>
      </c>
      <c r="B267" t="s">
        <v>5</v>
      </c>
      <c r="C267" t="s">
        <v>1725</v>
      </c>
      <c r="D267" t="s">
        <v>1748</v>
      </c>
      <c r="E267" t="s">
        <v>1932</v>
      </c>
      <c r="F267" t="s">
        <v>2124</v>
      </c>
      <c r="G267" t="s">
        <v>2242</v>
      </c>
      <c r="H267">
        <v>0</v>
      </c>
      <c r="I267" s="14" t="str">
        <f t="shared" si="9"/>
        <v>1285,'LICENCIATURA','INGENIERIA AEROESPACIAL','AERO 9°','LARA FAVELA DANIEL','SISTEMAS Y MISIONES ESPACIALES','MASCULINO',0</v>
      </c>
      <c r="J267" s="12" t="str">
        <f t="shared" si="8"/>
        <v>INSERT INTO profesores (id,nivel,carrera,grupo,nombre,materia,sexo,sello) VALUES (1285,'LICENCIATURA','INGENIERIA AEROESPACIAL','AERO 9°','LARA FAVELA DANIEL','SISTEMAS Y MISIONES ESPACIALES','MASCULINO',0);</v>
      </c>
    </row>
    <row r="268" spans="1:10" ht="101.5" x14ac:dyDescent="0.35">
      <c r="A268">
        <v>1286</v>
      </c>
      <c r="B268" t="s">
        <v>5</v>
      </c>
      <c r="C268" t="s">
        <v>1733</v>
      </c>
      <c r="D268" t="s">
        <v>1763</v>
      </c>
      <c r="E268" t="s">
        <v>1904</v>
      </c>
      <c r="F268" t="s">
        <v>2089</v>
      </c>
      <c r="G268" t="s">
        <v>2243</v>
      </c>
      <c r="H268">
        <v>0</v>
      </c>
      <c r="I268" s="14" t="str">
        <f t="shared" si="9"/>
        <v>1286,'LICENCIATURA','DISEÑO GRAFICO Y DIGITAL','DGD 7°','FUENTES TALAVERA JOCELYN MOTSERRAT','TALLER DE ANIMACION','FEMENINO',0</v>
      </c>
      <c r="J268" s="12" t="str">
        <f t="shared" si="8"/>
        <v>INSERT INTO profesores (id,nivel,carrera,grupo,nombre,materia,sexo,sello) VALUES (1286,'LICENCIATURA','DISEÑO GRAFICO Y DIGITAL','DGD 7°','FUENTES TALAVERA JOCELYN MOTSERRAT','TALLER DE ANIMACION','FEMENINO',0);</v>
      </c>
    </row>
    <row r="269" spans="1:10" ht="101.5" x14ac:dyDescent="0.35">
      <c r="A269">
        <v>1287</v>
      </c>
      <c r="B269" t="s">
        <v>5</v>
      </c>
      <c r="C269" t="s">
        <v>1730</v>
      </c>
      <c r="D269" t="s">
        <v>1755</v>
      </c>
      <c r="E269" t="s">
        <v>1875</v>
      </c>
      <c r="F269" t="s">
        <v>2044</v>
      </c>
      <c r="G269" t="s">
        <v>2242</v>
      </c>
      <c r="H269">
        <v>0</v>
      </c>
      <c r="I269" s="14" t="str">
        <f t="shared" si="9"/>
        <v>1287,'LICENCIATURA','ANIMACION DIGITAL Y VIDEOJUEGOS','ANIM 7°','TORRES ESPINOSA CARLOS ALBERTO','TALLER DE ANIMACION 3D','MASCULINO',0</v>
      </c>
      <c r="J269" s="12" t="str">
        <f t="shared" si="8"/>
        <v>INSERT INTO profesores (id,nivel,carrera,grupo,nombre,materia,sexo,sello) VALUES (1287,'LICENCIATURA','ANIMACION DIGITAL Y VIDEOJUEGOS','ANIM 7°','TORRES ESPINOSA CARLOS ALBERTO','TALLER DE ANIMACION 3D','MASCULINO',0);</v>
      </c>
    </row>
    <row r="270" spans="1:10" ht="101.5" x14ac:dyDescent="0.35">
      <c r="A270">
        <v>1288</v>
      </c>
      <c r="B270" t="s">
        <v>5</v>
      </c>
      <c r="C270" t="s">
        <v>1726</v>
      </c>
      <c r="D270" t="s">
        <v>1779</v>
      </c>
      <c r="E270" t="s">
        <v>2010</v>
      </c>
      <c r="F270" t="s">
        <v>2239</v>
      </c>
      <c r="G270" t="s">
        <v>2243</v>
      </c>
      <c r="H270">
        <v>0</v>
      </c>
      <c r="I270" s="14" t="str">
        <f t="shared" si="9"/>
        <v>1288,'LICENCIATURA','PSICOLOGIA','PSI 3°','GUERRA RIOS BRENDA JEANNETTE','TALLER DE ENTREVISTAS PSICOLOGICAS','FEMENINO',0</v>
      </c>
      <c r="J270" s="12" t="str">
        <f t="shared" si="8"/>
        <v>INSERT INTO profesores (id,nivel,carrera,grupo,nombre,materia,sexo,sello) VALUES (1288,'LICENCIATURA','PSICOLOGIA','PSI 3°','GUERRA RIOS BRENDA JEANNETTE','TALLER DE ENTREVISTAS PSICOLOGICAS','FEMENINO',0);</v>
      </c>
    </row>
    <row r="271" spans="1:10" ht="101.5" x14ac:dyDescent="0.35">
      <c r="A271">
        <v>1289</v>
      </c>
      <c r="B271" t="s">
        <v>5</v>
      </c>
      <c r="C271" t="s">
        <v>1730</v>
      </c>
      <c r="D271" t="s">
        <v>1757</v>
      </c>
      <c r="E271" t="s">
        <v>1876</v>
      </c>
      <c r="F271" t="s">
        <v>2045</v>
      </c>
      <c r="G271" t="s">
        <v>2242</v>
      </c>
      <c r="H271">
        <v>0</v>
      </c>
      <c r="I271" s="14" t="str">
        <f t="shared" si="9"/>
        <v>1289,'LICENCIATURA','ANIMACION DIGITAL Y VIDEOJUEGOS','ANIM 5°','LOPEZ VIDAURRI FERNANDO ABIF','TALLER DE ESCRITURA','MASCULINO',0</v>
      </c>
      <c r="J271" s="12" t="str">
        <f t="shared" si="8"/>
        <v>INSERT INTO profesores (id,nivel,carrera,grupo,nombre,materia,sexo,sello) VALUES (1289,'LICENCIATURA','ANIMACION DIGITAL Y VIDEOJUEGOS','ANIM 5°','LOPEZ VIDAURRI FERNANDO ABIF','TALLER DE ESCRITURA','MASCULINO',0);</v>
      </c>
    </row>
    <row r="272" spans="1:10" ht="101.5" x14ac:dyDescent="0.35">
      <c r="A272">
        <v>1290</v>
      </c>
      <c r="B272" t="s">
        <v>5</v>
      </c>
      <c r="C272" t="s">
        <v>1730</v>
      </c>
      <c r="D272" t="s">
        <v>1777</v>
      </c>
      <c r="E272" t="s">
        <v>1876</v>
      </c>
      <c r="F272" t="s">
        <v>2046</v>
      </c>
      <c r="G272" t="s">
        <v>2242</v>
      </c>
      <c r="H272">
        <v>0</v>
      </c>
      <c r="I272" s="14" t="str">
        <f t="shared" si="9"/>
        <v>1290,'LICENCIATURA','ANIMACION DIGITAL Y VIDEOJUEGOS','ANIM 3°','LOPEZ VIDAURRI FERNANDO ABIF','TALLER DE STOPMOTION 2','MASCULINO',0</v>
      </c>
      <c r="J272" s="12" t="str">
        <f t="shared" si="8"/>
        <v>INSERT INTO profesores (id,nivel,carrera,grupo,nombre,materia,sexo,sello) VALUES (1290,'LICENCIATURA','ANIMACION DIGITAL Y VIDEOJUEGOS','ANIM 3°','LOPEZ VIDAURRI FERNANDO ABIF','TALLER DE STOPMOTION 2','MASCULINO',0);</v>
      </c>
    </row>
    <row r="273" spans="1:10" ht="101.5" x14ac:dyDescent="0.35">
      <c r="A273">
        <v>1291</v>
      </c>
      <c r="B273" t="s">
        <v>5</v>
      </c>
      <c r="C273" t="s">
        <v>1729</v>
      </c>
      <c r="D273" t="s">
        <v>1754</v>
      </c>
      <c r="E273" t="s">
        <v>1884</v>
      </c>
      <c r="F273" t="s">
        <v>2073</v>
      </c>
      <c r="G273" t="s">
        <v>2243</v>
      </c>
      <c r="H273">
        <v>0</v>
      </c>
      <c r="I273" s="14" t="str">
        <f t="shared" si="9"/>
        <v>1291,'LICENCIATURA','ARQUITECTURA','ARQ 7°','CASTELLANOS MEZA IRMA ELIZABETH','TECNICAS DE EDIFICACION BIOCLIMATICAS','FEMENINO',0</v>
      </c>
      <c r="J273" s="12" t="str">
        <f t="shared" si="8"/>
        <v>INSERT INTO profesores (id,nivel,carrera,grupo,nombre,materia,sexo,sello) VALUES (1291,'LICENCIATURA','ARQUITECTURA','ARQ 7°','CASTELLANOS MEZA IRMA ELIZABETH','TECNICAS DE EDIFICACION BIOCLIMATICAS','FEMENINO',0);</v>
      </c>
    </row>
    <row r="274" spans="1:10" ht="101.5" x14ac:dyDescent="0.35">
      <c r="A274">
        <v>1292</v>
      </c>
      <c r="B274" t="s">
        <v>5</v>
      </c>
      <c r="C274" t="s">
        <v>1729</v>
      </c>
      <c r="D274" t="s">
        <v>1759</v>
      </c>
      <c r="E274" t="s">
        <v>1885</v>
      </c>
      <c r="F274" t="s">
        <v>2074</v>
      </c>
      <c r="G274" t="s">
        <v>2243</v>
      </c>
      <c r="H274">
        <v>0</v>
      </c>
      <c r="I274" s="14" t="str">
        <f t="shared" si="9"/>
        <v>1292,'LICENCIATURA','ARQUITECTURA','ARQ 3°','ESPINO CAMPOS NYDIA','TECNICAS DE REPRESENTACION','FEMENINO',0</v>
      </c>
      <c r="J274" s="12" t="str">
        <f t="shared" si="8"/>
        <v>INSERT INTO profesores (id,nivel,carrera,grupo,nombre,materia,sexo,sello) VALUES (1292,'LICENCIATURA','ARQUITECTURA','ARQ 3°','ESPINO CAMPOS NYDIA','TECNICAS DE REPRESENTACION','FEMENINO',0);</v>
      </c>
    </row>
    <row r="275" spans="1:10" ht="101.5" x14ac:dyDescent="0.35">
      <c r="A275">
        <v>1293</v>
      </c>
      <c r="B275" t="s">
        <v>5</v>
      </c>
      <c r="C275" t="s">
        <v>1734</v>
      </c>
      <c r="D275" t="s">
        <v>1771</v>
      </c>
      <c r="E275" t="s">
        <v>1946</v>
      </c>
      <c r="F275" t="s">
        <v>2173</v>
      </c>
      <c r="G275" t="s">
        <v>2242</v>
      </c>
      <c r="H275">
        <v>0</v>
      </c>
      <c r="I275" s="14" t="str">
        <f t="shared" si="9"/>
        <v>1293,'LICENCIATURA','INGENIERÍA EN INTELIGENCIA ARTIFICIAL','IA 5°','RODRIGUEZ ROBLES MARTIN ONESIMO','TEORIA COMPUTACIONAL ','MASCULINO',0</v>
      </c>
      <c r="J275" s="12" t="str">
        <f t="shared" si="8"/>
        <v>INSERT INTO profesores (id,nivel,carrera,grupo,nombre,materia,sexo,sello) VALUES (1293,'LICENCIATURA','INGENIERÍA EN INTELIGENCIA ARTIFICIAL','IA 5°','RODRIGUEZ ROBLES MARTIN ONESIMO','TEORIA COMPUTACIONAL ','MASCULINO',0);</v>
      </c>
    </row>
    <row r="276" spans="1:10" ht="101.5" x14ac:dyDescent="0.35">
      <c r="A276">
        <v>1294</v>
      </c>
      <c r="B276" t="s">
        <v>5</v>
      </c>
      <c r="C276" t="s">
        <v>1729</v>
      </c>
      <c r="D276" t="s">
        <v>1758</v>
      </c>
      <c r="E276" t="s">
        <v>1886</v>
      </c>
      <c r="F276" t="s">
        <v>2075</v>
      </c>
      <c r="G276" t="s">
        <v>2242</v>
      </c>
      <c r="H276">
        <v>0</v>
      </c>
      <c r="I276" s="14" t="str">
        <f t="shared" si="9"/>
        <v>1294,'LICENCIATURA','ARQUITECTURA','ARQ 5°','GUDIÑO GONZALEZ JESUS ANTONIO','TEORIA DE LA ARQUITECTURA SUSTENTABLE','MASCULINO',0</v>
      </c>
      <c r="J276" s="12" t="str">
        <f t="shared" si="8"/>
        <v>INSERT INTO profesores (id,nivel,carrera,grupo,nombre,materia,sexo,sello) VALUES (1294,'LICENCIATURA','ARQUITECTURA','ARQ 5°','GUDIÑO GONZALEZ JESUS ANTONIO','TEORIA DE LA ARQUITECTURA SUSTENTABLE','MASCULINO',0);</v>
      </c>
    </row>
    <row r="277" spans="1:10" ht="101.5" x14ac:dyDescent="0.35">
      <c r="A277">
        <v>1295</v>
      </c>
      <c r="B277" t="s">
        <v>5</v>
      </c>
      <c r="C277" t="s">
        <v>1726</v>
      </c>
      <c r="D277" t="s">
        <v>1779</v>
      </c>
      <c r="E277" t="s">
        <v>2004</v>
      </c>
      <c r="F277" t="s">
        <v>2240</v>
      </c>
      <c r="G277" t="s">
        <v>2242</v>
      </c>
      <c r="H277">
        <v>0</v>
      </c>
      <c r="I277" s="14" t="str">
        <f t="shared" si="9"/>
        <v>1295,'LICENCIATURA','PSICOLOGIA','PSI 3°','GOMEZ PEREZ DAVID UBALDO','TEORIAS DE LA PERSONALIDAD II','MASCULINO',0</v>
      </c>
      <c r="J277" s="12" t="str">
        <f t="shared" si="8"/>
        <v>INSERT INTO profesores (id,nivel,carrera,grupo,nombre,materia,sexo,sello) VALUES (1295,'LICENCIATURA','PSICOLOGIA','PSI 3°','GOMEZ PEREZ DAVID UBALDO','TEORIAS DE LA PERSONALIDAD II','MASCULINO',0);</v>
      </c>
    </row>
    <row r="278" spans="1:10" ht="101.5" x14ac:dyDescent="0.35">
      <c r="A278">
        <v>1296</v>
      </c>
      <c r="B278" t="s">
        <v>5</v>
      </c>
      <c r="C278" t="s">
        <v>1726</v>
      </c>
      <c r="D278" t="s">
        <v>1784</v>
      </c>
      <c r="E278" t="s">
        <v>2010</v>
      </c>
      <c r="F278" t="s">
        <v>2241</v>
      </c>
      <c r="G278" t="s">
        <v>2243</v>
      </c>
      <c r="H278">
        <v>0</v>
      </c>
      <c r="I278" s="14" t="str">
        <f t="shared" si="9"/>
        <v>1296,'LICENCIATURA','PSICOLOGIA','PSI 1°','GUERRA RIOS BRENDA JEANNETTE','TEORIAS Y ENFOQUES PSICOLOGICOS','FEMENINO',0</v>
      </c>
      <c r="J278" s="12" t="str">
        <f t="shared" si="8"/>
        <v>INSERT INTO profesores (id,nivel,carrera,grupo,nombre,materia,sexo,sello) VALUES (1296,'LICENCIATURA','PSICOLOGIA','PSI 1°','GUERRA RIOS BRENDA JEANNETTE','TEORIAS Y ENFOQUES PSICOLOGICOS','FEMENINO',0);</v>
      </c>
    </row>
    <row r="279" spans="1:10" ht="101.5" x14ac:dyDescent="0.35">
      <c r="A279">
        <v>1297</v>
      </c>
      <c r="B279" t="s">
        <v>5</v>
      </c>
      <c r="C279" t="s">
        <v>1723</v>
      </c>
      <c r="D279" t="s">
        <v>1746</v>
      </c>
      <c r="E279" t="s">
        <v>1952</v>
      </c>
      <c r="F279" t="s">
        <v>2158</v>
      </c>
      <c r="G279" t="s">
        <v>2242</v>
      </c>
      <c r="H279">
        <v>0</v>
      </c>
      <c r="I279" s="14" t="str">
        <f t="shared" si="9"/>
        <v>1297,'LICENCIATURA','INGENIERIA CIBERNETICA Y EN SISTEMAS COMPUTACIONALES','CIB 9°','VELAZQUEZ SANTOS ALFREDO DE JESUS','TOPICOS DE INTELIGENCIA ARTIFICIAL','MASCULINO',0</v>
      </c>
      <c r="J279" s="12" t="str">
        <f t="shared" si="8"/>
        <v>INSERT INTO profesores (id,nivel,carrera,grupo,nombre,materia,sexo,sello) VALUES (1297,'LICENCIATURA','INGENIERIA CIBERNETICA Y EN SISTEMAS COMPUTACIONALES','CIB 9°','VELAZQUEZ SANTOS ALFREDO DE JESUS','TOPICOS DE INTELIGENCIA ARTIFICIAL','MASCULINO',0);</v>
      </c>
    </row>
    <row r="280" spans="1:10" ht="101.5" x14ac:dyDescent="0.35">
      <c r="A280">
        <v>1298</v>
      </c>
      <c r="B280" t="s">
        <v>5</v>
      </c>
      <c r="C280" t="s">
        <v>1729</v>
      </c>
      <c r="D280" t="s">
        <v>1760</v>
      </c>
      <c r="E280" t="s">
        <v>1883</v>
      </c>
      <c r="F280" t="s">
        <v>2076</v>
      </c>
      <c r="G280" t="s">
        <v>2242</v>
      </c>
      <c r="H280">
        <v>0</v>
      </c>
      <c r="I280" s="14" t="str">
        <f t="shared" si="9"/>
        <v>1298,'LICENCIATURA','ARQUITECTURA','ARQ 1°','SANCHEZ ARAIZA GABRIEL','TOPOGRAFÍA Y MECÁNICA DE SUELOS','MASCULINO',0</v>
      </c>
      <c r="J280" s="12" t="str">
        <f t="shared" si="8"/>
        <v>INSERT INTO profesores (id,nivel,carrera,grupo,nombre,materia,sexo,sello) VALUES (1298,'LICENCIATURA','ARQUITECTURA','ARQ 1°','SANCHEZ ARAIZA GABRIEL','TOPOGRAFÍA Y MECÁNICA DE SUELOS','MASCULINO',0);</v>
      </c>
    </row>
    <row r="281" spans="1:10" ht="101.5" x14ac:dyDescent="0.35">
      <c r="A281">
        <v>1299</v>
      </c>
      <c r="B281" t="s">
        <v>5</v>
      </c>
      <c r="C281" t="s">
        <v>1724</v>
      </c>
      <c r="D281" t="s">
        <v>1747</v>
      </c>
      <c r="E281" t="s">
        <v>1998</v>
      </c>
      <c r="F281" t="s">
        <v>2218</v>
      </c>
      <c r="G281" t="s">
        <v>2243</v>
      </c>
      <c r="H281">
        <v>0</v>
      </c>
      <c r="I281" s="14" t="str">
        <f t="shared" si="9"/>
        <v>1299,'LICENCIATURA','NUTRICION Y GASTRONOMIA','NUT 9°','CAMACHO BUENROSTRO DENNIS','TRATAMIENTOS ALTERNATIVOS Y NUTRICION','FEMENINO',0</v>
      </c>
      <c r="J281" s="12" t="str">
        <f t="shared" si="8"/>
        <v>INSERT INTO profesores (id,nivel,carrera,grupo,nombre,materia,sexo,sello) VALUES (1299,'LICENCIATURA','NUTRICION Y GASTRONOMIA','NUT 9°','CAMACHO BUENROSTRO DENNIS','TRATAMIENTOS ALTERNATIVOS Y NUTRICION','FEMENINO',0);</v>
      </c>
    </row>
    <row r="282" spans="1:10" ht="101.5" x14ac:dyDescent="0.35">
      <c r="A282">
        <v>1300</v>
      </c>
      <c r="B282" t="s">
        <v>5</v>
      </c>
      <c r="C282" t="s">
        <v>1729</v>
      </c>
      <c r="D282" t="s">
        <v>1754</v>
      </c>
      <c r="E282" t="s">
        <v>1887</v>
      </c>
      <c r="F282" t="s">
        <v>2077</v>
      </c>
      <c r="G282" t="s">
        <v>2242</v>
      </c>
      <c r="H282">
        <v>0</v>
      </c>
      <c r="I282" s="14" t="str">
        <f t="shared" si="9"/>
        <v>1300,'LICENCIATURA','ARQUITECTURA','ARQ 7°','SANCHEZ MUÑOZ JOSE JORGE','URBANISTICA APLICADA','MASCULINO',0</v>
      </c>
      <c r="J282" s="12" t="str">
        <f t="shared" si="8"/>
        <v>INSERT INTO profesores (id,nivel,carrera,grupo,nombre,materia,sexo,sello) VALUES (1300,'LICENCIATURA','ARQUITECTURA','ARQ 7°','SANCHEZ MUÑOZ JOSE JORGE','URBANISTICA APLICADA','MASCULINO',0);</v>
      </c>
    </row>
    <row r="283" spans="1:10" ht="101.5" x14ac:dyDescent="0.35">
      <c r="A283">
        <v>1301</v>
      </c>
      <c r="B283" t="s">
        <v>5</v>
      </c>
      <c r="C283" t="s">
        <v>1725</v>
      </c>
      <c r="D283" t="s">
        <v>1752</v>
      </c>
      <c r="E283" t="s">
        <v>1920</v>
      </c>
      <c r="F283" t="s">
        <v>2125</v>
      </c>
      <c r="G283" t="s">
        <v>2242</v>
      </c>
      <c r="H283">
        <v>0</v>
      </c>
      <c r="I283" s="14" t="str">
        <f t="shared" si="9"/>
        <v>1301,'LICENCIATURA','INGENIERIA AEROESPACIAL','AERO 7°','SHINDO  DAISUKE','VIBRACIONES','MASCULINO',0</v>
      </c>
      <c r="J283" s="12" t="str">
        <f t="shared" si="8"/>
        <v>INSERT INTO profesores (id,nivel,carrera,grupo,nombre,materia,sexo,sello) VALUES (1301,'LICENCIATURA','INGENIERIA AEROESPACIAL','AERO 7°','SHINDO  DAISUKE','VIBRACIONES','MASCULINO',0);</v>
      </c>
    </row>
    <row r="284" spans="1:10" ht="101.5" x14ac:dyDescent="0.35">
      <c r="A284">
        <v>1302</v>
      </c>
      <c r="B284" t="s">
        <v>5</v>
      </c>
      <c r="C284" t="s">
        <v>1730</v>
      </c>
      <c r="D284" t="s">
        <v>1755</v>
      </c>
      <c r="E284" t="s">
        <v>1877</v>
      </c>
      <c r="F284" t="s">
        <v>2047</v>
      </c>
      <c r="G284" t="s">
        <v>2243</v>
      </c>
      <c r="H284">
        <v>0</v>
      </c>
      <c r="I284" s="14" t="str">
        <f t="shared" si="9"/>
        <v>1302,'LICENCIATURA','ANIMACION DIGITAL Y VIDEOJUEGOS','ANIM 7°','MICHEL SANDOVAL LAURA LIVIER','VIDEOJUEGOS DE IMPACTO SOCIAL','FEMENINO',0</v>
      </c>
      <c r="J284" s="12" t="str">
        <f t="shared" si="8"/>
        <v>INSERT INTO profesores (id,nivel,carrera,grupo,nombre,materia,sexo,sello) VALUES (1302,'LICENCIATURA','ANIMACION DIGITAL Y VIDEOJUEGOS','ANIM 7°','MICHEL SANDOVAL LAURA LIVIER','VIDEOJUEGOS DE IMPACTO SOCIAL','FEMENINO',0);</v>
      </c>
    </row>
    <row r="285" spans="1:10" ht="101.5" x14ac:dyDescent="0.35">
      <c r="A285">
        <v>1303</v>
      </c>
      <c r="B285" t="s">
        <v>5</v>
      </c>
      <c r="C285" t="s">
        <v>1734</v>
      </c>
      <c r="D285" t="s">
        <v>1765</v>
      </c>
      <c r="E285" t="s">
        <v>1918</v>
      </c>
      <c r="F285" t="s">
        <v>2174</v>
      </c>
      <c r="G285" t="s">
        <v>2242</v>
      </c>
      <c r="H285">
        <v>0</v>
      </c>
      <c r="I285" s="14" t="str">
        <f t="shared" si="9"/>
        <v>1303,'LICENCIATURA','INGENIERÍA EN INTELIGENCIA ARTIFICIAL','IA 7°','MENDEZ JIMENEZ ALBERTO','VISIÓN ARTIFICIAL ','MASCULINO',0</v>
      </c>
      <c r="J285" s="12" t="str">
        <f t="shared" si="8"/>
        <v>INSERT INTO profesores (id,nivel,carrera,grupo,nombre,materia,sexo,sello) VALUES (1303,'LICENCIATURA','INGENIERÍA EN INTELIGENCIA ARTIFICIAL','IA 7°','MENDEZ JIMENEZ ALBERTO','VISIÓN ARTIFICIAL ','MASCULINO',0);</v>
      </c>
    </row>
    <row r="286" spans="1:10" ht="101.5" x14ac:dyDescent="0.35">
      <c r="A286">
        <v>1304</v>
      </c>
      <c r="B286" t="s">
        <v>5</v>
      </c>
      <c r="C286" t="s">
        <v>1734</v>
      </c>
      <c r="D286" t="s">
        <v>1771</v>
      </c>
      <c r="E286" t="s">
        <v>1960</v>
      </c>
      <c r="F286" t="s">
        <v>2175</v>
      </c>
      <c r="G286" t="s">
        <v>2242</v>
      </c>
      <c r="H286">
        <v>0</v>
      </c>
      <c r="I286" s="14" t="str">
        <f t="shared" si="9"/>
        <v>1304,'LICENCIATURA','INGENIERÍA EN INTELIGENCIA ARTIFICIAL','IA 5°','RODRIGUEZ AVILA HECTOR','WEB SEMÁNTICA ','MASCULINO',0</v>
      </c>
      <c r="J286" s="12" t="str">
        <f t="shared" si="8"/>
        <v>INSERT INTO profesores (id,nivel,carrera,grupo,nombre,materia,sexo,sello) VALUES (1304,'LICENCIATURA','INGENIERÍA EN INTELIGENCIA ARTIFICIAL','IA 5°','RODRIGUEZ AVILA HECTOR','WEB SEMÁNTICA ','MASCULINO',0);</v>
      </c>
    </row>
    <row r="287" spans="1:10" ht="101.5" x14ac:dyDescent="0.35">
      <c r="A287">
        <v>1305</v>
      </c>
      <c r="B287" t="s">
        <v>5</v>
      </c>
      <c r="C287" t="s">
        <v>1730</v>
      </c>
      <c r="D287" t="s">
        <v>1777</v>
      </c>
      <c r="E287" t="s">
        <v>1878</v>
      </c>
      <c r="F287" t="s">
        <v>2048</v>
      </c>
      <c r="G287" t="s">
        <v>2242</v>
      </c>
      <c r="H287">
        <v>0</v>
      </c>
      <c r="I287" s="14" t="str">
        <f t="shared" si="9"/>
        <v>1305,'LICENCIATURA','ANIMACION DIGITAL Y VIDEOJUEGOS','ANIM 3°','BENITEZ LOZANO GABRIEL ','LENGUAJE CINEMATOGRÁFICO','MASCULINO',0</v>
      </c>
      <c r="J287" s="12" t="str">
        <f t="shared" si="8"/>
        <v>INSERT INTO profesores (id,nivel,carrera,grupo,nombre,materia,sexo,sello) VALUES (1305,'LICENCIATURA','ANIMACION DIGITAL Y VIDEOJUEGOS','ANIM 3°','BENITEZ LOZANO GABRIEL ','LENGUAJE CINEMATOGRÁFICO','MASCULINO',0);</v>
      </c>
    </row>
    <row r="288" spans="1:10" ht="101.5" x14ac:dyDescent="0.35">
      <c r="A288">
        <v>1306</v>
      </c>
      <c r="B288" t="s">
        <v>5</v>
      </c>
      <c r="C288" t="s">
        <v>1791</v>
      </c>
      <c r="D288" t="s">
        <v>1793</v>
      </c>
      <c r="E288" t="s">
        <v>1905</v>
      </c>
      <c r="F288" t="s">
        <v>2090</v>
      </c>
      <c r="G288" t="s">
        <v>2243</v>
      </c>
      <c r="H288">
        <v>0</v>
      </c>
      <c r="I288" s="14" t="str">
        <f t="shared" si="9"/>
        <v>1306,'LICENCIATURA','IDIOMAS','TIDIOMAS_4','CORTES VELASCO CLAUDIA PAOLA','TALLER DE IDIOMAS (NB1-GA)','FEMENINO',0</v>
      </c>
      <c r="J288" s="12" t="str">
        <f t="shared" si="8"/>
        <v>INSERT INTO profesores (id,nivel,carrera,grupo,nombre,materia,sexo,sello) VALUES (1306,'LICENCIATURA','IDIOMAS','TIDIOMAS_4','CORTES VELASCO CLAUDIA PAOLA','TALLER DE IDIOMAS (NB1-GA)','FEMENINO',0);</v>
      </c>
    </row>
    <row r="289" spans="1:10" ht="101.5" x14ac:dyDescent="0.35">
      <c r="A289">
        <v>1307</v>
      </c>
      <c r="B289" t="s">
        <v>5</v>
      </c>
      <c r="C289" t="s">
        <v>1791</v>
      </c>
      <c r="D289" t="s">
        <v>1794</v>
      </c>
      <c r="E289" t="s">
        <v>1906</v>
      </c>
      <c r="F289" t="s">
        <v>2091</v>
      </c>
      <c r="G289" t="s">
        <v>2243</v>
      </c>
      <c r="H289">
        <v>0</v>
      </c>
      <c r="I289" s="14" t="str">
        <f t="shared" si="9"/>
        <v>1307,'LICENCIATURA','IDIOMAS','TIDIOMAS_5','DE LA ROSA RICARIO MELISSA','TALLER DE IDIOMAS (NB1-GB)','FEMENINO',0</v>
      </c>
      <c r="J289" s="12" t="str">
        <f t="shared" si="8"/>
        <v>INSERT INTO profesores (id,nivel,carrera,grupo,nombre,materia,sexo,sello) VALUES (1307,'LICENCIATURA','IDIOMAS','TIDIOMAS_5','DE LA ROSA RICARIO MELISSA','TALLER DE IDIOMAS (NB1-GB)','FEMENINO',0);</v>
      </c>
    </row>
    <row r="290" spans="1:10" ht="101.5" x14ac:dyDescent="0.35">
      <c r="A290">
        <v>1308</v>
      </c>
      <c r="B290" t="s">
        <v>5</v>
      </c>
      <c r="C290" t="s">
        <v>1791</v>
      </c>
      <c r="D290" t="s">
        <v>1795</v>
      </c>
      <c r="E290" t="s">
        <v>1907</v>
      </c>
      <c r="F290" t="s">
        <v>2092</v>
      </c>
      <c r="G290" t="s">
        <v>2243</v>
      </c>
      <c r="H290">
        <v>0</v>
      </c>
      <c r="I290" s="14" t="str">
        <f t="shared" si="9"/>
        <v>1308,'LICENCIATURA','IDIOMAS','TIDIOMAS_6','ESCOBEDO GARCIA CLAUDIA MAYELA','TALLER DE IDIOMAS (NB1-GC)','FEMENINO',0</v>
      </c>
      <c r="J290" s="12" t="str">
        <f t="shared" si="8"/>
        <v>INSERT INTO profesores (id,nivel,carrera,grupo,nombre,materia,sexo,sello) VALUES (1308,'LICENCIATURA','IDIOMAS','TIDIOMAS_6','ESCOBEDO GARCIA CLAUDIA MAYELA','TALLER DE IDIOMAS (NB1-GC)','FEMENINO',0);</v>
      </c>
    </row>
    <row r="291" spans="1:10" ht="101.5" x14ac:dyDescent="0.35">
      <c r="A291">
        <v>1309</v>
      </c>
      <c r="B291" t="s">
        <v>5</v>
      </c>
      <c r="C291" t="s">
        <v>1791</v>
      </c>
      <c r="D291" t="s">
        <v>1796</v>
      </c>
      <c r="E291" t="s">
        <v>1908</v>
      </c>
      <c r="F291" t="s">
        <v>2093</v>
      </c>
      <c r="G291" t="s">
        <v>2243</v>
      </c>
      <c r="H291">
        <v>0</v>
      </c>
      <c r="I291" s="14" t="str">
        <f t="shared" si="9"/>
        <v>1309,'LICENCIATURA','IDIOMAS','TIDIOMAS_7','ESPEJO REGALADO ERIKA','TALLER DE IDIOMAS (NB2-GA)','FEMENINO',0</v>
      </c>
      <c r="J291" s="12" t="str">
        <f t="shared" si="8"/>
        <v>INSERT INTO profesores (id,nivel,carrera,grupo,nombre,materia,sexo,sello) VALUES (1309,'LICENCIATURA','IDIOMAS','TIDIOMAS_7','ESPEJO REGALADO ERIKA','TALLER DE IDIOMAS (NB2-GA)','FEMENINO',0);</v>
      </c>
    </row>
    <row r="292" spans="1:10" ht="101.5" x14ac:dyDescent="0.35">
      <c r="A292">
        <v>1310</v>
      </c>
      <c r="B292" t="s">
        <v>5</v>
      </c>
      <c r="C292" t="s">
        <v>1791</v>
      </c>
      <c r="D292" t="s">
        <v>1797</v>
      </c>
      <c r="E292" t="s">
        <v>1909</v>
      </c>
      <c r="F292" t="s">
        <v>2094</v>
      </c>
      <c r="G292" t="s">
        <v>2242</v>
      </c>
      <c r="H292">
        <v>0</v>
      </c>
      <c r="I292" s="14" t="str">
        <f t="shared" si="9"/>
        <v>1310,'LICENCIATURA','IDIOMAS','TIDIOMAS_1','FRIAS REYNAGA MIGUEL ANGEL','TALLER DE IDIOMAS (NA1-GA)','MASCULINO',0</v>
      </c>
      <c r="J292" s="12" t="str">
        <f t="shared" si="8"/>
        <v>INSERT INTO profesores (id,nivel,carrera,grupo,nombre,materia,sexo,sello) VALUES (1310,'LICENCIATURA','IDIOMAS','TIDIOMAS_1','FRIAS REYNAGA MIGUEL ANGEL','TALLER DE IDIOMAS (NA1-GA)','MASCULINO',0);</v>
      </c>
    </row>
    <row r="293" spans="1:10" ht="101.5" x14ac:dyDescent="0.35">
      <c r="A293">
        <v>1311</v>
      </c>
      <c r="B293" t="s">
        <v>5</v>
      </c>
      <c r="C293" t="s">
        <v>1791</v>
      </c>
      <c r="D293" t="s">
        <v>1798</v>
      </c>
      <c r="E293" t="s">
        <v>1910</v>
      </c>
      <c r="F293" t="s">
        <v>2095</v>
      </c>
      <c r="G293" t="s">
        <v>2243</v>
      </c>
      <c r="H293">
        <v>0</v>
      </c>
      <c r="I293" s="14" t="str">
        <f t="shared" si="9"/>
        <v>1311,'LICENCIATURA','IDIOMAS','TIDIOMAS_8','GARIBAY GARCIA GABRIELA','TALLER DE IDIOMAS (NB2-GB)','FEMENINO',0</v>
      </c>
      <c r="J293" s="12" t="str">
        <f t="shared" si="8"/>
        <v>INSERT INTO profesores (id,nivel,carrera,grupo,nombre,materia,sexo,sello) VALUES (1311,'LICENCIATURA','IDIOMAS','TIDIOMAS_8','GARIBAY GARCIA GABRIELA','TALLER DE IDIOMAS (NB2-GB)','FEMENINO',0);</v>
      </c>
    </row>
    <row r="294" spans="1:10" ht="101.5" x14ac:dyDescent="0.35">
      <c r="A294">
        <v>1312</v>
      </c>
      <c r="B294" t="s">
        <v>5</v>
      </c>
      <c r="C294" t="s">
        <v>1791</v>
      </c>
      <c r="D294" t="s">
        <v>1799</v>
      </c>
      <c r="E294" t="s">
        <v>1911</v>
      </c>
      <c r="F294" t="s">
        <v>2096</v>
      </c>
      <c r="G294" t="s">
        <v>2242</v>
      </c>
      <c r="H294">
        <v>0</v>
      </c>
      <c r="I294" s="14" t="str">
        <f t="shared" si="9"/>
        <v>1312,'LICENCIATURA','IDIOMAS','TIDIOMAS_3','LAGOS LOPEZ ALEJANDRO GABRIEL','TALLER DE IDIOMAS (NA2-GA)','MASCULINO',0</v>
      </c>
      <c r="J294" s="12" t="str">
        <f t="shared" si="8"/>
        <v>INSERT INTO profesores (id,nivel,carrera,grupo,nombre,materia,sexo,sello) VALUES (1312,'LICENCIATURA','IDIOMAS','TIDIOMAS_3','LAGOS LOPEZ ALEJANDRO GABRIEL','TALLER DE IDIOMAS (NA2-GA)','MASCULINO',0);</v>
      </c>
    </row>
    <row r="295" spans="1:10" ht="101.5" x14ac:dyDescent="0.35">
      <c r="A295">
        <v>1313</v>
      </c>
      <c r="B295" t="s">
        <v>5</v>
      </c>
      <c r="C295" t="s">
        <v>1791</v>
      </c>
      <c r="D295" t="s">
        <v>1800</v>
      </c>
      <c r="E295" t="s">
        <v>1912</v>
      </c>
      <c r="F295" t="s">
        <v>2097</v>
      </c>
      <c r="G295" t="s">
        <v>2243</v>
      </c>
      <c r="H295">
        <v>0</v>
      </c>
      <c r="I295" s="14" t="str">
        <f t="shared" si="9"/>
        <v>1313,'LICENCIATURA','IDIOMAS','TIDIOMAS_2','RAMOS DE LA TORRE ANA LAURA','TALLER DE IDIOMAS (NA1-GB)','FEMENINO',0</v>
      </c>
      <c r="J295" s="12" t="str">
        <f t="shared" si="8"/>
        <v>INSERT INTO profesores (id,nivel,carrera,grupo,nombre,materia,sexo,sello) VALUES (1313,'LICENCIATURA','IDIOMAS','TIDIOMAS_2','RAMOS DE LA TORRE ANA LAURA','TALLER DE IDIOMAS (NA1-GB)','FEMENINO',0);</v>
      </c>
    </row>
  </sheetData>
  <autoFilter ref="A1:I295" xr:uid="{3102FAE7-BCF8-4909-98B3-DEC93985B313}">
    <sortState xmlns:xlrd2="http://schemas.microsoft.com/office/spreadsheetml/2017/richdata2" ref="A2:I295">
      <sortCondition ref="A1:A295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A3FA-A9CB-45FE-9855-3C1C9F996F0A}">
  <dimension ref="A1:E1280"/>
  <sheetViews>
    <sheetView topLeftCell="A1270" workbookViewId="0">
      <selection activeCell="E2" sqref="E2:E1280"/>
    </sheetView>
  </sheetViews>
  <sheetFormatPr baseColWidth="10" defaultRowHeight="14.5" x14ac:dyDescent="0.35"/>
  <cols>
    <col min="4" max="4" width="32.6328125" style="12" customWidth="1"/>
    <col min="5" max="5" width="32.7265625" style="12" customWidth="1"/>
  </cols>
  <sheetData>
    <row r="1" spans="1:5" ht="29" x14ac:dyDescent="0.35">
      <c r="A1" t="s">
        <v>4</v>
      </c>
      <c r="B1" s="1" t="s">
        <v>1</v>
      </c>
      <c r="C1" s="1" t="s">
        <v>1788</v>
      </c>
      <c r="D1" s="16" t="s">
        <v>2244</v>
      </c>
    </row>
    <row r="2" spans="1:5" ht="43.5" x14ac:dyDescent="0.35">
      <c r="A2">
        <v>1001</v>
      </c>
      <c r="B2" t="s">
        <v>2245</v>
      </c>
      <c r="C2" t="s">
        <v>1746</v>
      </c>
      <c r="D2" s="12" t="str">
        <f>CONCATENATE(A2,",'",TRIM(B2),"','",C2,"'")</f>
        <v>1001,'006890','CIB 9°'</v>
      </c>
      <c r="E2" s="12" t="str">
        <f t="shared" ref="E2:E65" si="0">CONCATENATE($D$1,D2,");")</f>
        <v>INSERT INTO grupos (id,matricula,grupo) values (1001,'006890','CIB 9°');</v>
      </c>
    </row>
    <row r="3" spans="1:5" ht="43.5" x14ac:dyDescent="0.35">
      <c r="A3">
        <v>1002</v>
      </c>
      <c r="B3" t="s">
        <v>2246</v>
      </c>
      <c r="C3" t="s">
        <v>1747</v>
      </c>
      <c r="D3" s="12" t="str">
        <f t="shared" ref="D3:D66" si="1">CONCATENATE(A3,",'",TRIM(B3),"','",C3,"'")</f>
        <v>1002,'007079','NUT 9°'</v>
      </c>
      <c r="E3" s="12" t="str">
        <f t="shared" si="0"/>
        <v>INSERT INTO grupos (id,matricula,grupo) values (1002,'007079','NUT 9°');</v>
      </c>
    </row>
    <row r="4" spans="1:5" ht="43.5" x14ac:dyDescent="0.35">
      <c r="A4">
        <v>1003</v>
      </c>
      <c r="B4" t="s">
        <v>2247</v>
      </c>
      <c r="C4" t="s">
        <v>1746</v>
      </c>
      <c r="D4" s="12" t="str">
        <f t="shared" si="1"/>
        <v>1003,'007093','CIB 9°'</v>
      </c>
      <c r="E4" s="12" t="str">
        <f t="shared" si="0"/>
        <v>INSERT INTO grupos (id,matricula,grupo) values (1003,'007093','CIB 9°');</v>
      </c>
    </row>
    <row r="5" spans="1:5" ht="43.5" x14ac:dyDescent="0.35">
      <c r="A5">
        <v>1004</v>
      </c>
      <c r="B5" t="s">
        <v>2248</v>
      </c>
      <c r="C5" t="s">
        <v>1749</v>
      </c>
      <c r="D5" s="12" t="str">
        <f t="shared" si="1"/>
        <v>1004,'007290','PSI 5°'</v>
      </c>
      <c r="E5" s="12" t="str">
        <f t="shared" si="0"/>
        <v>INSERT INTO grupos (id,matricula,grupo) values (1004,'007290','PSI 5°');</v>
      </c>
    </row>
    <row r="6" spans="1:5" ht="43.5" x14ac:dyDescent="0.35">
      <c r="A6">
        <v>1005</v>
      </c>
      <c r="B6" t="s">
        <v>2248</v>
      </c>
      <c r="C6" t="s">
        <v>1823</v>
      </c>
      <c r="D6" s="12" t="str">
        <f t="shared" si="1"/>
        <v>1005,'007290','TC0501_6'</v>
      </c>
      <c r="E6" s="12" t="str">
        <f t="shared" si="0"/>
        <v>INSERT INTO grupos (id,matricula,grupo) values (1005,'007290','TC0501_6');</v>
      </c>
    </row>
    <row r="7" spans="1:5" ht="43.5" x14ac:dyDescent="0.35">
      <c r="A7">
        <v>1006</v>
      </c>
      <c r="B7" t="s">
        <v>2249</v>
      </c>
      <c r="C7" t="s">
        <v>1750</v>
      </c>
      <c r="D7" s="12" t="str">
        <f t="shared" si="1"/>
        <v>1006,'007359','ADMON 7°'</v>
      </c>
      <c r="E7" s="12" t="str">
        <f t="shared" si="0"/>
        <v>INSERT INTO grupos (id,matricula,grupo) values (1006,'007359','ADMON 7°');</v>
      </c>
    </row>
    <row r="8" spans="1:5" ht="43.5" x14ac:dyDescent="0.35">
      <c r="A8">
        <v>1007</v>
      </c>
      <c r="B8" t="s">
        <v>2249</v>
      </c>
      <c r="C8" t="s">
        <v>1828</v>
      </c>
      <c r="D8" s="12" t="str">
        <f t="shared" si="1"/>
        <v>1007,'007359','TC0701_3'</v>
      </c>
      <c r="E8" s="12" t="str">
        <f t="shared" si="0"/>
        <v>INSERT INTO grupos (id,matricula,grupo) values (1007,'007359','TC0701_3');</v>
      </c>
    </row>
    <row r="9" spans="1:5" ht="43.5" x14ac:dyDescent="0.35">
      <c r="A9">
        <v>1008</v>
      </c>
      <c r="B9" t="s">
        <v>2249</v>
      </c>
      <c r="C9" t="s">
        <v>1805</v>
      </c>
      <c r="D9" s="12" t="str">
        <f t="shared" si="1"/>
        <v>1008,'007359','TC0702_5'</v>
      </c>
      <c r="E9" s="12" t="str">
        <f t="shared" si="0"/>
        <v>INSERT INTO grupos (id,matricula,grupo) values (1008,'007359','TC0702_5');</v>
      </c>
    </row>
    <row r="10" spans="1:5" ht="43.5" x14ac:dyDescent="0.35">
      <c r="A10">
        <v>1009</v>
      </c>
      <c r="B10" t="s">
        <v>2249</v>
      </c>
      <c r="C10" t="s">
        <v>2250</v>
      </c>
      <c r="D10" s="12" t="str">
        <f t="shared" si="1"/>
        <v>1009,'007359','TC0703_3'</v>
      </c>
      <c r="E10" s="12" t="str">
        <f t="shared" si="0"/>
        <v>INSERT INTO grupos (id,matricula,grupo) values (1009,'007359','TC0703_3');</v>
      </c>
    </row>
    <row r="11" spans="1:5" ht="43.5" x14ac:dyDescent="0.35">
      <c r="A11">
        <v>1010</v>
      </c>
      <c r="B11" t="s">
        <v>2251</v>
      </c>
      <c r="C11" t="s">
        <v>1746</v>
      </c>
      <c r="D11" s="12" t="str">
        <f t="shared" si="1"/>
        <v>1010,'007424','CIB 9°'</v>
      </c>
      <c r="E11" s="12" t="str">
        <f t="shared" si="0"/>
        <v>INSERT INTO grupos (id,matricula,grupo) values (1010,'007424','CIB 9°');</v>
      </c>
    </row>
    <row r="12" spans="1:5" ht="43.5" x14ac:dyDescent="0.35">
      <c r="A12">
        <v>1011</v>
      </c>
      <c r="B12" t="s">
        <v>2252</v>
      </c>
      <c r="C12" t="s">
        <v>1751</v>
      </c>
      <c r="D12" s="12" t="str">
        <f t="shared" si="1"/>
        <v>1011,'007486','IND 7°'</v>
      </c>
      <c r="E12" s="12" t="str">
        <f t="shared" si="0"/>
        <v>INSERT INTO grupos (id,matricula,grupo) values (1011,'007486','IND 7°');</v>
      </c>
    </row>
    <row r="13" spans="1:5" ht="43.5" x14ac:dyDescent="0.35">
      <c r="A13">
        <v>1012</v>
      </c>
      <c r="B13" t="s">
        <v>2252</v>
      </c>
      <c r="C13" t="s">
        <v>1801</v>
      </c>
      <c r="D13" s="12" t="str">
        <f t="shared" si="1"/>
        <v>1012,'007486','TC0702_1'</v>
      </c>
      <c r="E13" s="12" t="str">
        <f t="shared" si="0"/>
        <v>INSERT INTO grupos (id,matricula,grupo) values (1012,'007486','TC0702_1');</v>
      </c>
    </row>
    <row r="14" spans="1:5" ht="43.5" x14ac:dyDescent="0.35">
      <c r="A14">
        <v>1013</v>
      </c>
      <c r="B14" t="s">
        <v>2253</v>
      </c>
      <c r="C14" t="s">
        <v>1752</v>
      </c>
      <c r="D14" s="12" t="str">
        <f t="shared" si="1"/>
        <v>1013,'007492','AERO 7°'</v>
      </c>
      <c r="E14" s="12" t="str">
        <f t="shared" si="0"/>
        <v>INSERT INTO grupos (id,matricula,grupo) values (1013,'007492','AERO 7°');</v>
      </c>
    </row>
    <row r="15" spans="1:5" ht="43.5" x14ac:dyDescent="0.35">
      <c r="A15">
        <v>1014</v>
      </c>
      <c r="B15" t="s">
        <v>2253</v>
      </c>
      <c r="C15" t="s">
        <v>1804</v>
      </c>
      <c r="D15" s="12" t="str">
        <f t="shared" si="1"/>
        <v>1014,'007492','TC0702_4'</v>
      </c>
      <c r="E15" s="12" t="str">
        <f t="shared" si="0"/>
        <v>INSERT INTO grupos (id,matricula,grupo) values (1014,'007492','TC0702_4');</v>
      </c>
    </row>
    <row r="16" spans="1:5" ht="43.5" x14ac:dyDescent="0.35">
      <c r="A16">
        <v>1015</v>
      </c>
      <c r="B16" t="s">
        <v>2254</v>
      </c>
      <c r="C16" t="s">
        <v>1753</v>
      </c>
      <c r="D16" s="12" t="str">
        <f t="shared" si="1"/>
        <v>1015,'007514','NUT 7°'</v>
      </c>
      <c r="E16" s="12" t="str">
        <f t="shared" si="0"/>
        <v>INSERT INTO grupos (id,matricula,grupo) values (1015,'007514','NUT 7°');</v>
      </c>
    </row>
    <row r="17" spans="1:5" ht="43.5" x14ac:dyDescent="0.35">
      <c r="A17">
        <v>1016</v>
      </c>
      <c r="B17" t="s">
        <v>2254</v>
      </c>
      <c r="C17" t="s">
        <v>1801</v>
      </c>
      <c r="D17" s="12" t="str">
        <f t="shared" si="1"/>
        <v>1016,'007514','TC0702_1'</v>
      </c>
      <c r="E17" s="12" t="str">
        <f t="shared" si="0"/>
        <v>INSERT INTO grupos (id,matricula,grupo) values (1016,'007514','TC0702_1');</v>
      </c>
    </row>
    <row r="18" spans="1:5" ht="43.5" x14ac:dyDescent="0.35">
      <c r="A18">
        <v>1017</v>
      </c>
      <c r="B18" t="s">
        <v>2255</v>
      </c>
      <c r="C18" t="s">
        <v>1754</v>
      </c>
      <c r="D18" s="12" t="str">
        <f t="shared" si="1"/>
        <v>1017,'007521','ARQ 7°'</v>
      </c>
      <c r="E18" s="12" t="str">
        <f t="shared" si="0"/>
        <v>INSERT INTO grupos (id,matricula,grupo) values (1017,'007521','ARQ 7°');</v>
      </c>
    </row>
    <row r="19" spans="1:5" ht="43.5" x14ac:dyDescent="0.35">
      <c r="A19">
        <v>1018</v>
      </c>
      <c r="B19" t="s">
        <v>2255</v>
      </c>
      <c r="C19" t="s">
        <v>1828</v>
      </c>
      <c r="D19" s="12" t="str">
        <f t="shared" si="1"/>
        <v>1018,'007521','TC0701_3'</v>
      </c>
      <c r="E19" s="12" t="str">
        <f t="shared" si="0"/>
        <v>INSERT INTO grupos (id,matricula,grupo) values (1018,'007521','TC0701_3');</v>
      </c>
    </row>
    <row r="20" spans="1:5" ht="43.5" x14ac:dyDescent="0.35">
      <c r="A20">
        <v>1019</v>
      </c>
      <c r="B20" t="s">
        <v>2255</v>
      </c>
      <c r="C20" t="s">
        <v>1802</v>
      </c>
      <c r="D20" s="12" t="str">
        <f t="shared" si="1"/>
        <v>1019,'007521','TC0702_2'</v>
      </c>
      <c r="E20" s="12" t="str">
        <f t="shared" si="0"/>
        <v>INSERT INTO grupos (id,matricula,grupo) values (1019,'007521','TC0702_2');</v>
      </c>
    </row>
    <row r="21" spans="1:5" ht="43.5" x14ac:dyDescent="0.35">
      <c r="A21">
        <v>1020</v>
      </c>
      <c r="B21" t="s">
        <v>2255</v>
      </c>
      <c r="C21" t="s">
        <v>2250</v>
      </c>
      <c r="D21" s="12" t="str">
        <f t="shared" si="1"/>
        <v>1020,'007521','TC0703_3'</v>
      </c>
      <c r="E21" s="12" t="str">
        <f t="shared" si="0"/>
        <v>INSERT INTO grupos (id,matricula,grupo) values (1020,'007521','TC0703_3');</v>
      </c>
    </row>
    <row r="22" spans="1:5" ht="43.5" x14ac:dyDescent="0.35">
      <c r="A22">
        <v>1021</v>
      </c>
      <c r="B22" t="s">
        <v>2256</v>
      </c>
      <c r="C22" t="s">
        <v>1751</v>
      </c>
      <c r="D22" s="12" t="str">
        <f t="shared" si="1"/>
        <v>1021,'007595','IND 7°'</v>
      </c>
      <c r="E22" s="12" t="str">
        <f t="shared" si="0"/>
        <v>INSERT INTO grupos (id,matricula,grupo) values (1021,'007595','IND 7°');</v>
      </c>
    </row>
    <row r="23" spans="1:5" ht="43.5" x14ac:dyDescent="0.35">
      <c r="A23">
        <v>1022</v>
      </c>
      <c r="B23" t="s">
        <v>2256</v>
      </c>
      <c r="C23" t="s">
        <v>1828</v>
      </c>
      <c r="D23" s="12" t="str">
        <f t="shared" si="1"/>
        <v>1022,'007595','TC0701_3'</v>
      </c>
      <c r="E23" s="12" t="str">
        <f t="shared" si="0"/>
        <v>INSERT INTO grupos (id,matricula,grupo) values (1022,'007595','TC0701_3');</v>
      </c>
    </row>
    <row r="24" spans="1:5" ht="43.5" x14ac:dyDescent="0.35">
      <c r="A24">
        <v>1023</v>
      </c>
      <c r="B24" t="s">
        <v>2256</v>
      </c>
      <c r="C24" t="s">
        <v>1802</v>
      </c>
      <c r="D24" s="12" t="str">
        <f t="shared" si="1"/>
        <v>1023,'007595','TC0702_2'</v>
      </c>
      <c r="E24" s="12" t="str">
        <f t="shared" si="0"/>
        <v>INSERT INTO grupos (id,matricula,grupo) values (1023,'007595','TC0702_2');</v>
      </c>
    </row>
    <row r="25" spans="1:5" ht="43.5" x14ac:dyDescent="0.35">
      <c r="A25">
        <v>1024</v>
      </c>
      <c r="B25" t="s">
        <v>2256</v>
      </c>
      <c r="C25" t="s">
        <v>2250</v>
      </c>
      <c r="D25" s="12" t="str">
        <f t="shared" si="1"/>
        <v>1024,'007595','TC0703_3'</v>
      </c>
      <c r="E25" s="12" t="str">
        <f t="shared" si="0"/>
        <v>INSERT INTO grupos (id,matricula,grupo) values (1024,'007595','TC0703_3');</v>
      </c>
    </row>
    <row r="26" spans="1:5" ht="43.5" x14ac:dyDescent="0.35">
      <c r="A26">
        <v>1025</v>
      </c>
      <c r="B26" t="s">
        <v>2257</v>
      </c>
      <c r="C26" t="s">
        <v>1755</v>
      </c>
      <c r="D26" s="12" t="str">
        <f t="shared" si="1"/>
        <v>1025,'007662','ANIM 7°'</v>
      </c>
      <c r="E26" s="12" t="str">
        <f t="shared" si="0"/>
        <v>INSERT INTO grupos (id,matricula,grupo) values (1025,'007662','ANIM 7°');</v>
      </c>
    </row>
    <row r="27" spans="1:5" ht="43.5" x14ac:dyDescent="0.35">
      <c r="A27">
        <v>1026</v>
      </c>
      <c r="B27" t="s">
        <v>2257</v>
      </c>
      <c r="C27" t="s">
        <v>1828</v>
      </c>
      <c r="D27" s="12" t="str">
        <f t="shared" si="1"/>
        <v>1026,'007662','TC0701_3'</v>
      </c>
      <c r="E27" s="12" t="str">
        <f t="shared" si="0"/>
        <v>INSERT INTO grupos (id,matricula,grupo) values (1026,'007662','TC0701_3');</v>
      </c>
    </row>
    <row r="28" spans="1:5" ht="43.5" x14ac:dyDescent="0.35">
      <c r="A28">
        <v>1027</v>
      </c>
      <c r="B28" t="s">
        <v>2257</v>
      </c>
      <c r="C28" t="s">
        <v>1802</v>
      </c>
      <c r="D28" s="12" t="str">
        <f t="shared" si="1"/>
        <v>1027,'007662','TC0702_2'</v>
      </c>
      <c r="E28" s="12" t="str">
        <f t="shared" si="0"/>
        <v>INSERT INTO grupos (id,matricula,grupo) values (1027,'007662','TC0702_2');</v>
      </c>
    </row>
    <row r="29" spans="1:5" ht="43.5" x14ac:dyDescent="0.35">
      <c r="A29">
        <v>1028</v>
      </c>
      <c r="B29" t="s">
        <v>2257</v>
      </c>
      <c r="C29" t="s">
        <v>2250</v>
      </c>
      <c r="D29" s="12" t="str">
        <f t="shared" si="1"/>
        <v>1028,'007662','TC0703_3'</v>
      </c>
      <c r="E29" s="12" t="str">
        <f t="shared" si="0"/>
        <v>INSERT INTO grupos (id,matricula,grupo) values (1028,'007662','TC0703_3');</v>
      </c>
    </row>
    <row r="30" spans="1:5" ht="43.5" x14ac:dyDescent="0.35">
      <c r="A30">
        <v>1029</v>
      </c>
      <c r="B30" t="s">
        <v>2258</v>
      </c>
      <c r="C30" t="s">
        <v>1751</v>
      </c>
      <c r="D30" s="12" t="str">
        <f t="shared" si="1"/>
        <v>1029,'007663','IND 7°'</v>
      </c>
      <c r="E30" s="12" t="str">
        <f t="shared" si="0"/>
        <v>INSERT INTO grupos (id,matricula,grupo) values (1029,'007663','IND 7°');</v>
      </c>
    </row>
    <row r="31" spans="1:5" ht="43.5" x14ac:dyDescent="0.35">
      <c r="A31">
        <v>1030</v>
      </c>
      <c r="B31" t="s">
        <v>2258</v>
      </c>
      <c r="C31" t="s">
        <v>1801</v>
      </c>
      <c r="D31" s="12" t="str">
        <f t="shared" si="1"/>
        <v>1030,'007663','TC0702_1'</v>
      </c>
      <c r="E31" s="12" t="str">
        <f t="shared" si="0"/>
        <v>INSERT INTO grupos (id,matricula,grupo) values (1030,'007663','TC0702_1');</v>
      </c>
    </row>
    <row r="32" spans="1:5" ht="43.5" x14ac:dyDescent="0.35">
      <c r="A32">
        <v>1031</v>
      </c>
      <c r="B32" t="s">
        <v>2259</v>
      </c>
      <c r="C32" t="s">
        <v>1756</v>
      </c>
      <c r="D32" s="12" t="str">
        <f t="shared" si="1"/>
        <v>1031,'007756','NUT 5°'</v>
      </c>
      <c r="E32" s="12" t="str">
        <f t="shared" si="0"/>
        <v>INSERT INTO grupos (id,matricula,grupo) values (1031,'007756','NUT 5°');</v>
      </c>
    </row>
    <row r="33" spans="1:5" ht="43.5" x14ac:dyDescent="0.35">
      <c r="A33">
        <v>1032</v>
      </c>
      <c r="B33" t="s">
        <v>2260</v>
      </c>
      <c r="C33" t="s">
        <v>1757</v>
      </c>
      <c r="D33" s="12" t="str">
        <f t="shared" si="1"/>
        <v>1032,'007758','ANIM 5°'</v>
      </c>
      <c r="E33" s="12" t="str">
        <f t="shared" si="0"/>
        <v>INSERT INTO grupos (id,matricula,grupo) values (1032,'007758','ANIM 5°');</v>
      </c>
    </row>
    <row r="34" spans="1:5" ht="43.5" x14ac:dyDescent="0.35">
      <c r="A34">
        <v>1033</v>
      </c>
      <c r="B34" t="s">
        <v>2260</v>
      </c>
      <c r="C34" t="s">
        <v>1823</v>
      </c>
      <c r="D34" s="12" t="str">
        <f t="shared" si="1"/>
        <v>1033,'007758','TC0501_6'</v>
      </c>
      <c r="E34" s="12" t="str">
        <f t="shared" si="0"/>
        <v>INSERT INTO grupos (id,matricula,grupo) values (1033,'007758','TC0501_6');</v>
      </c>
    </row>
    <row r="35" spans="1:5" ht="43.5" x14ac:dyDescent="0.35">
      <c r="A35">
        <v>1034</v>
      </c>
      <c r="B35" t="s">
        <v>2261</v>
      </c>
      <c r="C35" t="s">
        <v>1757</v>
      </c>
      <c r="D35" s="12" t="str">
        <f t="shared" si="1"/>
        <v>1034,'007760','ANIM 5°'</v>
      </c>
      <c r="E35" s="12" t="str">
        <f t="shared" si="0"/>
        <v>INSERT INTO grupos (id,matricula,grupo) values (1034,'007760','ANIM 5°');</v>
      </c>
    </row>
    <row r="36" spans="1:5" ht="43.5" x14ac:dyDescent="0.35">
      <c r="A36">
        <v>1035</v>
      </c>
      <c r="B36" t="s">
        <v>2262</v>
      </c>
      <c r="C36" t="s">
        <v>1758</v>
      </c>
      <c r="D36" s="12" t="str">
        <f t="shared" si="1"/>
        <v>1035,'007767','ARQ 5°'</v>
      </c>
      <c r="E36" s="12" t="str">
        <f t="shared" si="0"/>
        <v>INSERT INTO grupos (id,matricula,grupo) values (1035,'007767','ARQ 5°');</v>
      </c>
    </row>
    <row r="37" spans="1:5" ht="43.5" x14ac:dyDescent="0.35">
      <c r="A37">
        <v>1036</v>
      </c>
      <c r="B37" t="s">
        <v>2263</v>
      </c>
      <c r="C37" t="s">
        <v>1759</v>
      </c>
      <c r="D37" s="12" t="str">
        <f t="shared" si="1"/>
        <v>1036,'007936','ARQ 3°'</v>
      </c>
      <c r="E37" s="12" t="str">
        <f t="shared" si="0"/>
        <v>INSERT INTO grupos (id,matricula,grupo) values (1036,'007936','ARQ 3°');</v>
      </c>
    </row>
    <row r="38" spans="1:5" ht="43.5" x14ac:dyDescent="0.35">
      <c r="A38">
        <v>1037</v>
      </c>
      <c r="B38" t="s">
        <v>2263</v>
      </c>
      <c r="C38" t="s">
        <v>1836</v>
      </c>
      <c r="D38" s="12" t="str">
        <f t="shared" si="1"/>
        <v>1037,'007936','TC0302_1'</v>
      </c>
      <c r="E38" s="12" t="str">
        <f t="shared" si="0"/>
        <v>INSERT INTO grupos (id,matricula,grupo) values (1037,'007936','TC0302_1');</v>
      </c>
    </row>
    <row r="39" spans="1:5" ht="43.5" x14ac:dyDescent="0.35">
      <c r="A39">
        <v>1038</v>
      </c>
      <c r="B39" t="s">
        <v>2263</v>
      </c>
      <c r="C39" t="s">
        <v>1844</v>
      </c>
      <c r="D39" s="12" t="str">
        <f t="shared" si="1"/>
        <v>1038,'007936','TC0303_1'</v>
      </c>
      <c r="E39" s="12" t="str">
        <f t="shared" si="0"/>
        <v>INSERT INTO grupos (id,matricula,grupo) values (1038,'007936','TC0303_1');</v>
      </c>
    </row>
    <row r="40" spans="1:5" ht="43.5" x14ac:dyDescent="0.35">
      <c r="A40">
        <v>1039</v>
      </c>
      <c r="B40" t="s">
        <v>2264</v>
      </c>
      <c r="C40" t="s">
        <v>1749</v>
      </c>
      <c r="D40" s="12" t="str">
        <f t="shared" si="1"/>
        <v>1039,'007948','PSI 5°'</v>
      </c>
      <c r="E40" s="12" t="str">
        <f t="shared" si="0"/>
        <v>INSERT INTO grupos (id,matricula,grupo) values (1039,'007948','PSI 5°');</v>
      </c>
    </row>
    <row r="41" spans="1:5" ht="43.5" x14ac:dyDescent="0.35">
      <c r="A41">
        <v>1040</v>
      </c>
      <c r="B41" t="s">
        <v>2264</v>
      </c>
      <c r="C41" t="s">
        <v>1823</v>
      </c>
      <c r="D41" s="12" t="str">
        <f t="shared" si="1"/>
        <v>1040,'007948','TC0501_6'</v>
      </c>
      <c r="E41" s="12" t="str">
        <f t="shared" si="0"/>
        <v>INSERT INTO grupos (id,matricula,grupo) values (1040,'007948','TC0501_6');</v>
      </c>
    </row>
    <row r="42" spans="1:5" ht="43.5" x14ac:dyDescent="0.35">
      <c r="A42">
        <v>1041</v>
      </c>
      <c r="B42" t="s">
        <v>2265</v>
      </c>
      <c r="C42" t="s">
        <v>1760</v>
      </c>
      <c r="D42" s="12" t="str">
        <f t="shared" si="1"/>
        <v>1041,'008250','ARQ 1°'</v>
      </c>
      <c r="E42" s="12" t="str">
        <f t="shared" si="0"/>
        <v>INSERT INTO grupos (id,matricula,grupo) values (1041,'008250','ARQ 1°');</v>
      </c>
    </row>
    <row r="43" spans="1:5" ht="43.5" x14ac:dyDescent="0.35">
      <c r="A43">
        <v>1042</v>
      </c>
      <c r="B43" t="s">
        <v>2265</v>
      </c>
      <c r="C43" t="s">
        <v>1817</v>
      </c>
      <c r="D43" s="12" t="str">
        <f t="shared" si="1"/>
        <v>1042,'008250','TC0101_2'</v>
      </c>
      <c r="E43" s="12" t="str">
        <f t="shared" si="0"/>
        <v>INSERT INTO grupos (id,matricula,grupo) values (1042,'008250','TC0101_2');</v>
      </c>
    </row>
    <row r="44" spans="1:5" ht="43.5" x14ac:dyDescent="0.35">
      <c r="A44">
        <v>1043</v>
      </c>
      <c r="B44" t="s">
        <v>2265</v>
      </c>
      <c r="C44" t="s">
        <v>1843</v>
      </c>
      <c r="D44" s="12" t="str">
        <f t="shared" si="1"/>
        <v>1043,'008250','TC0102_2'</v>
      </c>
      <c r="E44" s="12" t="str">
        <f t="shared" si="0"/>
        <v>INSERT INTO grupos (id,matricula,grupo) values (1043,'008250','TC0102_2');</v>
      </c>
    </row>
    <row r="45" spans="1:5" ht="43.5" x14ac:dyDescent="0.35">
      <c r="A45">
        <v>1044</v>
      </c>
      <c r="B45" t="s">
        <v>2266</v>
      </c>
      <c r="C45" t="s">
        <v>1759</v>
      </c>
      <c r="D45" s="12" t="str">
        <f t="shared" si="1"/>
        <v>1044,'008268','ARQ 3°'</v>
      </c>
      <c r="E45" s="12" t="str">
        <f t="shared" si="0"/>
        <v>INSERT INTO grupos (id,matricula,grupo) values (1044,'008268','ARQ 3°');</v>
      </c>
    </row>
    <row r="46" spans="1:5" ht="43.5" x14ac:dyDescent="0.35">
      <c r="A46">
        <v>1045</v>
      </c>
      <c r="B46" t="s">
        <v>2266</v>
      </c>
      <c r="C46" t="s">
        <v>1836</v>
      </c>
      <c r="D46" s="12" t="str">
        <f t="shared" si="1"/>
        <v>1045,'008268','TC0302_1'</v>
      </c>
      <c r="E46" s="12" t="str">
        <f t="shared" si="0"/>
        <v>INSERT INTO grupos (id,matricula,grupo) values (1045,'008268','TC0302_1');</v>
      </c>
    </row>
    <row r="47" spans="1:5" ht="43.5" x14ac:dyDescent="0.35">
      <c r="A47">
        <v>1046</v>
      </c>
      <c r="B47" t="s">
        <v>2266</v>
      </c>
      <c r="C47" t="s">
        <v>1844</v>
      </c>
      <c r="D47" s="12" t="str">
        <f t="shared" si="1"/>
        <v>1046,'008268','TC0303_1'</v>
      </c>
      <c r="E47" s="12" t="str">
        <f t="shared" si="0"/>
        <v>INSERT INTO grupos (id,matricula,grupo) values (1046,'008268','TC0303_1');</v>
      </c>
    </row>
    <row r="48" spans="1:5" ht="43.5" x14ac:dyDescent="0.35">
      <c r="A48">
        <v>1047</v>
      </c>
      <c r="B48" t="s">
        <v>2267</v>
      </c>
      <c r="C48" t="s">
        <v>1752</v>
      </c>
      <c r="D48" s="12" t="str">
        <f t="shared" si="1"/>
        <v>1047,'109374','AERO 7°'</v>
      </c>
      <c r="E48" s="12" t="str">
        <f t="shared" si="0"/>
        <v>INSERT INTO grupos (id,matricula,grupo) values (1047,'109374','AERO 7°');</v>
      </c>
    </row>
    <row r="49" spans="1:5" ht="43.5" x14ac:dyDescent="0.35">
      <c r="A49">
        <v>1048</v>
      </c>
      <c r="B49" t="s">
        <v>2267</v>
      </c>
      <c r="C49" t="s">
        <v>1805</v>
      </c>
      <c r="D49" s="12" t="str">
        <f t="shared" si="1"/>
        <v>1048,'109374','TC0702_5'</v>
      </c>
      <c r="E49" s="12" t="str">
        <f t="shared" si="0"/>
        <v>INSERT INTO grupos (id,matricula,grupo) values (1048,'109374','TC0702_5');</v>
      </c>
    </row>
    <row r="50" spans="1:5" ht="43.5" x14ac:dyDescent="0.35">
      <c r="A50">
        <v>1049</v>
      </c>
      <c r="B50" t="s">
        <v>2268</v>
      </c>
      <c r="C50" t="s">
        <v>1834</v>
      </c>
      <c r="D50" s="12" t="str">
        <f t="shared" si="1"/>
        <v>1049,'109978','TC0701_8'</v>
      </c>
      <c r="E50" s="12" t="str">
        <f t="shared" si="0"/>
        <v>INSERT INTO grupos (id,matricula,grupo) values (1049,'109978','TC0701_8');</v>
      </c>
    </row>
    <row r="51" spans="1:5" ht="43.5" x14ac:dyDescent="0.35">
      <c r="A51">
        <v>1050</v>
      </c>
      <c r="B51" t="s">
        <v>2268</v>
      </c>
      <c r="C51" t="s">
        <v>2269</v>
      </c>
      <c r="D51" s="12" t="str">
        <f t="shared" si="1"/>
        <v>1050,'109978','TC0703_8'</v>
      </c>
      <c r="E51" s="12" t="str">
        <f t="shared" si="0"/>
        <v>INSERT INTO grupos (id,matricula,grupo) values (1050,'109978','TC0703_8');</v>
      </c>
    </row>
    <row r="52" spans="1:5" ht="43.5" x14ac:dyDescent="0.35">
      <c r="A52">
        <v>1051</v>
      </c>
      <c r="B52" t="s">
        <v>2270</v>
      </c>
      <c r="C52" t="s">
        <v>1761</v>
      </c>
      <c r="D52" s="12" t="str">
        <f t="shared" si="1"/>
        <v>1051,'109984','AUTO 7°'</v>
      </c>
      <c r="E52" s="12" t="str">
        <f t="shared" si="0"/>
        <v>INSERT INTO grupos (id,matricula,grupo) values (1051,'109984','AUTO 7°');</v>
      </c>
    </row>
    <row r="53" spans="1:5" ht="43.5" x14ac:dyDescent="0.35">
      <c r="A53">
        <v>1052</v>
      </c>
      <c r="B53" t="s">
        <v>2271</v>
      </c>
      <c r="C53" t="s">
        <v>1746</v>
      </c>
      <c r="D53" s="12" t="str">
        <f t="shared" si="1"/>
        <v>1052,'110472','CIB 9°'</v>
      </c>
      <c r="E53" s="12" t="str">
        <f t="shared" si="0"/>
        <v>INSERT INTO grupos (id,matricula,grupo) values (1052,'110472','CIB 9°');</v>
      </c>
    </row>
    <row r="54" spans="1:5" ht="43.5" x14ac:dyDescent="0.35">
      <c r="A54">
        <v>1053</v>
      </c>
      <c r="B54" t="s">
        <v>2272</v>
      </c>
      <c r="C54" t="s">
        <v>1747</v>
      </c>
      <c r="D54" s="12" t="str">
        <f t="shared" si="1"/>
        <v>1053,'110475','NUT 9°'</v>
      </c>
      <c r="E54" s="12" t="str">
        <f t="shared" si="0"/>
        <v>INSERT INTO grupos (id,matricula,grupo) values (1053,'110475','NUT 9°');</v>
      </c>
    </row>
    <row r="55" spans="1:5" ht="43.5" x14ac:dyDescent="0.35">
      <c r="A55">
        <v>1054</v>
      </c>
      <c r="B55" t="s">
        <v>2273</v>
      </c>
      <c r="C55" t="s">
        <v>1747</v>
      </c>
      <c r="D55" s="12" t="str">
        <f t="shared" si="1"/>
        <v>1054,'110477','NUT 9°'</v>
      </c>
      <c r="E55" s="12" t="str">
        <f t="shared" si="0"/>
        <v>INSERT INTO grupos (id,matricula,grupo) values (1054,'110477','NUT 9°');</v>
      </c>
    </row>
    <row r="56" spans="1:5" ht="43.5" x14ac:dyDescent="0.35">
      <c r="A56">
        <v>1055</v>
      </c>
      <c r="B56" t="s">
        <v>2274</v>
      </c>
      <c r="C56" t="s">
        <v>1746</v>
      </c>
      <c r="D56" s="12" t="str">
        <f t="shared" si="1"/>
        <v>1055,'110478','CIB 9°'</v>
      </c>
      <c r="E56" s="12" t="str">
        <f t="shared" si="0"/>
        <v>INSERT INTO grupos (id,matricula,grupo) values (1055,'110478','CIB 9°');</v>
      </c>
    </row>
    <row r="57" spans="1:5" ht="43.5" x14ac:dyDescent="0.35">
      <c r="A57">
        <v>1056</v>
      </c>
      <c r="B57" t="s">
        <v>2275</v>
      </c>
      <c r="C57" t="s">
        <v>1762</v>
      </c>
      <c r="D57" s="12" t="str">
        <f t="shared" si="1"/>
        <v>1056,'110481','DER 9°'</v>
      </c>
      <c r="E57" s="12" t="str">
        <f t="shared" si="0"/>
        <v>INSERT INTO grupos (id,matricula,grupo) values (1056,'110481','DER 9°');</v>
      </c>
    </row>
    <row r="58" spans="1:5" ht="43.5" x14ac:dyDescent="0.35">
      <c r="A58">
        <v>1057</v>
      </c>
      <c r="B58" t="s">
        <v>2276</v>
      </c>
      <c r="C58" t="s">
        <v>1747</v>
      </c>
      <c r="D58" s="12" t="str">
        <f t="shared" si="1"/>
        <v>1057,'110492','NUT 9°'</v>
      </c>
      <c r="E58" s="12" t="str">
        <f t="shared" si="0"/>
        <v>INSERT INTO grupos (id,matricula,grupo) values (1057,'110492','NUT 9°');</v>
      </c>
    </row>
    <row r="59" spans="1:5" ht="43.5" x14ac:dyDescent="0.35">
      <c r="A59">
        <v>1058</v>
      </c>
      <c r="B59" t="s">
        <v>2277</v>
      </c>
      <c r="C59" t="s">
        <v>1762</v>
      </c>
      <c r="D59" s="12" t="str">
        <f t="shared" si="1"/>
        <v>1058,'110493','DER 9°'</v>
      </c>
      <c r="E59" s="12" t="str">
        <f t="shared" si="0"/>
        <v>INSERT INTO grupos (id,matricula,grupo) values (1058,'110493','DER 9°');</v>
      </c>
    </row>
    <row r="60" spans="1:5" ht="43.5" x14ac:dyDescent="0.35">
      <c r="A60">
        <v>1059</v>
      </c>
      <c r="B60" t="s">
        <v>2278</v>
      </c>
      <c r="C60" t="s">
        <v>1747</v>
      </c>
      <c r="D60" s="12" t="str">
        <f t="shared" si="1"/>
        <v>1059,'110495','NUT 9°'</v>
      </c>
      <c r="E60" s="12" t="str">
        <f t="shared" si="0"/>
        <v>INSERT INTO grupos (id,matricula,grupo) values (1059,'110495','NUT 9°');</v>
      </c>
    </row>
    <row r="61" spans="1:5" ht="43.5" x14ac:dyDescent="0.35">
      <c r="A61">
        <v>1060</v>
      </c>
      <c r="B61" t="s">
        <v>2279</v>
      </c>
      <c r="C61" t="s">
        <v>1746</v>
      </c>
      <c r="D61" s="12" t="str">
        <f t="shared" si="1"/>
        <v>1060,'110497','CIB 9°'</v>
      </c>
      <c r="E61" s="12" t="str">
        <f t="shared" si="0"/>
        <v>INSERT INTO grupos (id,matricula,grupo) values (1060,'110497','CIB 9°');</v>
      </c>
    </row>
    <row r="62" spans="1:5" ht="43.5" x14ac:dyDescent="0.35">
      <c r="A62">
        <v>1061</v>
      </c>
      <c r="B62" t="s">
        <v>2280</v>
      </c>
      <c r="C62" t="s">
        <v>1747</v>
      </c>
      <c r="D62" s="12" t="str">
        <f t="shared" si="1"/>
        <v>1061,'110501','NUT 9°'</v>
      </c>
      <c r="E62" s="12" t="str">
        <f t="shared" si="0"/>
        <v>INSERT INTO grupos (id,matricula,grupo) values (1061,'110501','NUT 9°');</v>
      </c>
    </row>
    <row r="63" spans="1:5" ht="43.5" x14ac:dyDescent="0.35">
      <c r="A63">
        <v>1062</v>
      </c>
      <c r="B63" t="s">
        <v>2281</v>
      </c>
      <c r="C63" t="s">
        <v>1747</v>
      </c>
      <c r="D63" s="12" t="str">
        <f t="shared" si="1"/>
        <v>1062,'110504','NUT 9°'</v>
      </c>
      <c r="E63" s="12" t="str">
        <f t="shared" si="0"/>
        <v>INSERT INTO grupos (id,matricula,grupo) values (1062,'110504','NUT 9°');</v>
      </c>
    </row>
    <row r="64" spans="1:5" ht="43.5" x14ac:dyDescent="0.35">
      <c r="A64">
        <v>1063</v>
      </c>
      <c r="B64" t="s">
        <v>2282</v>
      </c>
      <c r="C64" t="s">
        <v>1762</v>
      </c>
      <c r="D64" s="12" t="str">
        <f t="shared" si="1"/>
        <v>1063,'110518','DER 9°'</v>
      </c>
      <c r="E64" s="12" t="str">
        <f t="shared" si="0"/>
        <v>INSERT INTO grupos (id,matricula,grupo) values (1063,'110518','DER 9°');</v>
      </c>
    </row>
    <row r="65" spans="1:5" ht="43.5" x14ac:dyDescent="0.35">
      <c r="A65">
        <v>1064</v>
      </c>
      <c r="B65" t="s">
        <v>2283</v>
      </c>
      <c r="C65" t="s">
        <v>1747</v>
      </c>
      <c r="D65" s="12" t="str">
        <f t="shared" si="1"/>
        <v>1064,'110523','NUT 9°'</v>
      </c>
      <c r="E65" s="12" t="str">
        <f t="shared" si="0"/>
        <v>INSERT INTO grupos (id,matricula,grupo) values (1064,'110523','NUT 9°');</v>
      </c>
    </row>
    <row r="66" spans="1:5" ht="43.5" x14ac:dyDescent="0.35">
      <c r="A66">
        <v>1065</v>
      </c>
      <c r="B66" t="s">
        <v>2284</v>
      </c>
      <c r="C66" t="s">
        <v>1746</v>
      </c>
      <c r="D66" s="12" t="str">
        <f t="shared" si="1"/>
        <v>1065,'110527','CIB 9°'</v>
      </c>
      <c r="E66" s="12" t="str">
        <f t="shared" ref="E66:E129" si="2">CONCATENATE($D$1,D66,");")</f>
        <v>INSERT INTO grupos (id,matricula,grupo) values (1065,'110527','CIB 9°');</v>
      </c>
    </row>
    <row r="67" spans="1:5" ht="43.5" x14ac:dyDescent="0.35">
      <c r="A67">
        <v>1066</v>
      </c>
      <c r="B67" t="s">
        <v>2285</v>
      </c>
      <c r="C67" t="s">
        <v>1747</v>
      </c>
      <c r="D67" s="12" t="str">
        <f t="shared" ref="D67:D130" si="3">CONCATENATE(A67,",'",TRIM(B67),"','",C67,"'")</f>
        <v>1066,'110553','NUT 9°'</v>
      </c>
      <c r="E67" s="12" t="str">
        <f t="shared" si="2"/>
        <v>INSERT INTO grupos (id,matricula,grupo) values (1066,'110553','NUT 9°');</v>
      </c>
    </row>
    <row r="68" spans="1:5" ht="43.5" x14ac:dyDescent="0.35">
      <c r="A68">
        <v>1067</v>
      </c>
      <c r="B68" t="s">
        <v>2286</v>
      </c>
      <c r="C68" t="s">
        <v>1746</v>
      </c>
      <c r="D68" s="12" t="str">
        <f t="shared" si="3"/>
        <v>1067,'110556','CIB 9°'</v>
      </c>
      <c r="E68" s="12" t="str">
        <f t="shared" si="2"/>
        <v>INSERT INTO grupos (id,matricula,grupo) values (1067,'110556','CIB 9°');</v>
      </c>
    </row>
    <row r="69" spans="1:5" ht="43.5" x14ac:dyDescent="0.35">
      <c r="A69">
        <v>1068</v>
      </c>
      <c r="B69" t="s">
        <v>2287</v>
      </c>
      <c r="C69" t="s">
        <v>1746</v>
      </c>
      <c r="D69" s="12" t="str">
        <f t="shared" si="3"/>
        <v>1068,'110561','CIB 9°'</v>
      </c>
      <c r="E69" s="12" t="str">
        <f t="shared" si="2"/>
        <v>INSERT INTO grupos (id,matricula,grupo) values (1068,'110561','CIB 9°');</v>
      </c>
    </row>
    <row r="70" spans="1:5" ht="43.5" x14ac:dyDescent="0.35">
      <c r="A70">
        <v>1069</v>
      </c>
      <c r="B70" t="s">
        <v>2288</v>
      </c>
      <c r="C70" t="s">
        <v>1747</v>
      </c>
      <c r="D70" s="12" t="str">
        <f t="shared" si="3"/>
        <v>1069,'110596','NUT 9°'</v>
      </c>
      <c r="E70" s="12" t="str">
        <f t="shared" si="2"/>
        <v>INSERT INTO grupos (id,matricula,grupo) values (1069,'110596','NUT 9°');</v>
      </c>
    </row>
    <row r="71" spans="1:5" ht="43.5" x14ac:dyDescent="0.35">
      <c r="A71">
        <v>1070</v>
      </c>
      <c r="B71" t="s">
        <v>2289</v>
      </c>
      <c r="C71" t="s">
        <v>1762</v>
      </c>
      <c r="D71" s="12" t="str">
        <f t="shared" si="3"/>
        <v>1070,'110604','DER 9°'</v>
      </c>
      <c r="E71" s="12" t="str">
        <f t="shared" si="2"/>
        <v>INSERT INTO grupos (id,matricula,grupo) values (1070,'110604','DER 9°');</v>
      </c>
    </row>
    <row r="72" spans="1:5" ht="43.5" x14ac:dyDescent="0.35">
      <c r="A72">
        <v>1071</v>
      </c>
      <c r="B72" t="s">
        <v>2290</v>
      </c>
      <c r="C72" t="s">
        <v>1746</v>
      </c>
      <c r="D72" s="12" t="str">
        <f t="shared" si="3"/>
        <v>1071,'110612','CIB 9°'</v>
      </c>
      <c r="E72" s="12" t="str">
        <f t="shared" si="2"/>
        <v>INSERT INTO grupos (id,matricula,grupo) values (1071,'110612','CIB 9°');</v>
      </c>
    </row>
    <row r="73" spans="1:5" ht="43.5" x14ac:dyDescent="0.35">
      <c r="A73">
        <v>1072</v>
      </c>
      <c r="B73" t="s">
        <v>2291</v>
      </c>
      <c r="C73" t="s">
        <v>1763</v>
      </c>
      <c r="D73" s="12" t="str">
        <f t="shared" si="3"/>
        <v>1072,'110616','DGD 7°'</v>
      </c>
      <c r="E73" s="12" t="str">
        <f t="shared" si="2"/>
        <v>INSERT INTO grupos (id,matricula,grupo) values (1072,'110616','DGD 7°');</v>
      </c>
    </row>
    <row r="74" spans="1:5" ht="43.5" x14ac:dyDescent="0.35">
      <c r="A74">
        <v>1073</v>
      </c>
      <c r="B74" t="s">
        <v>2292</v>
      </c>
      <c r="C74" t="s">
        <v>1763</v>
      </c>
      <c r="D74" s="12" t="str">
        <f t="shared" si="3"/>
        <v>1073,'110617','DGD 7°'</v>
      </c>
      <c r="E74" s="12" t="str">
        <f t="shared" si="2"/>
        <v>INSERT INTO grupos (id,matricula,grupo) values (1073,'110617','DGD 7°');</v>
      </c>
    </row>
    <row r="75" spans="1:5" ht="43.5" x14ac:dyDescent="0.35">
      <c r="A75">
        <v>1074</v>
      </c>
      <c r="B75" t="s">
        <v>2293</v>
      </c>
      <c r="C75" t="s">
        <v>1747</v>
      </c>
      <c r="D75" s="12" t="str">
        <f t="shared" si="3"/>
        <v>1074,'110623','NUT 9°'</v>
      </c>
      <c r="E75" s="12" t="str">
        <f t="shared" si="2"/>
        <v>INSERT INTO grupos (id,matricula,grupo) values (1074,'110623','NUT 9°');</v>
      </c>
    </row>
    <row r="76" spans="1:5" ht="43.5" x14ac:dyDescent="0.35">
      <c r="A76">
        <v>1075</v>
      </c>
      <c r="B76" t="s">
        <v>2294</v>
      </c>
      <c r="C76" t="s">
        <v>1746</v>
      </c>
      <c r="D76" s="12" t="str">
        <f t="shared" si="3"/>
        <v>1075,'110628','CIB 9°'</v>
      </c>
      <c r="E76" s="12" t="str">
        <f t="shared" si="2"/>
        <v>INSERT INTO grupos (id,matricula,grupo) values (1075,'110628','CIB 9°');</v>
      </c>
    </row>
    <row r="77" spans="1:5" ht="43.5" x14ac:dyDescent="0.35">
      <c r="A77">
        <v>1076</v>
      </c>
      <c r="B77" t="s">
        <v>2295</v>
      </c>
      <c r="C77" t="s">
        <v>1762</v>
      </c>
      <c r="D77" s="12" t="str">
        <f t="shared" si="3"/>
        <v>1076,'110630','DER 9°'</v>
      </c>
      <c r="E77" s="12" t="str">
        <f t="shared" si="2"/>
        <v>INSERT INTO grupos (id,matricula,grupo) values (1076,'110630','DER 9°');</v>
      </c>
    </row>
    <row r="78" spans="1:5" ht="43.5" x14ac:dyDescent="0.35">
      <c r="A78">
        <v>1077</v>
      </c>
      <c r="B78" t="s">
        <v>2296</v>
      </c>
      <c r="C78" t="s">
        <v>1750</v>
      </c>
      <c r="D78" s="12" t="str">
        <f t="shared" si="3"/>
        <v>1077,'110643','ADMON 7°'</v>
      </c>
      <c r="E78" s="12" t="str">
        <f t="shared" si="2"/>
        <v>INSERT INTO grupos (id,matricula,grupo) values (1077,'110643','ADMON 7°');</v>
      </c>
    </row>
    <row r="79" spans="1:5" ht="43.5" x14ac:dyDescent="0.35">
      <c r="A79">
        <v>1078</v>
      </c>
      <c r="B79" t="s">
        <v>2296</v>
      </c>
      <c r="C79" t="s">
        <v>1828</v>
      </c>
      <c r="D79" s="12" t="str">
        <f t="shared" si="3"/>
        <v>1078,'110643','TC0701_3'</v>
      </c>
      <c r="E79" s="12" t="str">
        <f t="shared" si="2"/>
        <v>INSERT INTO grupos (id,matricula,grupo) values (1078,'110643','TC0701_3');</v>
      </c>
    </row>
    <row r="80" spans="1:5" ht="43.5" x14ac:dyDescent="0.35">
      <c r="A80">
        <v>1079</v>
      </c>
      <c r="B80" t="s">
        <v>2296</v>
      </c>
      <c r="C80" t="s">
        <v>2250</v>
      </c>
      <c r="D80" s="12" t="str">
        <f t="shared" si="3"/>
        <v>1079,'110643','TC0703_3'</v>
      </c>
      <c r="E80" s="12" t="str">
        <f t="shared" si="2"/>
        <v>INSERT INTO grupos (id,matricula,grupo) values (1079,'110643','TC0703_3');</v>
      </c>
    </row>
    <row r="81" spans="1:5" ht="43.5" x14ac:dyDescent="0.35">
      <c r="A81">
        <v>1080</v>
      </c>
      <c r="B81" t="s">
        <v>2297</v>
      </c>
      <c r="C81" t="s">
        <v>1747</v>
      </c>
      <c r="D81" s="12" t="str">
        <f t="shared" si="3"/>
        <v>1080,'110664','NUT 9°'</v>
      </c>
      <c r="E81" s="12" t="str">
        <f t="shared" si="2"/>
        <v>INSERT INTO grupos (id,matricula,grupo) values (1080,'110664','NUT 9°');</v>
      </c>
    </row>
    <row r="82" spans="1:5" ht="43.5" x14ac:dyDescent="0.35">
      <c r="A82">
        <v>1081</v>
      </c>
      <c r="B82" t="s">
        <v>2298</v>
      </c>
      <c r="C82" t="s">
        <v>1746</v>
      </c>
      <c r="D82" s="12" t="str">
        <f t="shared" si="3"/>
        <v>1081,'110667','CIB 9°'</v>
      </c>
      <c r="E82" s="12" t="str">
        <f t="shared" si="2"/>
        <v>INSERT INTO grupos (id,matricula,grupo) values (1081,'110667','CIB 9°');</v>
      </c>
    </row>
    <row r="83" spans="1:5" ht="43.5" x14ac:dyDescent="0.35">
      <c r="A83">
        <v>1082</v>
      </c>
      <c r="B83" t="s">
        <v>2299</v>
      </c>
      <c r="C83" t="s">
        <v>1746</v>
      </c>
      <c r="D83" s="12" t="str">
        <f t="shared" si="3"/>
        <v>1082,'110674','CIB 9°'</v>
      </c>
      <c r="E83" s="12" t="str">
        <f t="shared" si="2"/>
        <v>INSERT INTO grupos (id,matricula,grupo) values (1082,'110674','CIB 9°');</v>
      </c>
    </row>
    <row r="84" spans="1:5" ht="43.5" x14ac:dyDescent="0.35">
      <c r="A84">
        <v>1083</v>
      </c>
      <c r="B84" t="s">
        <v>2300</v>
      </c>
      <c r="C84" t="s">
        <v>1747</v>
      </c>
      <c r="D84" s="12" t="str">
        <f t="shared" si="3"/>
        <v>1083,'110714','NUT 9°'</v>
      </c>
      <c r="E84" s="12" t="str">
        <f t="shared" si="2"/>
        <v>INSERT INTO grupos (id,matricula,grupo) values (1083,'110714','NUT 9°');</v>
      </c>
    </row>
    <row r="85" spans="1:5" ht="43.5" x14ac:dyDescent="0.35">
      <c r="A85">
        <v>1084</v>
      </c>
      <c r="B85" t="s">
        <v>2301</v>
      </c>
      <c r="C85" t="s">
        <v>1762</v>
      </c>
      <c r="D85" s="12" t="str">
        <f t="shared" si="3"/>
        <v>1084,'110730','DER 9°'</v>
      </c>
      <c r="E85" s="12" t="str">
        <f t="shared" si="2"/>
        <v>INSERT INTO grupos (id,matricula,grupo) values (1084,'110730','DER 9°');</v>
      </c>
    </row>
    <row r="86" spans="1:5" ht="43.5" x14ac:dyDescent="0.35">
      <c r="A86">
        <v>1085</v>
      </c>
      <c r="B86" t="s">
        <v>2302</v>
      </c>
      <c r="C86" t="s">
        <v>1762</v>
      </c>
      <c r="D86" s="12" t="str">
        <f t="shared" si="3"/>
        <v>1085,'110763','DER 9°'</v>
      </c>
      <c r="E86" s="12" t="str">
        <f t="shared" si="2"/>
        <v>INSERT INTO grupos (id,matricula,grupo) values (1085,'110763','DER 9°');</v>
      </c>
    </row>
    <row r="87" spans="1:5" ht="43.5" x14ac:dyDescent="0.35">
      <c r="A87">
        <v>1086</v>
      </c>
      <c r="B87" t="s">
        <v>2303</v>
      </c>
      <c r="C87" t="s">
        <v>1754</v>
      </c>
      <c r="D87" s="12" t="str">
        <f t="shared" si="3"/>
        <v>1086,'111028','ARQ 7°'</v>
      </c>
      <c r="E87" s="12" t="str">
        <f t="shared" si="2"/>
        <v>INSERT INTO grupos (id,matricula,grupo) values (1086,'111028','ARQ 7°');</v>
      </c>
    </row>
    <row r="88" spans="1:5" ht="43.5" x14ac:dyDescent="0.35">
      <c r="A88">
        <v>1087</v>
      </c>
      <c r="B88" t="s">
        <v>2303</v>
      </c>
      <c r="C88" t="s">
        <v>1801</v>
      </c>
      <c r="D88" s="12" t="str">
        <f t="shared" si="3"/>
        <v>1087,'111028','TC0702_1'</v>
      </c>
      <c r="E88" s="12" t="str">
        <f t="shared" si="2"/>
        <v>INSERT INTO grupos (id,matricula,grupo) values (1087,'111028','TC0702_1');</v>
      </c>
    </row>
    <row r="89" spans="1:5" ht="43.5" x14ac:dyDescent="0.35">
      <c r="A89">
        <v>1088</v>
      </c>
      <c r="B89" t="s">
        <v>2304</v>
      </c>
      <c r="C89" t="s">
        <v>1764</v>
      </c>
      <c r="D89" s="12" t="str">
        <f t="shared" si="3"/>
        <v>1088,'111030','PSI 7°'</v>
      </c>
      <c r="E89" s="12" t="str">
        <f t="shared" si="2"/>
        <v>INSERT INTO grupos (id,matricula,grupo) values (1088,'111030','PSI 7°');</v>
      </c>
    </row>
    <row r="90" spans="1:5" ht="43.5" x14ac:dyDescent="0.35">
      <c r="A90">
        <v>1089</v>
      </c>
      <c r="B90" t="s">
        <v>2305</v>
      </c>
      <c r="C90" t="s">
        <v>1752</v>
      </c>
      <c r="D90" s="12" t="str">
        <f t="shared" si="3"/>
        <v>1089,'111031','AERO 7°'</v>
      </c>
      <c r="E90" s="12" t="str">
        <f t="shared" si="2"/>
        <v>INSERT INTO grupos (id,matricula,grupo) values (1089,'111031','AERO 7°');</v>
      </c>
    </row>
    <row r="91" spans="1:5" ht="43.5" x14ac:dyDescent="0.35">
      <c r="A91">
        <v>1090</v>
      </c>
      <c r="B91" t="s">
        <v>2305</v>
      </c>
      <c r="C91" t="s">
        <v>1804</v>
      </c>
      <c r="D91" s="12" t="str">
        <f t="shared" si="3"/>
        <v>1090,'111031','TC0702_4'</v>
      </c>
      <c r="E91" s="12" t="str">
        <f t="shared" si="2"/>
        <v>INSERT INTO grupos (id,matricula,grupo) values (1090,'111031','TC0702_4');</v>
      </c>
    </row>
    <row r="92" spans="1:5" ht="43.5" x14ac:dyDescent="0.35">
      <c r="A92">
        <v>1091</v>
      </c>
      <c r="B92" t="s">
        <v>2306</v>
      </c>
      <c r="C92" t="s">
        <v>1753</v>
      </c>
      <c r="D92" s="12" t="str">
        <f t="shared" si="3"/>
        <v>1091,'111032','NUT 7°'</v>
      </c>
      <c r="E92" s="12" t="str">
        <f t="shared" si="2"/>
        <v>INSERT INTO grupos (id,matricula,grupo) values (1091,'111032','NUT 7°');</v>
      </c>
    </row>
    <row r="93" spans="1:5" ht="43.5" x14ac:dyDescent="0.35">
      <c r="A93">
        <v>1092</v>
      </c>
      <c r="B93" t="s">
        <v>2307</v>
      </c>
      <c r="C93" t="s">
        <v>1763</v>
      </c>
      <c r="D93" s="12" t="str">
        <f t="shared" si="3"/>
        <v>1092,'111034','DGD 7°'</v>
      </c>
      <c r="E93" s="12" t="str">
        <f t="shared" si="2"/>
        <v>INSERT INTO grupos (id,matricula,grupo) values (1092,'111034','DGD 7°');</v>
      </c>
    </row>
    <row r="94" spans="1:5" ht="43.5" x14ac:dyDescent="0.35">
      <c r="A94">
        <v>1093</v>
      </c>
      <c r="B94" t="s">
        <v>2307</v>
      </c>
      <c r="C94" t="s">
        <v>1804</v>
      </c>
      <c r="D94" s="12" t="str">
        <f t="shared" si="3"/>
        <v>1093,'111034','TC0702_4'</v>
      </c>
      <c r="E94" s="12" t="str">
        <f t="shared" si="2"/>
        <v>INSERT INTO grupos (id,matricula,grupo) values (1093,'111034','TC0702_4');</v>
      </c>
    </row>
    <row r="95" spans="1:5" ht="43.5" x14ac:dyDescent="0.35">
      <c r="A95">
        <v>1094</v>
      </c>
      <c r="B95" t="s">
        <v>2308</v>
      </c>
      <c r="C95" t="s">
        <v>1764</v>
      </c>
      <c r="D95" s="12" t="str">
        <f t="shared" si="3"/>
        <v>1094,'111035','PSI 7°'</v>
      </c>
      <c r="E95" s="12" t="str">
        <f t="shared" si="2"/>
        <v>INSERT INTO grupos (id,matricula,grupo) values (1094,'111035','PSI 7°');</v>
      </c>
    </row>
    <row r="96" spans="1:5" ht="43.5" x14ac:dyDescent="0.35">
      <c r="A96">
        <v>1095</v>
      </c>
      <c r="B96" t="s">
        <v>2308</v>
      </c>
      <c r="C96" t="s">
        <v>1804</v>
      </c>
      <c r="D96" s="12" t="str">
        <f t="shared" si="3"/>
        <v>1095,'111035','TC0702_4'</v>
      </c>
      <c r="E96" s="12" t="str">
        <f t="shared" si="2"/>
        <v>INSERT INTO grupos (id,matricula,grupo) values (1095,'111035','TC0702_4');</v>
      </c>
    </row>
    <row r="97" spans="1:5" ht="43.5" x14ac:dyDescent="0.35">
      <c r="A97">
        <v>1096</v>
      </c>
      <c r="B97" t="s">
        <v>2309</v>
      </c>
      <c r="C97" t="s">
        <v>1764</v>
      </c>
      <c r="D97" s="12" t="str">
        <f t="shared" si="3"/>
        <v>1096,'111036','PSI 7°'</v>
      </c>
      <c r="E97" s="12" t="str">
        <f t="shared" si="2"/>
        <v>INSERT INTO grupos (id,matricula,grupo) values (1096,'111036','PSI 7°');</v>
      </c>
    </row>
    <row r="98" spans="1:5" ht="43.5" x14ac:dyDescent="0.35">
      <c r="A98">
        <v>1097</v>
      </c>
      <c r="B98" t="s">
        <v>2309</v>
      </c>
      <c r="C98" t="s">
        <v>1804</v>
      </c>
      <c r="D98" s="12" t="str">
        <f t="shared" si="3"/>
        <v>1097,'111036','TC0702_4'</v>
      </c>
      <c r="E98" s="12" t="str">
        <f t="shared" si="2"/>
        <v>INSERT INTO grupos (id,matricula,grupo) values (1097,'111036','TC0702_4');</v>
      </c>
    </row>
    <row r="99" spans="1:5" ht="43.5" x14ac:dyDescent="0.35">
      <c r="A99">
        <v>1098</v>
      </c>
      <c r="B99" t="s">
        <v>2310</v>
      </c>
      <c r="C99" t="s">
        <v>1755</v>
      </c>
      <c r="D99" s="12" t="str">
        <f t="shared" si="3"/>
        <v>1098,'111037','ANIM 7°'</v>
      </c>
      <c r="E99" s="12" t="str">
        <f t="shared" si="2"/>
        <v>INSERT INTO grupos (id,matricula,grupo) values (1098,'111037','ANIM 7°');</v>
      </c>
    </row>
    <row r="100" spans="1:5" ht="43.5" x14ac:dyDescent="0.35">
      <c r="A100">
        <v>1099</v>
      </c>
      <c r="B100" t="s">
        <v>2310</v>
      </c>
      <c r="C100" t="s">
        <v>1802</v>
      </c>
      <c r="D100" s="12" t="str">
        <f t="shared" si="3"/>
        <v>1099,'111037','TC0702_2'</v>
      </c>
      <c r="E100" s="12" t="str">
        <f t="shared" si="2"/>
        <v>INSERT INTO grupos (id,matricula,grupo) values (1099,'111037','TC0702_2');</v>
      </c>
    </row>
    <row r="101" spans="1:5" ht="43.5" x14ac:dyDescent="0.35">
      <c r="A101">
        <v>1100</v>
      </c>
      <c r="B101" t="s">
        <v>2311</v>
      </c>
      <c r="C101" t="s">
        <v>1761</v>
      </c>
      <c r="D101" s="12" t="str">
        <f t="shared" si="3"/>
        <v>1100,'111040','AUTO 7°'</v>
      </c>
      <c r="E101" s="12" t="str">
        <f t="shared" si="2"/>
        <v>INSERT INTO grupos (id,matricula,grupo) values (1100,'111040','AUTO 7°');</v>
      </c>
    </row>
    <row r="102" spans="1:5" ht="43.5" x14ac:dyDescent="0.35">
      <c r="A102">
        <v>1101</v>
      </c>
      <c r="B102" t="s">
        <v>2311</v>
      </c>
      <c r="C102" t="s">
        <v>1802</v>
      </c>
      <c r="D102" s="12" t="str">
        <f t="shared" si="3"/>
        <v>1101,'111040','TC0702_2'</v>
      </c>
      <c r="E102" s="12" t="str">
        <f t="shared" si="2"/>
        <v>INSERT INTO grupos (id,matricula,grupo) values (1101,'111040','TC0702_2');</v>
      </c>
    </row>
    <row r="103" spans="1:5" ht="43.5" x14ac:dyDescent="0.35">
      <c r="A103">
        <v>1102</v>
      </c>
      <c r="B103" t="s">
        <v>2312</v>
      </c>
      <c r="C103" t="s">
        <v>1754</v>
      </c>
      <c r="D103" s="12" t="str">
        <f t="shared" si="3"/>
        <v>1102,'111042','ARQ 7°'</v>
      </c>
      <c r="E103" s="12" t="str">
        <f t="shared" si="2"/>
        <v>INSERT INTO grupos (id,matricula,grupo) values (1102,'111042','ARQ 7°');</v>
      </c>
    </row>
    <row r="104" spans="1:5" ht="43.5" x14ac:dyDescent="0.35">
      <c r="A104">
        <v>1103</v>
      </c>
      <c r="B104" t="s">
        <v>2312</v>
      </c>
      <c r="C104" t="s">
        <v>1828</v>
      </c>
      <c r="D104" s="12" t="str">
        <f t="shared" si="3"/>
        <v>1103,'111042','TC0701_3'</v>
      </c>
      <c r="E104" s="12" t="str">
        <f t="shared" si="2"/>
        <v>INSERT INTO grupos (id,matricula,grupo) values (1103,'111042','TC0701_3');</v>
      </c>
    </row>
    <row r="105" spans="1:5" ht="43.5" x14ac:dyDescent="0.35">
      <c r="A105">
        <v>1104</v>
      </c>
      <c r="B105" t="s">
        <v>2312</v>
      </c>
      <c r="C105" t="s">
        <v>1802</v>
      </c>
      <c r="D105" s="12" t="str">
        <f t="shared" si="3"/>
        <v>1104,'111042','TC0702_2'</v>
      </c>
      <c r="E105" s="12" t="str">
        <f t="shared" si="2"/>
        <v>INSERT INTO grupos (id,matricula,grupo) values (1104,'111042','TC0702_2');</v>
      </c>
    </row>
    <row r="106" spans="1:5" ht="43.5" x14ac:dyDescent="0.35">
      <c r="A106">
        <v>1105</v>
      </c>
      <c r="B106" t="s">
        <v>2312</v>
      </c>
      <c r="C106" t="s">
        <v>2250</v>
      </c>
      <c r="D106" s="12" t="str">
        <f t="shared" si="3"/>
        <v>1105,'111042','TC0703_3'</v>
      </c>
      <c r="E106" s="12" t="str">
        <f t="shared" si="2"/>
        <v>INSERT INTO grupos (id,matricula,grupo) values (1105,'111042','TC0703_3');</v>
      </c>
    </row>
    <row r="107" spans="1:5" ht="43.5" x14ac:dyDescent="0.35">
      <c r="A107">
        <v>1106</v>
      </c>
      <c r="B107" t="s">
        <v>2313</v>
      </c>
      <c r="C107" t="s">
        <v>1764</v>
      </c>
      <c r="D107" s="12" t="str">
        <f t="shared" si="3"/>
        <v>1106,'111043','PSI 7°'</v>
      </c>
      <c r="E107" s="12" t="str">
        <f t="shared" si="2"/>
        <v>INSERT INTO grupos (id,matricula,grupo) values (1106,'111043','PSI 7°');</v>
      </c>
    </row>
    <row r="108" spans="1:5" ht="43.5" x14ac:dyDescent="0.35">
      <c r="A108">
        <v>1107</v>
      </c>
      <c r="B108" t="s">
        <v>2313</v>
      </c>
      <c r="C108" t="s">
        <v>1804</v>
      </c>
      <c r="D108" s="12" t="str">
        <f t="shared" si="3"/>
        <v>1107,'111043','TC0702_4'</v>
      </c>
      <c r="E108" s="12" t="str">
        <f t="shared" si="2"/>
        <v>INSERT INTO grupos (id,matricula,grupo) values (1107,'111043','TC0702_4');</v>
      </c>
    </row>
    <row r="109" spans="1:5" ht="43.5" x14ac:dyDescent="0.35">
      <c r="A109">
        <v>1108</v>
      </c>
      <c r="B109" t="s">
        <v>2314</v>
      </c>
      <c r="C109" t="s">
        <v>1750</v>
      </c>
      <c r="D109" s="12" t="str">
        <f t="shared" si="3"/>
        <v>1108,'111044','ADMON 7°'</v>
      </c>
      <c r="E109" s="12" t="str">
        <f t="shared" si="2"/>
        <v>INSERT INTO grupos (id,matricula,grupo) values (1108,'111044','ADMON 7°');</v>
      </c>
    </row>
    <row r="110" spans="1:5" ht="43.5" x14ac:dyDescent="0.35">
      <c r="A110">
        <v>1109</v>
      </c>
      <c r="B110" t="s">
        <v>2314</v>
      </c>
      <c r="C110" t="s">
        <v>1828</v>
      </c>
      <c r="D110" s="12" t="str">
        <f t="shared" si="3"/>
        <v>1109,'111044','TC0701_3'</v>
      </c>
      <c r="E110" s="12" t="str">
        <f t="shared" si="2"/>
        <v>INSERT INTO grupos (id,matricula,grupo) values (1109,'111044','TC0701_3');</v>
      </c>
    </row>
    <row r="111" spans="1:5" ht="43.5" x14ac:dyDescent="0.35">
      <c r="A111">
        <v>1110</v>
      </c>
      <c r="B111" t="s">
        <v>2314</v>
      </c>
      <c r="C111" t="s">
        <v>1804</v>
      </c>
      <c r="D111" s="12" t="str">
        <f t="shared" si="3"/>
        <v>1110,'111044','TC0702_4'</v>
      </c>
      <c r="E111" s="12" t="str">
        <f t="shared" si="2"/>
        <v>INSERT INTO grupos (id,matricula,grupo) values (1110,'111044','TC0702_4');</v>
      </c>
    </row>
    <row r="112" spans="1:5" ht="43.5" x14ac:dyDescent="0.35">
      <c r="A112">
        <v>1111</v>
      </c>
      <c r="B112" t="s">
        <v>2314</v>
      </c>
      <c r="C112" t="s">
        <v>2250</v>
      </c>
      <c r="D112" s="12" t="str">
        <f t="shared" si="3"/>
        <v>1111,'111044','TC0703_3'</v>
      </c>
      <c r="E112" s="12" t="str">
        <f t="shared" si="2"/>
        <v>INSERT INTO grupos (id,matricula,grupo) values (1111,'111044','TC0703_3');</v>
      </c>
    </row>
    <row r="113" spans="1:5" ht="43.5" x14ac:dyDescent="0.35">
      <c r="A113">
        <v>1112</v>
      </c>
      <c r="B113" t="s">
        <v>2315</v>
      </c>
      <c r="C113" t="s">
        <v>1750</v>
      </c>
      <c r="D113" s="12" t="str">
        <f t="shared" si="3"/>
        <v>1112,'111049','ADMON 7°'</v>
      </c>
      <c r="E113" s="12" t="str">
        <f t="shared" si="2"/>
        <v>INSERT INTO grupos (id,matricula,grupo) values (1112,'111049','ADMON 7°');</v>
      </c>
    </row>
    <row r="114" spans="1:5" ht="43.5" x14ac:dyDescent="0.35">
      <c r="A114">
        <v>1113</v>
      </c>
      <c r="B114" t="s">
        <v>2315</v>
      </c>
      <c r="C114" t="s">
        <v>1804</v>
      </c>
      <c r="D114" s="12" t="str">
        <f t="shared" si="3"/>
        <v>1113,'111049','TC0702_4'</v>
      </c>
      <c r="E114" s="12" t="str">
        <f t="shared" si="2"/>
        <v>INSERT INTO grupos (id,matricula,grupo) values (1113,'111049','TC0702_4');</v>
      </c>
    </row>
    <row r="115" spans="1:5" ht="43.5" x14ac:dyDescent="0.35">
      <c r="A115">
        <v>1114</v>
      </c>
      <c r="B115" t="s">
        <v>2316</v>
      </c>
      <c r="C115" t="s">
        <v>1750</v>
      </c>
      <c r="D115" s="12" t="str">
        <f t="shared" si="3"/>
        <v>1114,'111050','ADMON 7°'</v>
      </c>
      <c r="E115" s="12" t="str">
        <f t="shared" si="2"/>
        <v>INSERT INTO grupos (id,matricula,grupo) values (1114,'111050','ADMON 7°');</v>
      </c>
    </row>
    <row r="116" spans="1:5" ht="43.5" x14ac:dyDescent="0.35">
      <c r="A116">
        <v>1115</v>
      </c>
      <c r="B116" t="s">
        <v>2317</v>
      </c>
      <c r="C116" t="s">
        <v>1754</v>
      </c>
      <c r="D116" s="12" t="str">
        <f t="shared" si="3"/>
        <v>1115,'111051','ARQ 7°'</v>
      </c>
      <c r="E116" s="12" t="str">
        <f t="shared" si="2"/>
        <v>INSERT INTO grupos (id,matricula,grupo) values (1115,'111051','ARQ 7°');</v>
      </c>
    </row>
    <row r="117" spans="1:5" ht="43.5" x14ac:dyDescent="0.35">
      <c r="A117">
        <v>1116</v>
      </c>
      <c r="B117" t="s">
        <v>2318</v>
      </c>
      <c r="C117" t="s">
        <v>1754</v>
      </c>
      <c r="D117" s="12" t="str">
        <f t="shared" si="3"/>
        <v>1116,'111052','ARQ 7°'</v>
      </c>
      <c r="E117" s="12" t="str">
        <f t="shared" si="2"/>
        <v>INSERT INTO grupos (id,matricula,grupo) values (1116,'111052','ARQ 7°');</v>
      </c>
    </row>
    <row r="118" spans="1:5" ht="43.5" x14ac:dyDescent="0.35">
      <c r="A118">
        <v>1117</v>
      </c>
      <c r="B118" t="s">
        <v>2318</v>
      </c>
      <c r="C118" t="s">
        <v>1802</v>
      </c>
      <c r="D118" s="12" t="str">
        <f t="shared" si="3"/>
        <v>1117,'111052','TC0702_2'</v>
      </c>
      <c r="E118" s="12" t="str">
        <f t="shared" si="2"/>
        <v>INSERT INTO grupos (id,matricula,grupo) values (1117,'111052','TC0702_2');</v>
      </c>
    </row>
    <row r="119" spans="1:5" ht="43.5" x14ac:dyDescent="0.35">
      <c r="A119">
        <v>1118</v>
      </c>
      <c r="B119" t="s">
        <v>2319</v>
      </c>
      <c r="C119" t="s">
        <v>1764</v>
      </c>
      <c r="D119" s="12" t="str">
        <f t="shared" si="3"/>
        <v>1118,'111053','PSI 7°'</v>
      </c>
      <c r="E119" s="12" t="str">
        <f t="shared" si="2"/>
        <v>INSERT INTO grupos (id,matricula,grupo) values (1118,'111053','PSI 7°');</v>
      </c>
    </row>
    <row r="120" spans="1:5" ht="43.5" x14ac:dyDescent="0.35">
      <c r="A120">
        <v>1119</v>
      </c>
      <c r="B120" t="s">
        <v>2320</v>
      </c>
      <c r="C120" t="s">
        <v>1764</v>
      </c>
      <c r="D120" s="12" t="str">
        <f t="shared" si="3"/>
        <v>1119,'111054','PSI 7°'</v>
      </c>
      <c r="E120" s="12" t="str">
        <f t="shared" si="2"/>
        <v>INSERT INTO grupos (id,matricula,grupo) values (1119,'111054','PSI 7°');</v>
      </c>
    </row>
    <row r="121" spans="1:5" ht="43.5" x14ac:dyDescent="0.35">
      <c r="A121">
        <v>1120</v>
      </c>
      <c r="B121" t="s">
        <v>2321</v>
      </c>
      <c r="C121" t="s">
        <v>1755</v>
      </c>
      <c r="D121" s="12" t="str">
        <f t="shared" si="3"/>
        <v>1120,'111055','ANIM 7°'</v>
      </c>
      <c r="E121" s="12" t="str">
        <f t="shared" si="2"/>
        <v>INSERT INTO grupos (id,matricula,grupo) values (1120,'111055','ANIM 7°');</v>
      </c>
    </row>
    <row r="122" spans="1:5" ht="43.5" x14ac:dyDescent="0.35">
      <c r="A122">
        <v>1121</v>
      </c>
      <c r="B122" t="s">
        <v>2322</v>
      </c>
      <c r="C122" t="s">
        <v>1755</v>
      </c>
      <c r="D122" s="12" t="str">
        <f t="shared" si="3"/>
        <v>1121,'111063','ANIM 7°'</v>
      </c>
      <c r="E122" s="12" t="str">
        <f t="shared" si="2"/>
        <v>INSERT INTO grupos (id,matricula,grupo) values (1121,'111063','ANIM 7°');</v>
      </c>
    </row>
    <row r="123" spans="1:5" ht="43.5" x14ac:dyDescent="0.35">
      <c r="A123">
        <v>1122</v>
      </c>
      <c r="B123" t="s">
        <v>2323</v>
      </c>
      <c r="C123" t="s">
        <v>1753</v>
      </c>
      <c r="D123" s="12" t="str">
        <f t="shared" si="3"/>
        <v>1122,'111065','NUT 7°'</v>
      </c>
      <c r="E123" s="12" t="str">
        <f t="shared" si="2"/>
        <v>INSERT INTO grupos (id,matricula,grupo) values (1122,'111065','NUT 7°');</v>
      </c>
    </row>
    <row r="124" spans="1:5" ht="43.5" x14ac:dyDescent="0.35">
      <c r="A124">
        <v>1123</v>
      </c>
      <c r="B124" t="s">
        <v>2323</v>
      </c>
      <c r="C124" t="s">
        <v>1802</v>
      </c>
      <c r="D124" s="12" t="str">
        <f t="shared" si="3"/>
        <v>1123,'111065','TC0702_2'</v>
      </c>
      <c r="E124" s="12" t="str">
        <f t="shared" si="2"/>
        <v>INSERT INTO grupos (id,matricula,grupo) values (1123,'111065','TC0702_2');</v>
      </c>
    </row>
    <row r="125" spans="1:5" ht="43.5" x14ac:dyDescent="0.35">
      <c r="A125">
        <v>1124</v>
      </c>
      <c r="B125" t="s">
        <v>2324</v>
      </c>
      <c r="C125" t="s">
        <v>1752</v>
      </c>
      <c r="D125" s="12" t="str">
        <f t="shared" si="3"/>
        <v>1124,'111068','AERO 7°'</v>
      </c>
      <c r="E125" s="12" t="str">
        <f t="shared" si="2"/>
        <v>INSERT INTO grupos (id,matricula,grupo) values (1124,'111068','AERO 7°');</v>
      </c>
    </row>
    <row r="126" spans="1:5" ht="43.5" x14ac:dyDescent="0.35">
      <c r="A126">
        <v>1125</v>
      </c>
      <c r="B126" t="s">
        <v>2324</v>
      </c>
      <c r="C126" t="s">
        <v>1804</v>
      </c>
      <c r="D126" s="12" t="str">
        <f t="shared" si="3"/>
        <v>1125,'111068','TC0702_4'</v>
      </c>
      <c r="E126" s="12" t="str">
        <f t="shared" si="2"/>
        <v>INSERT INTO grupos (id,matricula,grupo) values (1125,'111068','TC0702_4');</v>
      </c>
    </row>
    <row r="127" spans="1:5" ht="43.5" x14ac:dyDescent="0.35">
      <c r="A127">
        <v>1126</v>
      </c>
      <c r="B127" t="s">
        <v>2325</v>
      </c>
      <c r="C127" t="s">
        <v>1761</v>
      </c>
      <c r="D127" s="12" t="str">
        <f t="shared" si="3"/>
        <v>1126,'111069','AUTO 7°'</v>
      </c>
      <c r="E127" s="12" t="str">
        <f t="shared" si="2"/>
        <v>INSERT INTO grupos (id,matricula,grupo) values (1126,'111069','AUTO 7°');</v>
      </c>
    </row>
    <row r="128" spans="1:5" ht="43.5" x14ac:dyDescent="0.35">
      <c r="A128">
        <v>1127</v>
      </c>
      <c r="B128" t="s">
        <v>2325</v>
      </c>
      <c r="C128" t="s">
        <v>1802</v>
      </c>
      <c r="D128" s="12" t="str">
        <f t="shared" si="3"/>
        <v>1127,'111069','TC0702_2'</v>
      </c>
      <c r="E128" s="12" t="str">
        <f t="shared" si="2"/>
        <v>INSERT INTO grupos (id,matricula,grupo) values (1127,'111069','TC0702_2');</v>
      </c>
    </row>
    <row r="129" spans="1:5" ht="43.5" x14ac:dyDescent="0.35">
      <c r="A129">
        <v>1128</v>
      </c>
      <c r="B129" t="s">
        <v>2326</v>
      </c>
      <c r="C129" t="s">
        <v>1752</v>
      </c>
      <c r="D129" s="12" t="str">
        <f t="shared" si="3"/>
        <v>1128,'111070','AERO 7°'</v>
      </c>
      <c r="E129" s="12" t="str">
        <f t="shared" si="2"/>
        <v>INSERT INTO grupos (id,matricula,grupo) values (1128,'111070','AERO 7°');</v>
      </c>
    </row>
    <row r="130" spans="1:5" ht="43.5" x14ac:dyDescent="0.35">
      <c r="A130">
        <v>1129</v>
      </c>
      <c r="B130" t="s">
        <v>2326</v>
      </c>
      <c r="C130" t="s">
        <v>1804</v>
      </c>
      <c r="D130" s="12" t="str">
        <f t="shared" si="3"/>
        <v>1129,'111070','TC0702_4'</v>
      </c>
      <c r="E130" s="12" t="str">
        <f t="shared" ref="E130:E193" si="4">CONCATENATE($D$1,D130,");")</f>
        <v>INSERT INTO grupos (id,matricula,grupo) values (1129,'111070','TC0702_4');</v>
      </c>
    </row>
    <row r="131" spans="1:5" ht="43.5" x14ac:dyDescent="0.35">
      <c r="A131">
        <v>1130</v>
      </c>
      <c r="B131" t="s">
        <v>2327</v>
      </c>
      <c r="C131" t="s">
        <v>1755</v>
      </c>
      <c r="D131" s="12" t="str">
        <f t="shared" ref="D131:D194" si="5">CONCATENATE(A131,",'",TRIM(B131),"','",C131,"'")</f>
        <v>1130,'111072','ANIM 7°'</v>
      </c>
      <c r="E131" s="12" t="str">
        <f t="shared" si="4"/>
        <v>INSERT INTO grupos (id,matricula,grupo) values (1130,'111072','ANIM 7°');</v>
      </c>
    </row>
    <row r="132" spans="1:5" ht="43.5" x14ac:dyDescent="0.35">
      <c r="A132">
        <v>1131</v>
      </c>
      <c r="B132" t="s">
        <v>2327</v>
      </c>
      <c r="C132" t="s">
        <v>1828</v>
      </c>
      <c r="D132" s="12" t="str">
        <f t="shared" si="5"/>
        <v>1131,'111072','TC0701_3'</v>
      </c>
      <c r="E132" s="12" t="str">
        <f t="shared" si="4"/>
        <v>INSERT INTO grupos (id,matricula,grupo) values (1131,'111072','TC0701_3');</v>
      </c>
    </row>
    <row r="133" spans="1:5" ht="43.5" x14ac:dyDescent="0.35">
      <c r="A133">
        <v>1132</v>
      </c>
      <c r="B133" t="s">
        <v>2327</v>
      </c>
      <c r="C133" t="s">
        <v>1802</v>
      </c>
      <c r="D133" s="12" t="str">
        <f t="shared" si="5"/>
        <v>1132,'111072','TC0702_2'</v>
      </c>
      <c r="E133" s="12" t="str">
        <f t="shared" si="4"/>
        <v>INSERT INTO grupos (id,matricula,grupo) values (1132,'111072','TC0702_2');</v>
      </c>
    </row>
    <row r="134" spans="1:5" ht="43.5" x14ac:dyDescent="0.35">
      <c r="A134">
        <v>1133</v>
      </c>
      <c r="B134" t="s">
        <v>2327</v>
      </c>
      <c r="C134" t="s">
        <v>2250</v>
      </c>
      <c r="D134" s="12" t="str">
        <f t="shared" si="5"/>
        <v>1133,'111072','TC0703_3'</v>
      </c>
      <c r="E134" s="12" t="str">
        <f t="shared" si="4"/>
        <v>INSERT INTO grupos (id,matricula,grupo) values (1133,'111072','TC0703_3');</v>
      </c>
    </row>
    <row r="135" spans="1:5" ht="43.5" x14ac:dyDescent="0.35">
      <c r="A135">
        <v>1134</v>
      </c>
      <c r="B135" t="s">
        <v>2328</v>
      </c>
      <c r="C135" t="s">
        <v>1754</v>
      </c>
      <c r="D135" s="12" t="str">
        <f t="shared" si="5"/>
        <v>1134,'111074','ARQ 7°'</v>
      </c>
      <c r="E135" s="12" t="str">
        <f t="shared" si="4"/>
        <v>INSERT INTO grupos (id,matricula,grupo) values (1134,'111074','ARQ 7°');</v>
      </c>
    </row>
    <row r="136" spans="1:5" ht="43.5" x14ac:dyDescent="0.35">
      <c r="A136">
        <v>1135</v>
      </c>
      <c r="B136" t="s">
        <v>2328</v>
      </c>
      <c r="C136" t="s">
        <v>1828</v>
      </c>
      <c r="D136" s="12" t="str">
        <f t="shared" si="5"/>
        <v>1135,'111074','TC0701_3'</v>
      </c>
      <c r="E136" s="12" t="str">
        <f t="shared" si="4"/>
        <v>INSERT INTO grupos (id,matricula,grupo) values (1135,'111074','TC0701_3');</v>
      </c>
    </row>
    <row r="137" spans="1:5" ht="43.5" x14ac:dyDescent="0.35">
      <c r="A137">
        <v>1136</v>
      </c>
      <c r="B137" t="s">
        <v>2328</v>
      </c>
      <c r="C137" t="s">
        <v>1801</v>
      </c>
      <c r="D137" s="12" t="str">
        <f t="shared" si="5"/>
        <v>1136,'111074','TC0702_1'</v>
      </c>
      <c r="E137" s="12" t="str">
        <f t="shared" si="4"/>
        <v>INSERT INTO grupos (id,matricula,grupo) values (1136,'111074','TC0702_1');</v>
      </c>
    </row>
    <row r="138" spans="1:5" ht="43.5" x14ac:dyDescent="0.35">
      <c r="A138">
        <v>1137</v>
      </c>
      <c r="B138" t="s">
        <v>2328</v>
      </c>
      <c r="C138" t="s">
        <v>2250</v>
      </c>
      <c r="D138" s="12" t="str">
        <f t="shared" si="5"/>
        <v>1137,'111074','TC0703_3'</v>
      </c>
      <c r="E138" s="12" t="str">
        <f t="shared" si="4"/>
        <v>INSERT INTO grupos (id,matricula,grupo) values (1137,'111074','TC0703_3');</v>
      </c>
    </row>
    <row r="139" spans="1:5" ht="43.5" x14ac:dyDescent="0.35">
      <c r="A139">
        <v>1138</v>
      </c>
      <c r="B139" t="s">
        <v>2329</v>
      </c>
      <c r="C139" t="s">
        <v>1752</v>
      </c>
      <c r="D139" s="12" t="str">
        <f t="shared" si="5"/>
        <v>1138,'111075','AERO 7°'</v>
      </c>
      <c r="E139" s="12" t="str">
        <f t="shared" si="4"/>
        <v>INSERT INTO grupos (id,matricula,grupo) values (1138,'111075','AERO 7°');</v>
      </c>
    </row>
    <row r="140" spans="1:5" ht="43.5" x14ac:dyDescent="0.35">
      <c r="A140">
        <v>1139</v>
      </c>
      <c r="B140" t="s">
        <v>2330</v>
      </c>
      <c r="C140" t="s">
        <v>1765</v>
      </c>
      <c r="D140" s="12" t="str">
        <f t="shared" si="5"/>
        <v>1139,'111076','IA 7°'</v>
      </c>
      <c r="E140" s="12" t="str">
        <f t="shared" si="4"/>
        <v>INSERT INTO grupos (id,matricula,grupo) values (1139,'111076','IA 7°');</v>
      </c>
    </row>
    <row r="141" spans="1:5" ht="43.5" x14ac:dyDescent="0.35">
      <c r="A141">
        <v>1140</v>
      </c>
      <c r="B141" t="s">
        <v>2330</v>
      </c>
      <c r="C141" t="s">
        <v>1802</v>
      </c>
      <c r="D141" s="12" t="str">
        <f t="shared" si="5"/>
        <v>1140,'111076','TC0702_2'</v>
      </c>
      <c r="E141" s="12" t="str">
        <f t="shared" si="4"/>
        <v>INSERT INTO grupos (id,matricula,grupo) values (1140,'111076','TC0702_2');</v>
      </c>
    </row>
    <row r="142" spans="1:5" ht="43.5" x14ac:dyDescent="0.35">
      <c r="A142">
        <v>1141</v>
      </c>
      <c r="B142" t="s">
        <v>2331</v>
      </c>
      <c r="C142" t="s">
        <v>1752</v>
      </c>
      <c r="D142" s="12" t="str">
        <f t="shared" si="5"/>
        <v>1141,'111077','AERO 7°'</v>
      </c>
      <c r="E142" s="12" t="str">
        <f t="shared" si="4"/>
        <v>INSERT INTO grupos (id,matricula,grupo) values (1141,'111077','AERO 7°');</v>
      </c>
    </row>
    <row r="143" spans="1:5" ht="43.5" x14ac:dyDescent="0.35">
      <c r="A143">
        <v>1142</v>
      </c>
      <c r="B143" t="s">
        <v>2331</v>
      </c>
      <c r="C143" t="s">
        <v>1804</v>
      </c>
      <c r="D143" s="12" t="str">
        <f t="shared" si="5"/>
        <v>1142,'111077','TC0702_4'</v>
      </c>
      <c r="E143" s="12" t="str">
        <f t="shared" si="4"/>
        <v>INSERT INTO grupos (id,matricula,grupo) values (1142,'111077','TC0702_4');</v>
      </c>
    </row>
    <row r="144" spans="1:5" ht="43.5" x14ac:dyDescent="0.35">
      <c r="A144">
        <v>1143</v>
      </c>
      <c r="B144" t="s">
        <v>2332</v>
      </c>
      <c r="C144" t="s">
        <v>1763</v>
      </c>
      <c r="D144" s="12" t="str">
        <f t="shared" si="5"/>
        <v>1143,'111078','DGD 7°'</v>
      </c>
      <c r="E144" s="12" t="str">
        <f t="shared" si="4"/>
        <v>INSERT INTO grupos (id,matricula,grupo) values (1143,'111078','DGD 7°');</v>
      </c>
    </row>
    <row r="145" spans="1:5" ht="43.5" x14ac:dyDescent="0.35">
      <c r="A145">
        <v>1144</v>
      </c>
      <c r="B145" t="s">
        <v>2332</v>
      </c>
      <c r="C145" t="s">
        <v>1804</v>
      </c>
      <c r="D145" s="12" t="str">
        <f t="shared" si="5"/>
        <v>1144,'111078','TC0702_4'</v>
      </c>
      <c r="E145" s="12" t="str">
        <f t="shared" si="4"/>
        <v>INSERT INTO grupos (id,matricula,grupo) values (1144,'111078','TC0702_4');</v>
      </c>
    </row>
    <row r="146" spans="1:5" ht="43.5" x14ac:dyDescent="0.35">
      <c r="A146">
        <v>1145</v>
      </c>
      <c r="B146" t="s">
        <v>2333</v>
      </c>
      <c r="C146" t="s">
        <v>1764</v>
      </c>
      <c r="D146" s="12" t="str">
        <f t="shared" si="5"/>
        <v>1145,'111082','PSI 7°'</v>
      </c>
      <c r="E146" s="12" t="str">
        <f t="shared" si="4"/>
        <v>INSERT INTO grupos (id,matricula,grupo) values (1145,'111082','PSI 7°');</v>
      </c>
    </row>
    <row r="147" spans="1:5" ht="43.5" x14ac:dyDescent="0.35">
      <c r="A147">
        <v>1146</v>
      </c>
      <c r="B147" t="s">
        <v>2333</v>
      </c>
      <c r="C147" t="s">
        <v>1805</v>
      </c>
      <c r="D147" s="12" t="str">
        <f t="shared" si="5"/>
        <v>1146,'111082','TC0702_5'</v>
      </c>
      <c r="E147" s="12" t="str">
        <f t="shared" si="4"/>
        <v>INSERT INTO grupos (id,matricula,grupo) values (1146,'111082','TC0702_5');</v>
      </c>
    </row>
    <row r="148" spans="1:5" ht="43.5" x14ac:dyDescent="0.35">
      <c r="A148">
        <v>1147</v>
      </c>
      <c r="B148" t="s">
        <v>2334</v>
      </c>
      <c r="C148" t="s">
        <v>1752</v>
      </c>
      <c r="D148" s="12" t="str">
        <f t="shared" si="5"/>
        <v>1147,'111083','AERO 7°'</v>
      </c>
      <c r="E148" s="12" t="str">
        <f t="shared" si="4"/>
        <v>INSERT INTO grupos (id,matricula,grupo) values (1147,'111083','AERO 7°');</v>
      </c>
    </row>
    <row r="149" spans="1:5" ht="43.5" x14ac:dyDescent="0.35">
      <c r="A149">
        <v>1148</v>
      </c>
      <c r="B149" t="s">
        <v>2334</v>
      </c>
      <c r="C149" t="s">
        <v>1804</v>
      </c>
      <c r="D149" s="12" t="str">
        <f t="shared" si="5"/>
        <v>1148,'111083','TC0702_4'</v>
      </c>
      <c r="E149" s="12" t="str">
        <f t="shared" si="4"/>
        <v>INSERT INTO grupos (id,matricula,grupo) values (1148,'111083','TC0702_4');</v>
      </c>
    </row>
    <row r="150" spans="1:5" ht="43.5" x14ac:dyDescent="0.35">
      <c r="A150">
        <v>1149</v>
      </c>
      <c r="B150" t="s">
        <v>2335</v>
      </c>
      <c r="C150" t="s">
        <v>1754</v>
      </c>
      <c r="D150" s="12" t="str">
        <f t="shared" si="5"/>
        <v>1149,'111084','ARQ 7°'</v>
      </c>
      <c r="E150" s="12" t="str">
        <f t="shared" si="4"/>
        <v>INSERT INTO grupos (id,matricula,grupo) values (1149,'111084','ARQ 7°');</v>
      </c>
    </row>
    <row r="151" spans="1:5" ht="43.5" x14ac:dyDescent="0.35">
      <c r="A151">
        <v>1150</v>
      </c>
      <c r="B151" t="s">
        <v>2336</v>
      </c>
      <c r="C151" t="s">
        <v>1754</v>
      </c>
      <c r="D151" s="12" t="str">
        <f t="shared" si="5"/>
        <v>1150,'111085','ARQ 7°'</v>
      </c>
      <c r="E151" s="12" t="str">
        <f t="shared" si="4"/>
        <v>INSERT INTO grupos (id,matricula,grupo) values (1150,'111085','ARQ 7°');</v>
      </c>
    </row>
    <row r="152" spans="1:5" ht="43.5" x14ac:dyDescent="0.35">
      <c r="A152">
        <v>1151</v>
      </c>
      <c r="B152" t="s">
        <v>2337</v>
      </c>
      <c r="C152" t="s">
        <v>1752</v>
      </c>
      <c r="D152" s="12" t="str">
        <f t="shared" si="5"/>
        <v>1151,'111086','AERO 7°'</v>
      </c>
      <c r="E152" s="12" t="str">
        <f t="shared" si="4"/>
        <v>INSERT INTO grupos (id,matricula,grupo) values (1151,'111086','AERO 7°');</v>
      </c>
    </row>
    <row r="153" spans="1:5" ht="43.5" x14ac:dyDescent="0.35">
      <c r="A153">
        <v>1152</v>
      </c>
      <c r="B153" t="s">
        <v>2338</v>
      </c>
      <c r="C153" t="s">
        <v>1750</v>
      </c>
      <c r="D153" s="12" t="str">
        <f t="shared" si="5"/>
        <v>1152,'111088','ADMON 7°'</v>
      </c>
      <c r="E153" s="12" t="str">
        <f t="shared" si="4"/>
        <v>INSERT INTO grupos (id,matricula,grupo) values (1152,'111088','ADMON 7°');</v>
      </c>
    </row>
    <row r="154" spans="1:5" ht="43.5" x14ac:dyDescent="0.35">
      <c r="A154">
        <v>1153</v>
      </c>
      <c r="B154" t="s">
        <v>2338</v>
      </c>
      <c r="C154" t="s">
        <v>1828</v>
      </c>
      <c r="D154" s="12" t="str">
        <f t="shared" si="5"/>
        <v>1153,'111088','TC0701_3'</v>
      </c>
      <c r="E154" s="12" t="str">
        <f t="shared" si="4"/>
        <v>INSERT INTO grupos (id,matricula,grupo) values (1153,'111088','TC0701_3');</v>
      </c>
    </row>
    <row r="155" spans="1:5" ht="43.5" x14ac:dyDescent="0.35">
      <c r="A155">
        <v>1154</v>
      </c>
      <c r="B155" t="s">
        <v>2338</v>
      </c>
      <c r="C155" t="s">
        <v>2250</v>
      </c>
      <c r="D155" s="12" t="str">
        <f t="shared" si="5"/>
        <v>1154,'111088','TC0703_3'</v>
      </c>
      <c r="E155" s="12" t="str">
        <f t="shared" si="4"/>
        <v>INSERT INTO grupos (id,matricula,grupo) values (1154,'111088','TC0703_3');</v>
      </c>
    </row>
    <row r="156" spans="1:5" ht="43.5" x14ac:dyDescent="0.35">
      <c r="A156">
        <v>1155</v>
      </c>
      <c r="B156" t="s">
        <v>2339</v>
      </c>
      <c r="C156" t="s">
        <v>1755</v>
      </c>
      <c r="D156" s="12" t="str">
        <f t="shared" si="5"/>
        <v>1155,'111091','ANIM 7°'</v>
      </c>
      <c r="E156" s="12" t="str">
        <f t="shared" si="4"/>
        <v>INSERT INTO grupos (id,matricula,grupo) values (1155,'111091','ANIM 7°');</v>
      </c>
    </row>
    <row r="157" spans="1:5" ht="43.5" x14ac:dyDescent="0.35">
      <c r="A157">
        <v>1156</v>
      </c>
      <c r="B157" t="s">
        <v>2339</v>
      </c>
      <c r="C157" t="s">
        <v>1828</v>
      </c>
      <c r="D157" s="12" t="str">
        <f t="shared" si="5"/>
        <v>1156,'111091','TC0701_3'</v>
      </c>
      <c r="E157" s="12" t="str">
        <f t="shared" si="4"/>
        <v>INSERT INTO grupos (id,matricula,grupo) values (1156,'111091','TC0701_3');</v>
      </c>
    </row>
    <row r="158" spans="1:5" ht="43.5" x14ac:dyDescent="0.35">
      <c r="A158">
        <v>1157</v>
      </c>
      <c r="B158" t="s">
        <v>2339</v>
      </c>
      <c r="C158" t="s">
        <v>1802</v>
      </c>
      <c r="D158" s="12" t="str">
        <f t="shared" si="5"/>
        <v>1157,'111091','TC0702_2'</v>
      </c>
      <c r="E158" s="12" t="str">
        <f t="shared" si="4"/>
        <v>INSERT INTO grupos (id,matricula,grupo) values (1157,'111091','TC0702_2');</v>
      </c>
    </row>
    <row r="159" spans="1:5" ht="43.5" x14ac:dyDescent="0.35">
      <c r="A159">
        <v>1158</v>
      </c>
      <c r="B159" t="s">
        <v>2339</v>
      </c>
      <c r="C159" t="s">
        <v>2250</v>
      </c>
      <c r="D159" s="12" t="str">
        <f t="shared" si="5"/>
        <v>1158,'111091','TC0703_3'</v>
      </c>
      <c r="E159" s="12" t="str">
        <f t="shared" si="4"/>
        <v>INSERT INTO grupos (id,matricula,grupo) values (1158,'111091','TC0703_3');</v>
      </c>
    </row>
    <row r="160" spans="1:5" ht="43.5" x14ac:dyDescent="0.35">
      <c r="A160">
        <v>1159</v>
      </c>
      <c r="B160" t="s">
        <v>2340</v>
      </c>
      <c r="C160" t="s">
        <v>1752</v>
      </c>
      <c r="D160" s="12" t="str">
        <f t="shared" si="5"/>
        <v>1159,'111092','AERO 7°'</v>
      </c>
      <c r="E160" s="12" t="str">
        <f t="shared" si="4"/>
        <v>INSERT INTO grupos (id,matricula,grupo) values (1159,'111092','AERO 7°');</v>
      </c>
    </row>
    <row r="161" spans="1:5" ht="43.5" x14ac:dyDescent="0.35">
      <c r="A161">
        <v>1160</v>
      </c>
      <c r="B161" t="s">
        <v>2340</v>
      </c>
      <c r="C161" t="s">
        <v>1805</v>
      </c>
      <c r="D161" s="12" t="str">
        <f t="shared" si="5"/>
        <v>1160,'111092','TC0702_5'</v>
      </c>
      <c r="E161" s="12" t="str">
        <f t="shared" si="4"/>
        <v>INSERT INTO grupos (id,matricula,grupo) values (1160,'111092','TC0702_5');</v>
      </c>
    </row>
    <row r="162" spans="1:5" ht="43.5" x14ac:dyDescent="0.35">
      <c r="A162">
        <v>1161</v>
      </c>
      <c r="B162" t="s">
        <v>2341</v>
      </c>
      <c r="C162" t="s">
        <v>1752</v>
      </c>
      <c r="D162" s="12" t="str">
        <f t="shared" si="5"/>
        <v>1161,'111093','AERO 7°'</v>
      </c>
      <c r="E162" s="12" t="str">
        <f t="shared" si="4"/>
        <v>INSERT INTO grupos (id,matricula,grupo) values (1161,'111093','AERO 7°');</v>
      </c>
    </row>
    <row r="163" spans="1:5" ht="43.5" x14ac:dyDescent="0.35">
      <c r="A163">
        <v>1162</v>
      </c>
      <c r="B163" t="s">
        <v>2342</v>
      </c>
      <c r="C163" t="s">
        <v>1764</v>
      </c>
      <c r="D163" s="12" t="str">
        <f t="shared" si="5"/>
        <v>1162,'111094','PSI 7°'</v>
      </c>
      <c r="E163" s="12" t="str">
        <f t="shared" si="4"/>
        <v>INSERT INTO grupos (id,matricula,grupo) values (1162,'111094','PSI 7°');</v>
      </c>
    </row>
    <row r="164" spans="1:5" ht="43.5" x14ac:dyDescent="0.35">
      <c r="A164">
        <v>1163</v>
      </c>
      <c r="B164" t="s">
        <v>2342</v>
      </c>
      <c r="C164" t="s">
        <v>1804</v>
      </c>
      <c r="D164" s="12" t="str">
        <f t="shared" si="5"/>
        <v>1163,'111094','TC0702_4'</v>
      </c>
      <c r="E164" s="12" t="str">
        <f t="shared" si="4"/>
        <v>INSERT INTO grupos (id,matricula,grupo) values (1163,'111094','TC0702_4');</v>
      </c>
    </row>
    <row r="165" spans="1:5" ht="43.5" x14ac:dyDescent="0.35">
      <c r="A165">
        <v>1164</v>
      </c>
      <c r="B165" t="s">
        <v>2343</v>
      </c>
      <c r="C165" t="s">
        <v>1763</v>
      </c>
      <c r="D165" s="12" t="str">
        <f t="shared" si="5"/>
        <v>1164,'111095','DGD 7°'</v>
      </c>
      <c r="E165" s="12" t="str">
        <f t="shared" si="4"/>
        <v>INSERT INTO grupos (id,matricula,grupo) values (1164,'111095','DGD 7°');</v>
      </c>
    </row>
    <row r="166" spans="1:5" ht="43.5" x14ac:dyDescent="0.35">
      <c r="A166">
        <v>1165</v>
      </c>
      <c r="B166" t="s">
        <v>2343</v>
      </c>
      <c r="C166" t="s">
        <v>1805</v>
      </c>
      <c r="D166" s="12" t="str">
        <f t="shared" si="5"/>
        <v>1165,'111095','TC0702_5'</v>
      </c>
      <c r="E166" s="12" t="str">
        <f t="shared" si="4"/>
        <v>INSERT INTO grupos (id,matricula,grupo) values (1165,'111095','TC0702_5');</v>
      </c>
    </row>
    <row r="167" spans="1:5" ht="43.5" x14ac:dyDescent="0.35">
      <c r="A167">
        <v>1166</v>
      </c>
      <c r="B167" t="s">
        <v>2344</v>
      </c>
      <c r="C167" t="s">
        <v>1754</v>
      </c>
      <c r="D167" s="12" t="str">
        <f t="shared" si="5"/>
        <v>1166,'111097','ARQ 7°'</v>
      </c>
      <c r="E167" s="12" t="str">
        <f t="shared" si="4"/>
        <v>INSERT INTO grupos (id,matricula,grupo) values (1166,'111097','ARQ 7°');</v>
      </c>
    </row>
    <row r="168" spans="1:5" ht="43.5" x14ac:dyDescent="0.35">
      <c r="A168">
        <v>1167</v>
      </c>
      <c r="B168" t="s">
        <v>2344</v>
      </c>
      <c r="C168" t="s">
        <v>1801</v>
      </c>
      <c r="D168" s="12" t="str">
        <f t="shared" si="5"/>
        <v>1167,'111097','TC0702_1'</v>
      </c>
      <c r="E168" s="12" t="str">
        <f t="shared" si="4"/>
        <v>INSERT INTO grupos (id,matricula,grupo) values (1167,'111097','TC0702_1');</v>
      </c>
    </row>
    <row r="169" spans="1:5" ht="43.5" x14ac:dyDescent="0.35">
      <c r="A169">
        <v>1168</v>
      </c>
      <c r="B169" t="s">
        <v>2345</v>
      </c>
      <c r="C169" t="s">
        <v>1764</v>
      </c>
      <c r="D169" s="12" t="str">
        <f t="shared" si="5"/>
        <v>1168,'111098','PSI 7°'</v>
      </c>
      <c r="E169" s="12" t="str">
        <f t="shared" si="4"/>
        <v>INSERT INTO grupos (id,matricula,grupo) values (1168,'111098','PSI 7°');</v>
      </c>
    </row>
    <row r="170" spans="1:5" ht="43.5" x14ac:dyDescent="0.35">
      <c r="A170">
        <v>1169</v>
      </c>
      <c r="B170" t="s">
        <v>2345</v>
      </c>
      <c r="C170" t="s">
        <v>1828</v>
      </c>
      <c r="D170" s="12" t="str">
        <f t="shared" si="5"/>
        <v>1169,'111098','TC0701_3'</v>
      </c>
      <c r="E170" s="12" t="str">
        <f t="shared" si="4"/>
        <v>INSERT INTO grupos (id,matricula,grupo) values (1169,'111098','TC0701_3');</v>
      </c>
    </row>
    <row r="171" spans="1:5" ht="43.5" x14ac:dyDescent="0.35">
      <c r="A171">
        <v>1170</v>
      </c>
      <c r="B171" t="s">
        <v>2345</v>
      </c>
      <c r="C171" t="s">
        <v>1804</v>
      </c>
      <c r="D171" s="12" t="str">
        <f t="shared" si="5"/>
        <v>1170,'111098','TC0702_4'</v>
      </c>
      <c r="E171" s="12" t="str">
        <f t="shared" si="4"/>
        <v>INSERT INTO grupos (id,matricula,grupo) values (1170,'111098','TC0702_4');</v>
      </c>
    </row>
    <row r="172" spans="1:5" ht="43.5" x14ac:dyDescent="0.35">
      <c r="A172">
        <v>1171</v>
      </c>
      <c r="B172" t="s">
        <v>2345</v>
      </c>
      <c r="C172" t="s">
        <v>2250</v>
      </c>
      <c r="D172" s="12" t="str">
        <f t="shared" si="5"/>
        <v>1171,'111098','TC0703_3'</v>
      </c>
      <c r="E172" s="12" t="str">
        <f t="shared" si="4"/>
        <v>INSERT INTO grupos (id,matricula,grupo) values (1171,'111098','TC0703_3');</v>
      </c>
    </row>
    <row r="173" spans="1:5" ht="43.5" x14ac:dyDescent="0.35">
      <c r="A173">
        <v>1172</v>
      </c>
      <c r="B173" t="s">
        <v>2346</v>
      </c>
      <c r="C173" t="s">
        <v>1752</v>
      </c>
      <c r="D173" s="12" t="str">
        <f t="shared" si="5"/>
        <v>1172,'111100','AERO 7°'</v>
      </c>
      <c r="E173" s="12" t="str">
        <f t="shared" si="4"/>
        <v>INSERT INTO grupos (id,matricula,grupo) values (1172,'111100','AERO 7°');</v>
      </c>
    </row>
    <row r="174" spans="1:5" ht="43.5" x14ac:dyDescent="0.35">
      <c r="A174">
        <v>1173</v>
      </c>
      <c r="B174" t="s">
        <v>2346</v>
      </c>
      <c r="C174" t="s">
        <v>1804</v>
      </c>
      <c r="D174" s="12" t="str">
        <f t="shared" si="5"/>
        <v>1173,'111100','TC0702_4'</v>
      </c>
      <c r="E174" s="12" t="str">
        <f t="shared" si="4"/>
        <v>INSERT INTO grupos (id,matricula,grupo) values (1173,'111100','TC0702_4');</v>
      </c>
    </row>
    <row r="175" spans="1:5" ht="43.5" x14ac:dyDescent="0.35">
      <c r="A175">
        <v>1174</v>
      </c>
      <c r="B175" t="s">
        <v>2347</v>
      </c>
      <c r="C175" t="s">
        <v>1754</v>
      </c>
      <c r="D175" s="12" t="str">
        <f t="shared" si="5"/>
        <v>1174,'111102','ARQ 7°'</v>
      </c>
      <c r="E175" s="12" t="str">
        <f t="shared" si="4"/>
        <v>INSERT INTO grupos (id,matricula,grupo) values (1174,'111102','ARQ 7°');</v>
      </c>
    </row>
    <row r="176" spans="1:5" ht="43.5" x14ac:dyDescent="0.35">
      <c r="A176">
        <v>1175</v>
      </c>
      <c r="B176" t="s">
        <v>2347</v>
      </c>
      <c r="C176" t="s">
        <v>1801</v>
      </c>
      <c r="D176" s="12" t="str">
        <f t="shared" si="5"/>
        <v>1175,'111102','TC0702_1'</v>
      </c>
      <c r="E176" s="12" t="str">
        <f t="shared" si="4"/>
        <v>INSERT INTO grupos (id,matricula,grupo) values (1175,'111102','TC0702_1');</v>
      </c>
    </row>
    <row r="177" spans="1:5" ht="43.5" x14ac:dyDescent="0.35">
      <c r="A177">
        <v>1176</v>
      </c>
      <c r="B177" t="s">
        <v>2348</v>
      </c>
      <c r="C177" t="s">
        <v>1766</v>
      </c>
      <c r="D177" s="12" t="str">
        <f t="shared" si="5"/>
        <v>1176,'111103','CIB 7°'</v>
      </c>
      <c r="E177" s="12" t="str">
        <f t="shared" si="4"/>
        <v>INSERT INTO grupos (id,matricula,grupo) values (1176,'111103','CIB 7°');</v>
      </c>
    </row>
    <row r="178" spans="1:5" ht="43.5" x14ac:dyDescent="0.35">
      <c r="A178">
        <v>1177</v>
      </c>
      <c r="B178" t="s">
        <v>2348</v>
      </c>
      <c r="C178" t="s">
        <v>1804</v>
      </c>
      <c r="D178" s="12" t="str">
        <f t="shared" si="5"/>
        <v>1177,'111103','TC0702_4'</v>
      </c>
      <c r="E178" s="12" t="str">
        <f t="shared" si="4"/>
        <v>INSERT INTO grupos (id,matricula,grupo) values (1177,'111103','TC0702_4');</v>
      </c>
    </row>
    <row r="179" spans="1:5" ht="43.5" x14ac:dyDescent="0.35">
      <c r="A179">
        <v>1178</v>
      </c>
      <c r="B179" t="s">
        <v>2349</v>
      </c>
      <c r="C179" t="s">
        <v>1755</v>
      </c>
      <c r="D179" s="12" t="str">
        <f t="shared" si="5"/>
        <v>1178,'111105','ANIM 7°'</v>
      </c>
      <c r="E179" s="12" t="str">
        <f t="shared" si="4"/>
        <v>INSERT INTO grupos (id,matricula,grupo) values (1178,'111105','ANIM 7°');</v>
      </c>
    </row>
    <row r="180" spans="1:5" ht="43.5" x14ac:dyDescent="0.35">
      <c r="A180">
        <v>1179</v>
      </c>
      <c r="B180" t="s">
        <v>2349</v>
      </c>
      <c r="C180" t="s">
        <v>1801</v>
      </c>
      <c r="D180" s="12" t="str">
        <f t="shared" si="5"/>
        <v>1179,'111105','TC0702_1'</v>
      </c>
      <c r="E180" s="12" t="str">
        <f t="shared" si="4"/>
        <v>INSERT INTO grupos (id,matricula,grupo) values (1179,'111105','TC0702_1');</v>
      </c>
    </row>
    <row r="181" spans="1:5" ht="43.5" x14ac:dyDescent="0.35">
      <c r="A181">
        <v>1180</v>
      </c>
      <c r="B181" t="s">
        <v>2350</v>
      </c>
      <c r="C181" t="s">
        <v>1752</v>
      </c>
      <c r="D181" s="12" t="str">
        <f t="shared" si="5"/>
        <v>1180,'111108','AERO 7°'</v>
      </c>
      <c r="E181" s="12" t="str">
        <f t="shared" si="4"/>
        <v>INSERT INTO grupos (id,matricula,grupo) values (1180,'111108','AERO 7°');</v>
      </c>
    </row>
    <row r="182" spans="1:5" ht="43.5" x14ac:dyDescent="0.35">
      <c r="A182">
        <v>1181</v>
      </c>
      <c r="B182" t="s">
        <v>2350</v>
      </c>
      <c r="C182" t="s">
        <v>1804</v>
      </c>
      <c r="D182" s="12" t="str">
        <f t="shared" si="5"/>
        <v>1181,'111108','TC0702_4'</v>
      </c>
      <c r="E182" s="12" t="str">
        <f t="shared" si="4"/>
        <v>INSERT INTO grupos (id,matricula,grupo) values (1181,'111108','TC0702_4');</v>
      </c>
    </row>
    <row r="183" spans="1:5" ht="43.5" x14ac:dyDescent="0.35">
      <c r="A183">
        <v>1182</v>
      </c>
      <c r="B183" t="s">
        <v>2351</v>
      </c>
      <c r="C183" t="s">
        <v>1750</v>
      </c>
      <c r="D183" s="12" t="str">
        <f t="shared" si="5"/>
        <v>1182,'111110','ADMON 7°'</v>
      </c>
      <c r="E183" s="12" t="str">
        <f t="shared" si="4"/>
        <v>INSERT INTO grupos (id,matricula,grupo) values (1182,'111110','ADMON 7°');</v>
      </c>
    </row>
    <row r="184" spans="1:5" ht="43.5" x14ac:dyDescent="0.35">
      <c r="A184">
        <v>1183</v>
      </c>
      <c r="B184" t="s">
        <v>2351</v>
      </c>
      <c r="C184" t="s">
        <v>1828</v>
      </c>
      <c r="D184" s="12" t="str">
        <f t="shared" si="5"/>
        <v>1183,'111110','TC0701_3'</v>
      </c>
      <c r="E184" s="12" t="str">
        <f t="shared" si="4"/>
        <v>INSERT INTO grupos (id,matricula,grupo) values (1183,'111110','TC0701_3');</v>
      </c>
    </row>
    <row r="185" spans="1:5" ht="43.5" x14ac:dyDescent="0.35">
      <c r="A185">
        <v>1184</v>
      </c>
      <c r="B185" t="s">
        <v>2351</v>
      </c>
      <c r="C185" t="s">
        <v>1805</v>
      </c>
      <c r="D185" s="12" t="str">
        <f t="shared" si="5"/>
        <v>1184,'111110','TC0702_5'</v>
      </c>
      <c r="E185" s="12" t="str">
        <f t="shared" si="4"/>
        <v>INSERT INTO grupos (id,matricula,grupo) values (1184,'111110','TC0702_5');</v>
      </c>
    </row>
    <row r="186" spans="1:5" ht="43.5" x14ac:dyDescent="0.35">
      <c r="A186">
        <v>1185</v>
      </c>
      <c r="B186" t="s">
        <v>2351</v>
      </c>
      <c r="C186" t="s">
        <v>2250</v>
      </c>
      <c r="D186" s="12" t="str">
        <f t="shared" si="5"/>
        <v>1185,'111110','TC0703_3'</v>
      </c>
      <c r="E186" s="12" t="str">
        <f t="shared" si="4"/>
        <v>INSERT INTO grupos (id,matricula,grupo) values (1185,'111110','TC0703_3');</v>
      </c>
    </row>
    <row r="187" spans="1:5" ht="43.5" x14ac:dyDescent="0.35">
      <c r="A187">
        <v>1186</v>
      </c>
      <c r="B187" t="s">
        <v>2352</v>
      </c>
      <c r="C187" t="s">
        <v>1763</v>
      </c>
      <c r="D187" s="12" t="str">
        <f t="shared" si="5"/>
        <v>1186,'111111','DGD 7°'</v>
      </c>
      <c r="E187" s="12" t="str">
        <f t="shared" si="4"/>
        <v>INSERT INTO grupos (id,matricula,grupo) values (1186,'111111','DGD 7°');</v>
      </c>
    </row>
    <row r="188" spans="1:5" ht="43.5" x14ac:dyDescent="0.35">
      <c r="A188">
        <v>1187</v>
      </c>
      <c r="B188" t="s">
        <v>2352</v>
      </c>
      <c r="C188" t="s">
        <v>1805</v>
      </c>
      <c r="D188" s="12" t="str">
        <f t="shared" si="5"/>
        <v>1187,'111111','TC0702_5'</v>
      </c>
      <c r="E188" s="12" t="str">
        <f t="shared" si="4"/>
        <v>INSERT INTO grupos (id,matricula,grupo) values (1187,'111111','TC0702_5');</v>
      </c>
    </row>
    <row r="189" spans="1:5" ht="43.5" x14ac:dyDescent="0.35">
      <c r="A189">
        <v>1188</v>
      </c>
      <c r="B189" t="s">
        <v>2353</v>
      </c>
      <c r="C189" t="s">
        <v>1761</v>
      </c>
      <c r="D189" s="12" t="str">
        <f t="shared" si="5"/>
        <v>1188,'111112','AUTO 7°'</v>
      </c>
      <c r="E189" s="12" t="str">
        <f t="shared" si="4"/>
        <v>INSERT INTO grupos (id,matricula,grupo) values (1188,'111112','AUTO 7°');</v>
      </c>
    </row>
    <row r="190" spans="1:5" ht="43.5" x14ac:dyDescent="0.35">
      <c r="A190">
        <v>1189</v>
      </c>
      <c r="B190" t="s">
        <v>2353</v>
      </c>
      <c r="C190" t="s">
        <v>1801</v>
      </c>
      <c r="D190" s="12" t="str">
        <f t="shared" si="5"/>
        <v>1189,'111112','TC0702_1'</v>
      </c>
      <c r="E190" s="12" t="str">
        <f t="shared" si="4"/>
        <v>INSERT INTO grupos (id,matricula,grupo) values (1189,'111112','TC0702_1');</v>
      </c>
    </row>
    <row r="191" spans="1:5" ht="43.5" x14ac:dyDescent="0.35">
      <c r="A191">
        <v>1190</v>
      </c>
      <c r="B191" t="s">
        <v>2354</v>
      </c>
      <c r="C191" t="s">
        <v>1752</v>
      </c>
      <c r="D191" s="12" t="str">
        <f t="shared" si="5"/>
        <v>1190,'111113','AERO 7°'</v>
      </c>
      <c r="E191" s="12" t="str">
        <f t="shared" si="4"/>
        <v>INSERT INTO grupos (id,matricula,grupo) values (1190,'111113','AERO 7°');</v>
      </c>
    </row>
    <row r="192" spans="1:5" ht="43.5" x14ac:dyDescent="0.35">
      <c r="A192">
        <v>1191</v>
      </c>
      <c r="B192" t="s">
        <v>2355</v>
      </c>
      <c r="C192" t="s">
        <v>1753</v>
      </c>
      <c r="D192" s="12" t="str">
        <f t="shared" si="5"/>
        <v>1191,'111114','NUT 7°'</v>
      </c>
      <c r="E192" s="12" t="str">
        <f t="shared" si="4"/>
        <v>INSERT INTO grupos (id,matricula,grupo) values (1191,'111114','NUT 7°');</v>
      </c>
    </row>
    <row r="193" spans="1:5" ht="43.5" x14ac:dyDescent="0.35">
      <c r="A193">
        <v>1192</v>
      </c>
      <c r="B193" t="s">
        <v>2355</v>
      </c>
      <c r="C193" t="s">
        <v>1828</v>
      </c>
      <c r="D193" s="12" t="str">
        <f t="shared" si="5"/>
        <v>1192,'111114','TC0701_3'</v>
      </c>
      <c r="E193" s="12" t="str">
        <f t="shared" si="4"/>
        <v>INSERT INTO grupos (id,matricula,grupo) values (1192,'111114','TC0701_3');</v>
      </c>
    </row>
    <row r="194" spans="1:5" ht="43.5" x14ac:dyDescent="0.35">
      <c r="A194">
        <v>1193</v>
      </c>
      <c r="B194" t="s">
        <v>2355</v>
      </c>
      <c r="C194" t="s">
        <v>1801</v>
      </c>
      <c r="D194" s="12" t="str">
        <f t="shared" si="5"/>
        <v>1193,'111114','TC0702_1'</v>
      </c>
      <c r="E194" s="12" t="str">
        <f t="shared" ref="E194:E257" si="6">CONCATENATE($D$1,D194,");")</f>
        <v>INSERT INTO grupos (id,matricula,grupo) values (1193,'111114','TC0702_1');</v>
      </c>
    </row>
    <row r="195" spans="1:5" ht="43.5" x14ac:dyDescent="0.35">
      <c r="A195">
        <v>1194</v>
      </c>
      <c r="B195" t="s">
        <v>2355</v>
      </c>
      <c r="C195" t="s">
        <v>2250</v>
      </c>
      <c r="D195" s="12" t="str">
        <f t="shared" ref="D195:D258" si="7">CONCATENATE(A195,",'",TRIM(B195),"','",C195,"'")</f>
        <v>1194,'111114','TC0703_3'</v>
      </c>
      <c r="E195" s="12" t="str">
        <f t="shared" si="6"/>
        <v>INSERT INTO grupos (id,matricula,grupo) values (1194,'111114','TC0703_3');</v>
      </c>
    </row>
    <row r="196" spans="1:5" ht="43.5" x14ac:dyDescent="0.35">
      <c r="A196">
        <v>1195</v>
      </c>
      <c r="B196" t="s">
        <v>2356</v>
      </c>
      <c r="C196" t="s">
        <v>1764</v>
      </c>
      <c r="D196" s="12" t="str">
        <f t="shared" si="7"/>
        <v>1195,'111115','PSI 7°'</v>
      </c>
      <c r="E196" s="12" t="str">
        <f t="shared" si="6"/>
        <v>INSERT INTO grupos (id,matricula,grupo) values (1195,'111115','PSI 7°');</v>
      </c>
    </row>
    <row r="197" spans="1:5" ht="43.5" x14ac:dyDescent="0.35">
      <c r="A197">
        <v>1196</v>
      </c>
      <c r="B197" t="s">
        <v>2357</v>
      </c>
      <c r="C197" t="s">
        <v>1764</v>
      </c>
      <c r="D197" s="12" t="str">
        <f t="shared" si="7"/>
        <v>1196,'111116','PSI 7°'</v>
      </c>
      <c r="E197" s="12" t="str">
        <f t="shared" si="6"/>
        <v>INSERT INTO grupos (id,matricula,grupo) values (1196,'111116','PSI 7°');</v>
      </c>
    </row>
    <row r="198" spans="1:5" ht="43.5" x14ac:dyDescent="0.35">
      <c r="A198">
        <v>1197</v>
      </c>
      <c r="B198" t="s">
        <v>2357</v>
      </c>
      <c r="C198" t="s">
        <v>1804</v>
      </c>
      <c r="D198" s="12" t="str">
        <f t="shared" si="7"/>
        <v>1197,'111116','TC0702_4'</v>
      </c>
      <c r="E198" s="12" t="str">
        <f t="shared" si="6"/>
        <v>INSERT INTO grupos (id,matricula,grupo) values (1197,'111116','TC0702_4');</v>
      </c>
    </row>
    <row r="199" spans="1:5" ht="43.5" x14ac:dyDescent="0.35">
      <c r="A199">
        <v>1198</v>
      </c>
      <c r="B199" t="s">
        <v>2358</v>
      </c>
      <c r="C199" t="s">
        <v>1750</v>
      </c>
      <c r="D199" s="12" t="str">
        <f t="shared" si="7"/>
        <v>1198,'111117','ADMON 7°'</v>
      </c>
      <c r="E199" s="12" t="str">
        <f t="shared" si="6"/>
        <v>INSERT INTO grupos (id,matricula,grupo) values (1198,'111117','ADMON 7°');</v>
      </c>
    </row>
    <row r="200" spans="1:5" ht="43.5" x14ac:dyDescent="0.35">
      <c r="A200">
        <v>1199</v>
      </c>
      <c r="B200" t="s">
        <v>2358</v>
      </c>
      <c r="C200" t="s">
        <v>1828</v>
      </c>
      <c r="D200" s="12" t="str">
        <f t="shared" si="7"/>
        <v>1199,'111117','TC0701_3'</v>
      </c>
      <c r="E200" s="12" t="str">
        <f t="shared" si="6"/>
        <v>INSERT INTO grupos (id,matricula,grupo) values (1199,'111117','TC0701_3');</v>
      </c>
    </row>
    <row r="201" spans="1:5" ht="43.5" x14ac:dyDescent="0.35">
      <c r="A201">
        <v>1200</v>
      </c>
      <c r="B201" t="s">
        <v>2358</v>
      </c>
      <c r="C201" t="s">
        <v>1805</v>
      </c>
      <c r="D201" s="12" t="str">
        <f t="shared" si="7"/>
        <v>1200,'111117','TC0702_5'</v>
      </c>
      <c r="E201" s="12" t="str">
        <f t="shared" si="6"/>
        <v>INSERT INTO grupos (id,matricula,grupo) values (1200,'111117','TC0702_5');</v>
      </c>
    </row>
    <row r="202" spans="1:5" ht="43.5" x14ac:dyDescent="0.35">
      <c r="A202">
        <v>1201</v>
      </c>
      <c r="B202" t="s">
        <v>2358</v>
      </c>
      <c r="C202" t="s">
        <v>2250</v>
      </c>
      <c r="D202" s="12" t="str">
        <f t="shared" si="7"/>
        <v>1201,'111117','TC0703_3'</v>
      </c>
      <c r="E202" s="12" t="str">
        <f t="shared" si="6"/>
        <v>INSERT INTO grupos (id,matricula,grupo) values (1201,'111117','TC0703_3');</v>
      </c>
    </row>
    <row r="203" spans="1:5" ht="43.5" x14ac:dyDescent="0.35">
      <c r="A203">
        <v>1202</v>
      </c>
      <c r="B203" t="s">
        <v>2359</v>
      </c>
      <c r="C203" t="s">
        <v>1766</v>
      </c>
      <c r="D203" s="12" t="str">
        <f t="shared" si="7"/>
        <v>1202,'111118','CIB 7°'</v>
      </c>
      <c r="E203" s="12" t="str">
        <f t="shared" si="6"/>
        <v>INSERT INTO grupos (id,matricula,grupo) values (1202,'111118','CIB 7°');</v>
      </c>
    </row>
    <row r="204" spans="1:5" ht="43.5" x14ac:dyDescent="0.35">
      <c r="A204">
        <v>1203</v>
      </c>
      <c r="B204" t="s">
        <v>2359</v>
      </c>
      <c r="C204" t="s">
        <v>1828</v>
      </c>
      <c r="D204" s="12" t="str">
        <f t="shared" si="7"/>
        <v>1203,'111118','TC0701_3'</v>
      </c>
      <c r="E204" s="12" t="str">
        <f t="shared" si="6"/>
        <v>INSERT INTO grupos (id,matricula,grupo) values (1203,'111118','TC0701_3');</v>
      </c>
    </row>
    <row r="205" spans="1:5" ht="43.5" x14ac:dyDescent="0.35">
      <c r="A205">
        <v>1204</v>
      </c>
      <c r="B205" t="s">
        <v>2359</v>
      </c>
      <c r="C205" t="s">
        <v>1805</v>
      </c>
      <c r="D205" s="12" t="str">
        <f t="shared" si="7"/>
        <v>1204,'111118','TC0702_5'</v>
      </c>
      <c r="E205" s="12" t="str">
        <f t="shared" si="6"/>
        <v>INSERT INTO grupos (id,matricula,grupo) values (1204,'111118','TC0702_5');</v>
      </c>
    </row>
    <row r="206" spans="1:5" ht="43.5" x14ac:dyDescent="0.35">
      <c r="A206">
        <v>1205</v>
      </c>
      <c r="B206" t="s">
        <v>2359</v>
      </c>
      <c r="C206" t="s">
        <v>2250</v>
      </c>
      <c r="D206" s="12" t="str">
        <f t="shared" si="7"/>
        <v>1205,'111118','TC0703_3'</v>
      </c>
      <c r="E206" s="12" t="str">
        <f t="shared" si="6"/>
        <v>INSERT INTO grupos (id,matricula,grupo) values (1205,'111118','TC0703_3');</v>
      </c>
    </row>
    <row r="207" spans="1:5" ht="43.5" x14ac:dyDescent="0.35">
      <c r="A207">
        <v>1206</v>
      </c>
      <c r="B207" t="s">
        <v>2360</v>
      </c>
      <c r="C207" t="s">
        <v>1764</v>
      </c>
      <c r="D207" s="12" t="str">
        <f t="shared" si="7"/>
        <v>1206,'111119','PSI 7°'</v>
      </c>
      <c r="E207" s="12" t="str">
        <f t="shared" si="6"/>
        <v>INSERT INTO grupos (id,matricula,grupo) values (1206,'111119','PSI 7°');</v>
      </c>
    </row>
    <row r="208" spans="1:5" ht="43.5" x14ac:dyDescent="0.35">
      <c r="A208">
        <v>1207</v>
      </c>
      <c r="B208" t="s">
        <v>2360</v>
      </c>
      <c r="C208" t="s">
        <v>1805</v>
      </c>
      <c r="D208" s="12" t="str">
        <f t="shared" si="7"/>
        <v>1207,'111119','TC0702_5'</v>
      </c>
      <c r="E208" s="12" t="str">
        <f t="shared" si="6"/>
        <v>INSERT INTO grupos (id,matricula,grupo) values (1207,'111119','TC0702_5');</v>
      </c>
    </row>
    <row r="209" spans="1:5" ht="43.5" x14ac:dyDescent="0.35">
      <c r="A209">
        <v>1208</v>
      </c>
      <c r="B209" t="s">
        <v>2361</v>
      </c>
      <c r="C209" t="s">
        <v>1752</v>
      </c>
      <c r="D209" s="12" t="str">
        <f t="shared" si="7"/>
        <v>1208,'111120','AERO 7°'</v>
      </c>
      <c r="E209" s="12" t="str">
        <f t="shared" si="6"/>
        <v>INSERT INTO grupos (id,matricula,grupo) values (1208,'111120','AERO 7°');</v>
      </c>
    </row>
    <row r="210" spans="1:5" ht="43.5" x14ac:dyDescent="0.35">
      <c r="A210">
        <v>1209</v>
      </c>
      <c r="B210" t="s">
        <v>2361</v>
      </c>
      <c r="C210" t="s">
        <v>1805</v>
      </c>
      <c r="D210" s="12" t="str">
        <f t="shared" si="7"/>
        <v>1209,'111120','TC0702_5'</v>
      </c>
      <c r="E210" s="12" t="str">
        <f t="shared" si="6"/>
        <v>INSERT INTO grupos (id,matricula,grupo) values (1209,'111120','TC0702_5');</v>
      </c>
    </row>
    <row r="211" spans="1:5" ht="43.5" x14ac:dyDescent="0.35">
      <c r="A211">
        <v>1210</v>
      </c>
      <c r="B211" t="s">
        <v>2362</v>
      </c>
      <c r="C211" t="s">
        <v>1764</v>
      </c>
      <c r="D211" s="12" t="str">
        <f t="shared" si="7"/>
        <v>1210,'111121','PSI 7°'</v>
      </c>
      <c r="E211" s="12" t="str">
        <f t="shared" si="6"/>
        <v>INSERT INTO grupos (id,matricula,grupo) values (1210,'111121','PSI 7°');</v>
      </c>
    </row>
    <row r="212" spans="1:5" ht="43.5" x14ac:dyDescent="0.35">
      <c r="A212">
        <v>1211</v>
      </c>
      <c r="B212" t="s">
        <v>2362</v>
      </c>
      <c r="C212" t="s">
        <v>1805</v>
      </c>
      <c r="D212" s="12" t="str">
        <f t="shared" si="7"/>
        <v>1211,'111121','TC0702_5'</v>
      </c>
      <c r="E212" s="12" t="str">
        <f t="shared" si="6"/>
        <v>INSERT INTO grupos (id,matricula,grupo) values (1211,'111121','TC0702_5');</v>
      </c>
    </row>
    <row r="213" spans="1:5" ht="43.5" x14ac:dyDescent="0.35">
      <c r="A213">
        <v>1212</v>
      </c>
      <c r="B213" t="s">
        <v>2363</v>
      </c>
      <c r="C213" t="s">
        <v>1753</v>
      </c>
      <c r="D213" s="12" t="str">
        <f t="shared" si="7"/>
        <v>1212,'111122','NUT 7°'</v>
      </c>
      <c r="E213" s="12" t="str">
        <f t="shared" si="6"/>
        <v>INSERT INTO grupos (id,matricula,grupo) values (1212,'111122','NUT 7°');</v>
      </c>
    </row>
    <row r="214" spans="1:5" ht="43.5" x14ac:dyDescent="0.35">
      <c r="A214">
        <v>1213</v>
      </c>
      <c r="B214" t="s">
        <v>2363</v>
      </c>
      <c r="C214" t="s">
        <v>1802</v>
      </c>
      <c r="D214" s="12" t="str">
        <f t="shared" si="7"/>
        <v>1213,'111122','TC0702_2'</v>
      </c>
      <c r="E214" s="12" t="str">
        <f t="shared" si="6"/>
        <v>INSERT INTO grupos (id,matricula,grupo) values (1213,'111122','TC0702_2');</v>
      </c>
    </row>
    <row r="215" spans="1:5" ht="43.5" x14ac:dyDescent="0.35">
      <c r="A215">
        <v>1214</v>
      </c>
      <c r="B215" t="s">
        <v>2364</v>
      </c>
      <c r="C215" t="s">
        <v>1763</v>
      </c>
      <c r="D215" s="12" t="str">
        <f t="shared" si="7"/>
        <v>1214,'111123','DGD 7°'</v>
      </c>
      <c r="E215" s="12" t="str">
        <f t="shared" si="6"/>
        <v>INSERT INTO grupos (id,matricula,grupo) values (1214,'111123','DGD 7°');</v>
      </c>
    </row>
    <row r="216" spans="1:5" ht="43.5" x14ac:dyDescent="0.35">
      <c r="A216">
        <v>1215</v>
      </c>
      <c r="B216" t="s">
        <v>2364</v>
      </c>
      <c r="C216" t="s">
        <v>1805</v>
      </c>
      <c r="D216" s="12" t="str">
        <f t="shared" si="7"/>
        <v>1215,'111123','TC0702_5'</v>
      </c>
      <c r="E216" s="12" t="str">
        <f t="shared" si="6"/>
        <v>INSERT INTO grupos (id,matricula,grupo) values (1215,'111123','TC0702_5');</v>
      </c>
    </row>
    <row r="217" spans="1:5" ht="43.5" x14ac:dyDescent="0.35">
      <c r="A217">
        <v>1216</v>
      </c>
      <c r="B217" t="s">
        <v>2365</v>
      </c>
      <c r="C217" t="s">
        <v>1753</v>
      </c>
      <c r="D217" s="12" t="str">
        <f t="shared" si="7"/>
        <v>1216,'111124','NUT 7°'</v>
      </c>
      <c r="E217" s="12" t="str">
        <f t="shared" si="6"/>
        <v>INSERT INTO grupos (id,matricula,grupo) values (1216,'111124','NUT 7°');</v>
      </c>
    </row>
    <row r="218" spans="1:5" ht="43.5" x14ac:dyDescent="0.35">
      <c r="A218">
        <v>1217</v>
      </c>
      <c r="B218" t="s">
        <v>2366</v>
      </c>
      <c r="C218" t="s">
        <v>1752</v>
      </c>
      <c r="D218" s="12" t="str">
        <f t="shared" si="7"/>
        <v>1217,'111125','AERO 7°'</v>
      </c>
      <c r="E218" s="12" t="str">
        <f t="shared" si="6"/>
        <v>INSERT INTO grupos (id,matricula,grupo) values (1217,'111125','AERO 7°');</v>
      </c>
    </row>
    <row r="219" spans="1:5" ht="43.5" x14ac:dyDescent="0.35">
      <c r="A219">
        <v>1218</v>
      </c>
      <c r="B219" t="s">
        <v>2366</v>
      </c>
      <c r="C219" t="s">
        <v>1805</v>
      </c>
      <c r="D219" s="12" t="str">
        <f t="shared" si="7"/>
        <v>1218,'111125','TC0702_5'</v>
      </c>
      <c r="E219" s="12" t="str">
        <f t="shared" si="6"/>
        <v>INSERT INTO grupos (id,matricula,grupo) values (1218,'111125','TC0702_5');</v>
      </c>
    </row>
    <row r="220" spans="1:5" ht="43.5" x14ac:dyDescent="0.35">
      <c r="A220">
        <v>1219</v>
      </c>
      <c r="B220" t="s">
        <v>2367</v>
      </c>
      <c r="C220" t="s">
        <v>1752</v>
      </c>
      <c r="D220" s="12" t="str">
        <f t="shared" si="7"/>
        <v>1219,'111126','AERO 7°'</v>
      </c>
      <c r="E220" s="12" t="str">
        <f t="shared" si="6"/>
        <v>INSERT INTO grupos (id,matricula,grupo) values (1219,'111126','AERO 7°');</v>
      </c>
    </row>
    <row r="221" spans="1:5" ht="43.5" x14ac:dyDescent="0.35">
      <c r="A221">
        <v>1220</v>
      </c>
      <c r="B221" t="s">
        <v>2367</v>
      </c>
      <c r="C221" t="s">
        <v>1805</v>
      </c>
      <c r="D221" s="12" t="str">
        <f t="shared" si="7"/>
        <v>1220,'111126','TC0702_5'</v>
      </c>
      <c r="E221" s="12" t="str">
        <f t="shared" si="6"/>
        <v>INSERT INTO grupos (id,matricula,grupo) values (1220,'111126','TC0702_5');</v>
      </c>
    </row>
    <row r="222" spans="1:5" ht="43.5" x14ac:dyDescent="0.35">
      <c r="A222">
        <v>1221</v>
      </c>
      <c r="B222" t="s">
        <v>2368</v>
      </c>
      <c r="C222" t="s">
        <v>1761</v>
      </c>
      <c r="D222" s="12" t="str">
        <f t="shared" si="7"/>
        <v>1221,'111127','AUTO 7°'</v>
      </c>
      <c r="E222" s="12" t="str">
        <f t="shared" si="6"/>
        <v>INSERT INTO grupos (id,matricula,grupo) values (1221,'111127','AUTO 7°');</v>
      </c>
    </row>
    <row r="223" spans="1:5" ht="43.5" x14ac:dyDescent="0.35">
      <c r="A223">
        <v>1222</v>
      </c>
      <c r="B223" t="s">
        <v>2368</v>
      </c>
      <c r="C223" t="s">
        <v>1801</v>
      </c>
      <c r="D223" s="12" t="str">
        <f t="shared" si="7"/>
        <v>1222,'111127','TC0702_1'</v>
      </c>
      <c r="E223" s="12" t="str">
        <f t="shared" si="6"/>
        <v>INSERT INTO grupos (id,matricula,grupo) values (1222,'111127','TC0702_1');</v>
      </c>
    </row>
    <row r="224" spans="1:5" ht="43.5" x14ac:dyDescent="0.35">
      <c r="A224">
        <v>1223</v>
      </c>
      <c r="B224" t="s">
        <v>2369</v>
      </c>
      <c r="C224" t="s">
        <v>1753</v>
      </c>
      <c r="D224" s="12" t="str">
        <f t="shared" si="7"/>
        <v>1223,'111128','NUT 7°'</v>
      </c>
      <c r="E224" s="12" t="str">
        <f t="shared" si="6"/>
        <v>INSERT INTO grupos (id,matricula,grupo) values (1223,'111128','NUT 7°');</v>
      </c>
    </row>
    <row r="225" spans="1:5" ht="43.5" x14ac:dyDescent="0.35">
      <c r="A225">
        <v>1224</v>
      </c>
      <c r="B225" t="s">
        <v>2369</v>
      </c>
      <c r="C225" t="s">
        <v>1801</v>
      </c>
      <c r="D225" s="12" t="str">
        <f t="shared" si="7"/>
        <v>1224,'111128','TC0702_1'</v>
      </c>
      <c r="E225" s="12" t="str">
        <f t="shared" si="6"/>
        <v>INSERT INTO grupos (id,matricula,grupo) values (1224,'111128','TC0702_1');</v>
      </c>
    </row>
    <row r="226" spans="1:5" ht="43.5" x14ac:dyDescent="0.35">
      <c r="A226">
        <v>1225</v>
      </c>
      <c r="B226" t="s">
        <v>2370</v>
      </c>
      <c r="C226" t="s">
        <v>1755</v>
      </c>
      <c r="D226" s="12" t="str">
        <f t="shared" si="7"/>
        <v>1225,'111129','ANIM 7°'</v>
      </c>
      <c r="E226" s="12" t="str">
        <f t="shared" si="6"/>
        <v>INSERT INTO grupos (id,matricula,grupo) values (1225,'111129','ANIM 7°');</v>
      </c>
    </row>
    <row r="227" spans="1:5" ht="43.5" x14ac:dyDescent="0.35">
      <c r="A227">
        <v>1226</v>
      </c>
      <c r="B227" t="s">
        <v>2370</v>
      </c>
      <c r="C227" t="s">
        <v>1801</v>
      </c>
      <c r="D227" s="12" t="str">
        <f t="shared" si="7"/>
        <v>1226,'111129','TC0702_1'</v>
      </c>
      <c r="E227" s="12" t="str">
        <f t="shared" si="6"/>
        <v>INSERT INTO grupos (id,matricula,grupo) values (1226,'111129','TC0702_1');</v>
      </c>
    </row>
    <row r="228" spans="1:5" ht="43.5" x14ac:dyDescent="0.35">
      <c r="A228">
        <v>1227</v>
      </c>
      <c r="B228" t="s">
        <v>2371</v>
      </c>
      <c r="C228" t="s">
        <v>1752</v>
      </c>
      <c r="D228" s="12" t="str">
        <f t="shared" si="7"/>
        <v>1227,'111130','AERO 7°'</v>
      </c>
      <c r="E228" s="12" t="str">
        <f t="shared" si="6"/>
        <v>INSERT INTO grupos (id,matricula,grupo) values (1227,'111130','AERO 7°');</v>
      </c>
    </row>
    <row r="229" spans="1:5" ht="43.5" x14ac:dyDescent="0.35">
      <c r="A229">
        <v>1228</v>
      </c>
      <c r="B229" t="s">
        <v>2372</v>
      </c>
      <c r="C229" t="s">
        <v>1752</v>
      </c>
      <c r="D229" s="12" t="str">
        <f t="shared" si="7"/>
        <v>1228,'111150','AERO 7°'</v>
      </c>
      <c r="E229" s="12" t="str">
        <f t="shared" si="6"/>
        <v>INSERT INTO grupos (id,matricula,grupo) values (1228,'111150','AERO 7°');</v>
      </c>
    </row>
    <row r="230" spans="1:5" ht="43.5" x14ac:dyDescent="0.35">
      <c r="A230">
        <v>1229</v>
      </c>
      <c r="B230" t="s">
        <v>2373</v>
      </c>
      <c r="C230" t="s">
        <v>1764</v>
      </c>
      <c r="D230" s="12" t="str">
        <f t="shared" si="7"/>
        <v>1229,'111152','PSI 7°'</v>
      </c>
      <c r="E230" s="12" t="str">
        <f t="shared" si="6"/>
        <v>INSERT INTO grupos (id,matricula,grupo) values (1229,'111152','PSI 7°');</v>
      </c>
    </row>
    <row r="231" spans="1:5" ht="43.5" x14ac:dyDescent="0.35">
      <c r="A231">
        <v>1230</v>
      </c>
      <c r="B231" t="s">
        <v>2373</v>
      </c>
      <c r="C231" t="s">
        <v>1804</v>
      </c>
      <c r="D231" s="12" t="str">
        <f t="shared" si="7"/>
        <v>1230,'111152','TC0702_4'</v>
      </c>
      <c r="E231" s="12" t="str">
        <f t="shared" si="6"/>
        <v>INSERT INTO grupos (id,matricula,grupo) values (1230,'111152','TC0702_4');</v>
      </c>
    </row>
    <row r="232" spans="1:5" ht="43.5" x14ac:dyDescent="0.35">
      <c r="A232">
        <v>1231</v>
      </c>
      <c r="B232" t="s">
        <v>2374</v>
      </c>
      <c r="C232" t="s">
        <v>1752</v>
      </c>
      <c r="D232" s="12" t="str">
        <f t="shared" si="7"/>
        <v>1231,'111153','AERO 7°'</v>
      </c>
      <c r="E232" s="12" t="str">
        <f t="shared" si="6"/>
        <v>INSERT INTO grupos (id,matricula,grupo) values (1231,'111153','AERO 7°');</v>
      </c>
    </row>
    <row r="233" spans="1:5" ht="43.5" x14ac:dyDescent="0.35">
      <c r="A233">
        <v>1232</v>
      </c>
      <c r="B233" t="s">
        <v>2374</v>
      </c>
      <c r="C233" t="s">
        <v>1805</v>
      </c>
      <c r="D233" s="12" t="str">
        <f t="shared" si="7"/>
        <v>1232,'111153','TC0702_5'</v>
      </c>
      <c r="E233" s="12" t="str">
        <f t="shared" si="6"/>
        <v>INSERT INTO grupos (id,matricula,grupo) values (1232,'111153','TC0702_5');</v>
      </c>
    </row>
    <row r="234" spans="1:5" ht="43.5" x14ac:dyDescent="0.35">
      <c r="A234">
        <v>1233</v>
      </c>
      <c r="B234" t="s">
        <v>2375</v>
      </c>
      <c r="C234" t="s">
        <v>1766</v>
      </c>
      <c r="D234" s="12" t="str">
        <f t="shared" si="7"/>
        <v>1233,'111154','CIB 7°'</v>
      </c>
      <c r="E234" s="12" t="str">
        <f t="shared" si="6"/>
        <v>INSERT INTO grupos (id,matricula,grupo) values (1233,'111154','CIB 7°');</v>
      </c>
    </row>
    <row r="235" spans="1:5" ht="43.5" x14ac:dyDescent="0.35">
      <c r="A235">
        <v>1234</v>
      </c>
      <c r="B235" t="s">
        <v>2376</v>
      </c>
      <c r="C235" t="s">
        <v>1764</v>
      </c>
      <c r="D235" s="12" t="str">
        <f t="shared" si="7"/>
        <v>1234,'111155','PSI 7°'</v>
      </c>
      <c r="E235" s="12" t="str">
        <f t="shared" si="6"/>
        <v>INSERT INTO grupos (id,matricula,grupo) values (1234,'111155','PSI 7°');</v>
      </c>
    </row>
    <row r="236" spans="1:5" ht="43.5" x14ac:dyDescent="0.35">
      <c r="A236">
        <v>1235</v>
      </c>
      <c r="B236" t="s">
        <v>2376</v>
      </c>
      <c r="C236" t="s">
        <v>1805</v>
      </c>
      <c r="D236" s="12" t="str">
        <f t="shared" si="7"/>
        <v>1235,'111155','TC0702_5'</v>
      </c>
      <c r="E236" s="12" t="str">
        <f t="shared" si="6"/>
        <v>INSERT INTO grupos (id,matricula,grupo) values (1235,'111155','TC0702_5');</v>
      </c>
    </row>
    <row r="237" spans="1:5" ht="43.5" x14ac:dyDescent="0.35">
      <c r="A237">
        <v>1236</v>
      </c>
      <c r="B237" t="s">
        <v>2377</v>
      </c>
      <c r="C237" t="s">
        <v>1750</v>
      </c>
      <c r="D237" s="12" t="str">
        <f t="shared" si="7"/>
        <v>1236,'111157','ADMON 7°'</v>
      </c>
      <c r="E237" s="12" t="str">
        <f t="shared" si="6"/>
        <v>INSERT INTO grupos (id,matricula,grupo) values (1236,'111157','ADMON 7°');</v>
      </c>
    </row>
    <row r="238" spans="1:5" ht="43.5" x14ac:dyDescent="0.35">
      <c r="A238">
        <v>1237</v>
      </c>
      <c r="B238" t="s">
        <v>2377</v>
      </c>
      <c r="C238" t="s">
        <v>1828</v>
      </c>
      <c r="D238" s="12" t="str">
        <f t="shared" si="7"/>
        <v>1237,'111157','TC0701_3'</v>
      </c>
      <c r="E238" s="12" t="str">
        <f t="shared" si="6"/>
        <v>INSERT INTO grupos (id,matricula,grupo) values (1237,'111157','TC0701_3');</v>
      </c>
    </row>
    <row r="239" spans="1:5" ht="43.5" x14ac:dyDescent="0.35">
      <c r="A239">
        <v>1238</v>
      </c>
      <c r="B239" t="s">
        <v>2377</v>
      </c>
      <c r="C239" t="s">
        <v>1804</v>
      </c>
      <c r="D239" s="12" t="str">
        <f t="shared" si="7"/>
        <v>1238,'111157','TC0702_4'</v>
      </c>
      <c r="E239" s="12" t="str">
        <f t="shared" si="6"/>
        <v>INSERT INTO grupos (id,matricula,grupo) values (1238,'111157','TC0702_4');</v>
      </c>
    </row>
    <row r="240" spans="1:5" ht="43.5" x14ac:dyDescent="0.35">
      <c r="A240">
        <v>1239</v>
      </c>
      <c r="B240" t="s">
        <v>2377</v>
      </c>
      <c r="C240" t="s">
        <v>2250</v>
      </c>
      <c r="D240" s="12" t="str">
        <f t="shared" si="7"/>
        <v>1239,'111157','TC0703_3'</v>
      </c>
      <c r="E240" s="12" t="str">
        <f t="shared" si="6"/>
        <v>INSERT INTO grupos (id,matricula,grupo) values (1239,'111157','TC0703_3');</v>
      </c>
    </row>
    <row r="241" spans="1:5" ht="43.5" x14ac:dyDescent="0.35">
      <c r="A241">
        <v>1240</v>
      </c>
      <c r="B241" t="s">
        <v>2378</v>
      </c>
      <c r="C241" t="s">
        <v>1753</v>
      </c>
      <c r="D241" s="12" t="str">
        <f t="shared" si="7"/>
        <v>1240,'111159','NUT 7°'</v>
      </c>
      <c r="E241" s="12" t="str">
        <f t="shared" si="6"/>
        <v>INSERT INTO grupos (id,matricula,grupo) values (1240,'111159','NUT 7°');</v>
      </c>
    </row>
    <row r="242" spans="1:5" ht="43.5" x14ac:dyDescent="0.35">
      <c r="A242">
        <v>1241</v>
      </c>
      <c r="B242" t="s">
        <v>2378</v>
      </c>
      <c r="C242" t="s">
        <v>1828</v>
      </c>
      <c r="D242" s="12" t="str">
        <f t="shared" si="7"/>
        <v>1241,'111159','TC0701_3'</v>
      </c>
      <c r="E242" s="12" t="str">
        <f t="shared" si="6"/>
        <v>INSERT INTO grupos (id,matricula,grupo) values (1241,'111159','TC0701_3');</v>
      </c>
    </row>
    <row r="243" spans="1:5" ht="43.5" x14ac:dyDescent="0.35">
      <c r="A243">
        <v>1242</v>
      </c>
      <c r="B243" t="s">
        <v>2378</v>
      </c>
      <c r="C243" t="s">
        <v>1802</v>
      </c>
      <c r="D243" s="12" t="str">
        <f t="shared" si="7"/>
        <v>1242,'111159','TC0702_2'</v>
      </c>
      <c r="E243" s="12" t="str">
        <f t="shared" si="6"/>
        <v>INSERT INTO grupos (id,matricula,grupo) values (1242,'111159','TC0702_2');</v>
      </c>
    </row>
    <row r="244" spans="1:5" ht="43.5" x14ac:dyDescent="0.35">
      <c r="A244">
        <v>1243</v>
      </c>
      <c r="B244" t="s">
        <v>2378</v>
      </c>
      <c r="C244" t="s">
        <v>2250</v>
      </c>
      <c r="D244" s="12" t="str">
        <f t="shared" si="7"/>
        <v>1243,'111159','TC0703_3'</v>
      </c>
      <c r="E244" s="12" t="str">
        <f t="shared" si="6"/>
        <v>INSERT INTO grupos (id,matricula,grupo) values (1243,'111159','TC0703_3');</v>
      </c>
    </row>
    <row r="245" spans="1:5" ht="43.5" x14ac:dyDescent="0.35">
      <c r="A245">
        <v>1244</v>
      </c>
      <c r="B245" t="s">
        <v>2379</v>
      </c>
      <c r="C245" t="s">
        <v>1755</v>
      </c>
      <c r="D245" s="12" t="str">
        <f t="shared" si="7"/>
        <v>1244,'111162','ANIM 7°'</v>
      </c>
      <c r="E245" s="12" t="str">
        <f t="shared" si="6"/>
        <v>INSERT INTO grupos (id,matricula,grupo) values (1244,'111162','ANIM 7°');</v>
      </c>
    </row>
    <row r="246" spans="1:5" ht="43.5" x14ac:dyDescent="0.35">
      <c r="A246">
        <v>1245</v>
      </c>
      <c r="B246" t="s">
        <v>2379</v>
      </c>
      <c r="C246" t="s">
        <v>1828</v>
      </c>
      <c r="D246" s="12" t="str">
        <f t="shared" si="7"/>
        <v>1245,'111162','TC0701_3'</v>
      </c>
      <c r="E246" s="12" t="str">
        <f t="shared" si="6"/>
        <v>INSERT INTO grupos (id,matricula,grupo) values (1245,'111162','TC0701_3');</v>
      </c>
    </row>
    <row r="247" spans="1:5" ht="43.5" x14ac:dyDescent="0.35">
      <c r="A247">
        <v>1246</v>
      </c>
      <c r="B247" t="s">
        <v>2379</v>
      </c>
      <c r="C247" t="s">
        <v>1801</v>
      </c>
      <c r="D247" s="12" t="str">
        <f t="shared" si="7"/>
        <v>1246,'111162','TC0702_1'</v>
      </c>
      <c r="E247" s="12" t="str">
        <f t="shared" si="6"/>
        <v>INSERT INTO grupos (id,matricula,grupo) values (1246,'111162','TC0702_1');</v>
      </c>
    </row>
    <row r="248" spans="1:5" ht="43.5" x14ac:dyDescent="0.35">
      <c r="A248">
        <v>1247</v>
      </c>
      <c r="B248" t="s">
        <v>2379</v>
      </c>
      <c r="C248" t="s">
        <v>2250</v>
      </c>
      <c r="D248" s="12" t="str">
        <f t="shared" si="7"/>
        <v>1247,'111162','TC0703_3'</v>
      </c>
      <c r="E248" s="12" t="str">
        <f t="shared" si="6"/>
        <v>INSERT INTO grupos (id,matricula,grupo) values (1247,'111162','TC0703_3');</v>
      </c>
    </row>
    <row r="249" spans="1:5" ht="43.5" x14ac:dyDescent="0.35">
      <c r="A249">
        <v>1248</v>
      </c>
      <c r="B249" t="s">
        <v>2380</v>
      </c>
      <c r="C249" t="s">
        <v>1764</v>
      </c>
      <c r="D249" s="12" t="str">
        <f t="shared" si="7"/>
        <v>1248,'111163','PSI 7°'</v>
      </c>
      <c r="E249" s="12" t="str">
        <f t="shared" si="6"/>
        <v>INSERT INTO grupos (id,matricula,grupo) values (1248,'111163','PSI 7°');</v>
      </c>
    </row>
    <row r="250" spans="1:5" ht="43.5" x14ac:dyDescent="0.35">
      <c r="A250">
        <v>1249</v>
      </c>
      <c r="B250" t="s">
        <v>2381</v>
      </c>
      <c r="C250" t="s">
        <v>1764</v>
      </c>
      <c r="D250" s="12" t="str">
        <f t="shared" si="7"/>
        <v>1249,'111165','PSI 7°'</v>
      </c>
      <c r="E250" s="12" t="str">
        <f t="shared" si="6"/>
        <v>INSERT INTO grupos (id,matricula,grupo) values (1249,'111165','PSI 7°');</v>
      </c>
    </row>
    <row r="251" spans="1:5" ht="43.5" x14ac:dyDescent="0.35">
      <c r="A251">
        <v>1250</v>
      </c>
      <c r="B251" t="s">
        <v>2382</v>
      </c>
      <c r="C251" t="s">
        <v>1764</v>
      </c>
      <c r="D251" s="12" t="str">
        <f t="shared" si="7"/>
        <v>1250,'111166','PSI 7°'</v>
      </c>
      <c r="E251" s="12" t="str">
        <f t="shared" si="6"/>
        <v>INSERT INTO grupos (id,matricula,grupo) values (1250,'111166','PSI 7°');</v>
      </c>
    </row>
    <row r="252" spans="1:5" ht="43.5" x14ac:dyDescent="0.35">
      <c r="A252">
        <v>1251</v>
      </c>
      <c r="B252" t="s">
        <v>2382</v>
      </c>
      <c r="C252" t="s">
        <v>1805</v>
      </c>
      <c r="D252" s="12" t="str">
        <f t="shared" si="7"/>
        <v>1251,'111166','TC0702_5'</v>
      </c>
      <c r="E252" s="12" t="str">
        <f t="shared" si="6"/>
        <v>INSERT INTO grupos (id,matricula,grupo) values (1251,'111166','TC0702_5');</v>
      </c>
    </row>
    <row r="253" spans="1:5" ht="43.5" x14ac:dyDescent="0.35">
      <c r="A253">
        <v>1252</v>
      </c>
      <c r="B253" t="s">
        <v>2383</v>
      </c>
      <c r="C253" t="s">
        <v>1761</v>
      </c>
      <c r="D253" s="12" t="str">
        <f t="shared" si="7"/>
        <v>1252,'111168','AUTO 7°'</v>
      </c>
      <c r="E253" s="12" t="str">
        <f t="shared" si="6"/>
        <v>INSERT INTO grupos (id,matricula,grupo) values (1252,'111168','AUTO 7°');</v>
      </c>
    </row>
    <row r="254" spans="1:5" ht="43.5" x14ac:dyDescent="0.35">
      <c r="A254">
        <v>1253</v>
      </c>
      <c r="B254" t="s">
        <v>2384</v>
      </c>
      <c r="C254" t="s">
        <v>1751</v>
      </c>
      <c r="D254" s="12" t="str">
        <f t="shared" si="7"/>
        <v>1253,'111169','IND 7°'</v>
      </c>
      <c r="E254" s="12" t="str">
        <f t="shared" si="6"/>
        <v>INSERT INTO grupos (id,matricula,grupo) values (1253,'111169','IND 7°');</v>
      </c>
    </row>
    <row r="255" spans="1:5" ht="43.5" x14ac:dyDescent="0.35">
      <c r="A255">
        <v>1254</v>
      </c>
      <c r="B255" t="s">
        <v>2385</v>
      </c>
      <c r="C255" t="s">
        <v>1761</v>
      </c>
      <c r="D255" s="12" t="str">
        <f t="shared" si="7"/>
        <v>1254,'111170','AUTO 7°'</v>
      </c>
      <c r="E255" s="12" t="str">
        <f t="shared" si="6"/>
        <v>INSERT INTO grupos (id,matricula,grupo) values (1254,'111170','AUTO 7°');</v>
      </c>
    </row>
    <row r="256" spans="1:5" ht="43.5" x14ac:dyDescent="0.35">
      <c r="A256">
        <v>1255</v>
      </c>
      <c r="B256" t="s">
        <v>2386</v>
      </c>
      <c r="C256" t="s">
        <v>1761</v>
      </c>
      <c r="D256" s="12" t="str">
        <f t="shared" si="7"/>
        <v>1255,'111171','AUTO 7°'</v>
      </c>
      <c r="E256" s="12" t="str">
        <f t="shared" si="6"/>
        <v>INSERT INTO grupos (id,matricula,grupo) values (1255,'111171','AUTO 7°');</v>
      </c>
    </row>
    <row r="257" spans="1:5" ht="43.5" x14ac:dyDescent="0.35">
      <c r="A257">
        <v>1256</v>
      </c>
      <c r="B257" t="s">
        <v>2387</v>
      </c>
      <c r="C257" t="s">
        <v>1754</v>
      </c>
      <c r="D257" s="12" t="str">
        <f t="shared" si="7"/>
        <v>1256,'111172','ARQ 7°'</v>
      </c>
      <c r="E257" s="12" t="str">
        <f t="shared" si="6"/>
        <v>INSERT INTO grupos (id,matricula,grupo) values (1256,'111172','ARQ 7°');</v>
      </c>
    </row>
    <row r="258" spans="1:5" ht="43.5" x14ac:dyDescent="0.35">
      <c r="A258">
        <v>1257</v>
      </c>
      <c r="B258" t="s">
        <v>2387</v>
      </c>
      <c r="C258" t="s">
        <v>1802</v>
      </c>
      <c r="D258" s="12" t="str">
        <f t="shared" si="7"/>
        <v>1257,'111172','TC0702_2'</v>
      </c>
      <c r="E258" s="12" t="str">
        <f t="shared" ref="E258:E321" si="8">CONCATENATE($D$1,D258,");")</f>
        <v>INSERT INTO grupos (id,matricula,grupo) values (1257,'111172','TC0702_2');</v>
      </c>
    </row>
    <row r="259" spans="1:5" ht="43.5" x14ac:dyDescent="0.35">
      <c r="A259">
        <v>1258</v>
      </c>
      <c r="B259" t="s">
        <v>2388</v>
      </c>
      <c r="C259" t="s">
        <v>1750</v>
      </c>
      <c r="D259" s="12" t="str">
        <f t="shared" ref="D259:D322" si="9">CONCATENATE(A259,",'",TRIM(B259),"','",C259,"'")</f>
        <v>1258,'111174','ADMON 7°'</v>
      </c>
      <c r="E259" s="12" t="str">
        <f t="shared" si="8"/>
        <v>INSERT INTO grupos (id,matricula,grupo) values (1258,'111174','ADMON 7°');</v>
      </c>
    </row>
    <row r="260" spans="1:5" ht="43.5" x14ac:dyDescent="0.35">
      <c r="A260">
        <v>1259</v>
      </c>
      <c r="B260" t="s">
        <v>2388</v>
      </c>
      <c r="C260" t="s">
        <v>1828</v>
      </c>
      <c r="D260" s="12" t="str">
        <f t="shared" si="9"/>
        <v>1259,'111174','TC0701_3'</v>
      </c>
      <c r="E260" s="12" t="str">
        <f t="shared" si="8"/>
        <v>INSERT INTO grupos (id,matricula,grupo) values (1259,'111174','TC0701_3');</v>
      </c>
    </row>
    <row r="261" spans="1:5" ht="43.5" x14ac:dyDescent="0.35">
      <c r="A261">
        <v>1260</v>
      </c>
      <c r="B261" t="s">
        <v>2388</v>
      </c>
      <c r="C261" t="s">
        <v>1805</v>
      </c>
      <c r="D261" s="12" t="str">
        <f t="shared" si="9"/>
        <v>1260,'111174','TC0702_5'</v>
      </c>
      <c r="E261" s="12" t="str">
        <f t="shared" si="8"/>
        <v>INSERT INTO grupos (id,matricula,grupo) values (1260,'111174','TC0702_5');</v>
      </c>
    </row>
    <row r="262" spans="1:5" ht="43.5" x14ac:dyDescent="0.35">
      <c r="A262">
        <v>1261</v>
      </c>
      <c r="B262" t="s">
        <v>2388</v>
      </c>
      <c r="C262" t="s">
        <v>2250</v>
      </c>
      <c r="D262" s="12" t="str">
        <f t="shared" si="9"/>
        <v>1261,'111174','TC0703_3'</v>
      </c>
      <c r="E262" s="12" t="str">
        <f t="shared" si="8"/>
        <v>INSERT INTO grupos (id,matricula,grupo) values (1261,'111174','TC0703_3');</v>
      </c>
    </row>
    <row r="263" spans="1:5" ht="43.5" x14ac:dyDescent="0.35">
      <c r="A263">
        <v>1262</v>
      </c>
      <c r="B263" t="s">
        <v>2389</v>
      </c>
      <c r="C263" t="s">
        <v>1764</v>
      </c>
      <c r="D263" s="12" t="str">
        <f t="shared" si="9"/>
        <v>1262,'111178','PSI 7°'</v>
      </c>
      <c r="E263" s="12" t="str">
        <f t="shared" si="8"/>
        <v>INSERT INTO grupos (id,matricula,grupo) values (1262,'111178','PSI 7°');</v>
      </c>
    </row>
    <row r="264" spans="1:5" ht="43.5" x14ac:dyDescent="0.35">
      <c r="A264">
        <v>1263</v>
      </c>
      <c r="B264" t="s">
        <v>2389</v>
      </c>
      <c r="C264" t="s">
        <v>1828</v>
      </c>
      <c r="D264" s="12" t="str">
        <f t="shared" si="9"/>
        <v>1263,'111178','TC0701_3'</v>
      </c>
      <c r="E264" s="12" t="str">
        <f t="shared" si="8"/>
        <v>INSERT INTO grupos (id,matricula,grupo) values (1263,'111178','TC0701_3');</v>
      </c>
    </row>
    <row r="265" spans="1:5" ht="43.5" x14ac:dyDescent="0.35">
      <c r="A265">
        <v>1264</v>
      </c>
      <c r="B265" t="s">
        <v>2389</v>
      </c>
      <c r="C265" t="s">
        <v>1805</v>
      </c>
      <c r="D265" s="12" t="str">
        <f t="shared" si="9"/>
        <v>1264,'111178','TC0702_5'</v>
      </c>
      <c r="E265" s="12" t="str">
        <f t="shared" si="8"/>
        <v>INSERT INTO grupos (id,matricula,grupo) values (1264,'111178','TC0702_5');</v>
      </c>
    </row>
    <row r="266" spans="1:5" ht="43.5" x14ac:dyDescent="0.35">
      <c r="A266">
        <v>1265</v>
      </c>
      <c r="B266" t="s">
        <v>2389</v>
      </c>
      <c r="C266" t="s">
        <v>2250</v>
      </c>
      <c r="D266" s="12" t="str">
        <f t="shared" si="9"/>
        <v>1265,'111178','TC0703_3'</v>
      </c>
      <c r="E266" s="12" t="str">
        <f t="shared" si="8"/>
        <v>INSERT INTO grupos (id,matricula,grupo) values (1265,'111178','TC0703_3');</v>
      </c>
    </row>
    <row r="267" spans="1:5" ht="43.5" x14ac:dyDescent="0.35">
      <c r="A267">
        <v>1266</v>
      </c>
      <c r="B267" t="s">
        <v>2390</v>
      </c>
      <c r="C267" t="s">
        <v>1755</v>
      </c>
      <c r="D267" s="12" t="str">
        <f t="shared" si="9"/>
        <v>1266,'111179','ANIM 7°'</v>
      </c>
      <c r="E267" s="12" t="str">
        <f t="shared" si="8"/>
        <v>INSERT INTO grupos (id,matricula,grupo) values (1266,'111179','ANIM 7°');</v>
      </c>
    </row>
    <row r="268" spans="1:5" ht="43.5" x14ac:dyDescent="0.35">
      <c r="A268">
        <v>1267</v>
      </c>
      <c r="B268" t="s">
        <v>2391</v>
      </c>
      <c r="C268" t="s">
        <v>1754</v>
      </c>
      <c r="D268" s="12" t="str">
        <f t="shared" si="9"/>
        <v>1267,'111181','ARQ 7°'</v>
      </c>
      <c r="E268" s="12" t="str">
        <f t="shared" si="8"/>
        <v>INSERT INTO grupos (id,matricula,grupo) values (1267,'111181','ARQ 7°');</v>
      </c>
    </row>
    <row r="269" spans="1:5" ht="43.5" x14ac:dyDescent="0.35">
      <c r="A269">
        <v>1268</v>
      </c>
      <c r="B269" t="s">
        <v>2391</v>
      </c>
      <c r="C269" t="s">
        <v>1828</v>
      </c>
      <c r="D269" s="12" t="str">
        <f t="shared" si="9"/>
        <v>1268,'111181','TC0701_3'</v>
      </c>
      <c r="E269" s="12" t="str">
        <f t="shared" si="8"/>
        <v>INSERT INTO grupos (id,matricula,grupo) values (1268,'111181','TC0701_3');</v>
      </c>
    </row>
    <row r="270" spans="1:5" ht="43.5" x14ac:dyDescent="0.35">
      <c r="A270">
        <v>1269</v>
      </c>
      <c r="B270" t="s">
        <v>2391</v>
      </c>
      <c r="C270" t="s">
        <v>1802</v>
      </c>
      <c r="D270" s="12" t="str">
        <f t="shared" si="9"/>
        <v>1269,'111181','TC0702_2'</v>
      </c>
      <c r="E270" s="12" t="str">
        <f t="shared" si="8"/>
        <v>INSERT INTO grupos (id,matricula,grupo) values (1269,'111181','TC0702_2');</v>
      </c>
    </row>
    <row r="271" spans="1:5" ht="43.5" x14ac:dyDescent="0.35">
      <c r="A271">
        <v>1270</v>
      </c>
      <c r="B271" t="s">
        <v>2391</v>
      </c>
      <c r="C271" t="s">
        <v>2250</v>
      </c>
      <c r="D271" s="12" t="str">
        <f t="shared" si="9"/>
        <v>1270,'111181','TC0703_3'</v>
      </c>
      <c r="E271" s="12" t="str">
        <f t="shared" si="8"/>
        <v>INSERT INTO grupos (id,matricula,grupo) values (1270,'111181','TC0703_3');</v>
      </c>
    </row>
    <row r="272" spans="1:5" ht="43.5" x14ac:dyDescent="0.35">
      <c r="A272">
        <v>1271</v>
      </c>
      <c r="B272" t="s">
        <v>2392</v>
      </c>
      <c r="C272" t="s">
        <v>1755</v>
      </c>
      <c r="D272" s="12" t="str">
        <f t="shared" si="9"/>
        <v>1271,'111182','ANIM 7°'</v>
      </c>
      <c r="E272" s="12" t="str">
        <f t="shared" si="8"/>
        <v>INSERT INTO grupos (id,matricula,grupo) values (1271,'111182','ANIM 7°');</v>
      </c>
    </row>
    <row r="273" spans="1:5" ht="43.5" x14ac:dyDescent="0.35">
      <c r="A273">
        <v>1272</v>
      </c>
      <c r="B273" t="s">
        <v>2393</v>
      </c>
      <c r="C273" t="s">
        <v>1755</v>
      </c>
      <c r="D273" s="12" t="str">
        <f t="shared" si="9"/>
        <v>1272,'111183','ANIM 7°'</v>
      </c>
      <c r="E273" s="12" t="str">
        <f t="shared" si="8"/>
        <v>INSERT INTO grupos (id,matricula,grupo) values (1272,'111183','ANIM 7°');</v>
      </c>
    </row>
    <row r="274" spans="1:5" ht="43.5" x14ac:dyDescent="0.35">
      <c r="A274">
        <v>1273</v>
      </c>
      <c r="B274" t="s">
        <v>2393</v>
      </c>
      <c r="C274" t="s">
        <v>1801</v>
      </c>
      <c r="D274" s="12" t="str">
        <f t="shared" si="9"/>
        <v>1273,'111183','TC0702_1'</v>
      </c>
      <c r="E274" s="12" t="str">
        <f t="shared" si="8"/>
        <v>INSERT INTO grupos (id,matricula,grupo) values (1273,'111183','TC0702_1');</v>
      </c>
    </row>
    <row r="275" spans="1:5" ht="43.5" x14ac:dyDescent="0.35">
      <c r="A275">
        <v>1274</v>
      </c>
      <c r="B275" t="s">
        <v>2394</v>
      </c>
      <c r="C275" t="s">
        <v>1750</v>
      </c>
      <c r="D275" s="12" t="str">
        <f t="shared" si="9"/>
        <v>1274,'111186','ADMON 7°'</v>
      </c>
      <c r="E275" s="12" t="str">
        <f t="shared" si="8"/>
        <v>INSERT INTO grupos (id,matricula,grupo) values (1274,'111186','ADMON 7°');</v>
      </c>
    </row>
    <row r="276" spans="1:5" ht="43.5" x14ac:dyDescent="0.35">
      <c r="A276">
        <v>1275</v>
      </c>
      <c r="B276" t="s">
        <v>2394</v>
      </c>
      <c r="C276" t="s">
        <v>1828</v>
      </c>
      <c r="D276" s="12" t="str">
        <f t="shared" si="9"/>
        <v>1275,'111186','TC0701_3'</v>
      </c>
      <c r="E276" s="12" t="str">
        <f t="shared" si="8"/>
        <v>INSERT INTO grupos (id,matricula,grupo) values (1275,'111186','TC0701_3');</v>
      </c>
    </row>
    <row r="277" spans="1:5" ht="43.5" x14ac:dyDescent="0.35">
      <c r="A277">
        <v>1276</v>
      </c>
      <c r="B277" t="s">
        <v>2394</v>
      </c>
      <c r="C277" t="s">
        <v>2250</v>
      </c>
      <c r="D277" s="12" t="str">
        <f t="shared" si="9"/>
        <v>1276,'111186','TC0703_3'</v>
      </c>
      <c r="E277" s="12" t="str">
        <f t="shared" si="8"/>
        <v>INSERT INTO grupos (id,matricula,grupo) values (1276,'111186','TC0703_3');</v>
      </c>
    </row>
    <row r="278" spans="1:5" ht="43.5" x14ac:dyDescent="0.35">
      <c r="A278">
        <v>1277</v>
      </c>
      <c r="B278" t="s">
        <v>2395</v>
      </c>
      <c r="C278" t="s">
        <v>1754</v>
      </c>
      <c r="D278" s="12" t="str">
        <f t="shared" si="9"/>
        <v>1277,'111188','ARQ 7°'</v>
      </c>
      <c r="E278" s="12" t="str">
        <f t="shared" si="8"/>
        <v>INSERT INTO grupos (id,matricula,grupo) values (1277,'111188','ARQ 7°');</v>
      </c>
    </row>
    <row r="279" spans="1:5" ht="43.5" x14ac:dyDescent="0.35">
      <c r="A279">
        <v>1278</v>
      </c>
      <c r="B279" t="s">
        <v>2395</v>
      </c>
      <c r="C279" t="s">
        <v>1802</v>
      </c>
      <c r="D279" s="12" t="str">
        <f t="shared" si="9"/>
        <v>1278,'111188','TC0702_2'</v>
      </c>
      <c r="E279" s="12" t="str">
        <f t="shared" si="8"/>
        <v>INSERT INTO grupos (id,matricula,grupo) values (1278,'111188','TC0702_2');</v>
      </c>
    </row>
    <row r="280" spans="1:5" ht="43.5" x14ac:dyDescent="0.35">
      <c r="A280">
        <v>1279</v>
      </c>
      <c r="B280" t="s">
        <v>2396</v>
      </c>
      <c r="C280" t="s">
        <v>1754</v>
      </c>
      <c r="D280" s="12" t="str">
        <f t="shared" si="9"/>
        <v>1279,'111189','ARQ 7°'</v>
      </c>
      <c r="E280" s="12" t="str">
        <f t="shared" si="8"/>
        <v>INSERT INTO grupos (id,matricula,grupo) values (1279,'111189','ARQ 7°');</v>
      </c>
    </row>
    <row r="281" spans="1:5" ht="43.5" x14ac:dyDescent="0.35">
      <c r="A281">
        <v>1280</v>
      </c>
      <c r="B281" t="s">
        <v>2396</v>
      </c>
      <c r="C281" t="s">
        <v>1828</v>
      </c>
      <c r="D281" s="12" t="str">
        <f t="shared" si="9"/>
        <v>1280,'111189','TC0701_3'</v>
      </c>
      <c r="E281" s="12" t="str">
        <f t="shared" si="8"/>
        <v>INSERT INTO grupos (id,matricula,grupo) values (1280,'111189','TC0701_3');</v>
      </c>
    </row>
    <row r="282" spans="1:5" ht="43.5" x14ac:dyDescent="0.35">
      <c r="A282">
        <v>1281</v>
      </c>
      <c r="B282" t="s">
        <v>2396</v>
      </c>
      <c r="C282" t="s">
        <v>2250</v>
      </c>
      <c r="D282" s="12" t="str">
        <f t="shared" si="9"/>
        <v>1281,'111189','TC0703_3'</v>
      </c>
      <c r="E282" s="12" t="str">
        <f t="shared" si="8"/>
        <v>INSERT INTO grupos (id,matricula,grupo) values (1281,'111189','TC0703_3');</v>
      </c>
    </row>
    <row r="283" spans="1:5" ht="43.5" x14ac:dyDescent="0.35">
      <c r="A283">
        <v>1282</v>
      </c>
      <c r="B283" t="s">
        <v>2397</v>
      </c>
      <c r="C283" t="s">
        <v>1766</v>
      </c>
      <c r="D283" s="12" t="str">
        <f t="shared" si="9"/>
        <v>1282,'111190','CIB 7°'</v>
      </c>
      <c r="E283" s="12" t="str">
        <f t="shared" si="8"/>
        <v>INSERT INTO grupos (id,matricula,grupo) values (1282,'111190','CIB 7°');</v>
      </c>
    </row>
    <row r="284" spans="1:5" ht="43.5" x14ac:dyDescent="0.35">
      <c r="A284">
        <v>1283</v>
      </c>
      <c r="B284" t="s">
        <v>2398</v>
      </c>
      <c r="C284" t="s">
        <v>1761</v>
      </c>
      <c r="D284" s="12" t="str">
        <f t="shared" si="9"/>
        <v>1283,'111191','AUTO 7°'</v>
      </c>
      <c r="E284" s="12" t="str">
        <f t="shared" si="8"/>
        <v>INSERT INTO grupos (id,matricula,grupo) values (1283,'111191','AUTO 7°');</v>
      </c>
    </row>
    <row r="285" spans="1:5" ht="43.5" x14ac:dyDescent="0.35">
      <c r="A285">
        <v>1284</v>
      </c>
      <c r="B285" t="s">
        <v>2399</v>
      </c>
      <c r="C285" t="s">
        <v>1761</v>
      </c>
      <c r="D285" s="12" t="str">
        <f t="shared" si="9"/>
        <v>1284,'111193','AUTO 7°'</v>
      </c>
      <c r="E285" s="12" t="str">
        <f t="shared" si="8"/>
        <v>INSERT INTO grupos (id,matricula,grupo) values (1284,'111193','AUTO 7°');</v>
      </c>
    </row>
    <row r="286" spans="1:5" ht="43.5" x14ac:dyDescent="0.35">
      <c r="A286">
        <v>1285</v>
      </c>
      <c r="B286" t="s">
        <v>2399</v>
      </c>
      <c r="C286" t="s">
        <v>1802</v>
      </c>
      <c r="D286" s="12" t="str">
        <f t="shared" si="9"/>
        <v>1285,'111193','TC0702_2'</v>
      </c>
      <c r="E286" s="12" t="str">
        <f t="shared" si="8"/>
        <v>INSERT INTO grupos (id,matricula,grupo) values (1285,'111193','TC0702_2');</v>
      </c>
    </row>
    <row r="287" spans="1:5" ht="43.5" x14ac:dyDescent="0.35">
      <c r="A287">
        <v>1286</v>
      </c>
      <c r="B287" t="s">
        <v>2400</v>
      </c>
      <c r="C287" t="s">
        <v>1753</v>
      </c>
      <c r="D287" s="12" t="str">
        <f t="shared" si="9"/>
        <v>1286,'111197','NUT 7°'</v>
      </c>
      <c r="E287" s="12" t="str">
        <f t="shared" si="8"/>
        <v>INSERT INTO grupos (id,matricula,grupo) values (1286,'111197','NUT 7°');</v>
      </c>
    </row>
    <row r="288" spans="1:5" ht="43.5" x14ac:dyDescent="0.35">
      <c r="A288">
        <v>1287</v>
      </c>
      <c r="B288" t="s">
        <v>2400</v>
      </c>
      <c r="C288" t="s">
        <v>1801</v>
      </c>
      <c r="D288" s="12" t="str">
        <f t="shared" si="9"/>
        <v>1287,'111197','TC0702_1'</v>
      </c>
      <c r="E288" s="12" t="str">
        <f t="shared" si="8"/>
        <v>INSERT INTO grupos (id,matricula,grupo) values (1287,'111197','TC0702_1');</v>
      </c>
    </row>
    <row r="289" spans="1:5" ht="43.5" x14ac:dyDescent="0.35">
      <c r="A289">
        <v>1288</v>
      </c>
      <c r="B289" t="s">
        <v>2401</v>
      </c>
      <c r="C289" t="s">
        <v>1765</v>
      </c>
      <c r="D289" s="12" t="str">
        <f t="shared" si="9"/>
        <v>1288,'111201','IA 7°'</v>
      </c>
      <c r="E289" s="12" t="str">
        <f t="shared" si="8"/>
        <v>INSERT INTO grupos (id,matricula,grupo) values (1288,'111201','IA 7°');</v>
      </c>
    </row>
    <row r="290" spans="1:5" ht="43.5" x14ac:dyDescent="0.35">
      <c r="A290">
        <v>1289</v>
      </c>
      <c r="B290" t="s">
        <v>2402</v>
      </c>
      <c r="C290" t="s">
        <v>1750</v>
      </c>
      <c r="D290" s="12" t="str">
        <f t="shared" si="9"/>
        <v>1289,'111202','ADMON 7°'</v>
      </c>
      <c r="E290" s="12" t="str">
        <f t="shared" si="8"/>
        <v>INSERT INTO grupos (id,matricula,grupo) values (1289,'111202','ADMON 7°');</v>
      </c>
    </row>
    <row r="291" spans="1:5" ht="43.5" x14ac:dyDescent="0.35">
      <c r="A291">
        <v>1290</v>
      </c>
      <c r="B291" t="s">
        <v>2403</v>
      </c>
      <c r="C291" t="s">
        <v>1754</v>
      </c>
      <c r="D291" s="12" t="str">
        <f t="shared" si="9"/>
        <v>1290,'111203','ARQ 7°'</v>
      </c>
      <c r="E291" s="12" t="str">
        <f t="shared" si="8"/>
        <v>INSERT INTO grupos (id,matricula,grupo) values (1290,'111203','ARQ 7°');</v>
      </c>
    </row>
    <row r="292" spans="1:5" ht="43.5" x14ac:dyDescent="0.35">
      <c r="A292">
        <v>1291</v>
      </c>
      <c r="B292" t="s">
        <v>2404</v>
      </c>
      <c r="C292" t="s">
        <v>1764</v>
      </c>
      <c r="D292" s="12" t="str">
        <f t="shared" si="9"/>
        <v>1291,'111204','PSI 7°'</v>
      </c>
      <c r="E292" s="12" t="str">
        <f t="shared" si="8"/>
        <v>INSERT INTO grupos (id,matricula,grupo) values (1291,'111204','PSI 7°');</v>
      </c>
    </row>
    <row r="293" spans="1:5" ht="43.5" x14ac:dyDescent="0.35">
      <c r="A293">
        <v>1292</v>
      </c>
      <c r="B293" t="s">
        <v>2405</v>
      </c>
      <c r="C293" t="s">
        <v>1755</v>
      </c>
      <c r="D293" s="12" t="str">
        <f t="shared" si="9"/>
        <v>1292,'111206','ANIM 7°'</v>
      </c>
      <c r="E293" s="12" t="str">
        <f t="shared" si="8"/>
        <v>INSERT INTO grupos (id,matricula,grupo) values (1292,'111206','ANIM 7°');</v>
      </c>
    </row>
    <row r="294" spans="1:5" ht="43.5" x14ac:dyDescent="0.35">
      <c r="A294">
        <v>1293</v>
      </c>
      <c r="B294" t="s">
        <v>2405</v>
      </c>
      <c r="C294" t="s">
        <v>1801</v>
      </c>
      <c r="D294" s="12" t="str">
        <f t="shared" si="9"/>
        <v>1293,'111206','TC0702_1'</v>
      </c>
      <c r="E294" s="12" t="str">
        <f t="shared" si="8"/>
        <v>INSERT INTO grupos (id,matricula,grupo) values (1293,'111206','TC0702_1');</v>
      </c>
    </row>
    <row r="295" spans="1:5" ht="43.5" x14ac:dyDescent="0.35">
      <c r="A295">
        <v>1294</v>
      </c>
      <c r="B295" t="s">
        <v>2406</v>
      </c>
      <c r="C295" t="s">
        <v>1765</v>
      </c>
      <c r="D295" s="12" t="str">
        <f t="shared" si="9"/>
        <v>1294,'111208','IA 7°'</v>
      </c>
      <c r="E295" s="12" t="str">
        <f t="shared" si="8"/>
        <v>INSERT INTO grupos (id,matricula,grupo) values (1294,'111208','IA 7°');</v>
      </c>
    </row>
    <row r="296" spans="1:5" ht="43.5" x14ac:dyDescent="0.35">
      <c r="A296">
        <v>1295</v>
      </c>
      <c r="B296" t="s">
        <v>2407</v>
      </c>
      <c r="C296" t="s">
        <v>1754</v>
      </c>
      <c r="D296" s="12" t="str">
        <f t="shared" si="9"/>
        <v>1295,'111210','ARQ 7°'</v>
      </c>
      <c r="E296" s="12" t="str">
        <f t="shared" si="8"/>
        <v>INSERT INTO grupos (id,matricula,grupo) values (1295,'111210','ARQ 7°');</v>
      </c>
    </row>
    <row r="297" spans="1:5" ht="43.5" x14ac:dyDescent="0.35">
      <c r="A297">
        <v>1296</v>
      </c>
      <c r="B297" t="s">
        <v>2407</v>
      </c>
      <c r="C297" t="s">
        <v>1802</v>
      </c>
      <c r="D297" s="12" t="str">
        <f t="shared" si="9"/>
        <v>1296,'111210','TC0702_2'</v>
      </c>
      <c r="E297" s="12" t="str">
        <f t="shared" si="8"/>
        <v>INSERT INTO grupos (id,matricula,grupo) values (1296,'111210','TC0702_2');</v>
      </c>
    </row>
    <row r="298" spans="1:5" ht="43.5" x14ac:dyDescent="0.35">
      <c r="A298">
        <v>1297</v>
      </c>
      <c r="B298" t="s">
        <v>2408</v>
      </c>
      <c r="C298" t="s">
        <v>1754</v>
      </c>
      <c r="D298" s="12" t="str">
        <f t="shared" si="9"/>
        <v>1297,'111213','ARQ 7°'</v>
      </c>
      <c r="E298" s="12" t="str">
        <f t="shared" si="8"/>
        <v>INSERT INTO grupos (id,matricula,grupo) values (1297,'111213','ARQ 7°');</v>
      </c>
    </row>
    <row r="299" spans="1:5" ht="43.5" x14ac:dyDescent="0.35">
      <c r="A299">
        <v>1298</v>
      </c>
      <c r="B299" t="s">
        <v>2408</v>
      </c>
      <c r="C299" t="s">
        <v>1802</v>
      </c>
      <c r="D299" s="12" t="str">
        <f t="shared" si="9"/>
        <v>1298,'111213','TC0702_2'</v>
      </c>
      <c r="E299" s="12" t="str">
        <f t="shared" si="8"/>
        <v>INSERT INTO grupos (id,matricula,grupo) values (1298,'111213','TC0702_2');</v>
      </c>
    </row>
    <row r="300" spans="1:5" ht="43.5" x14ac:dyDescent="0.35">
      <c r="A300">
        <v>1299</v>
      </c>
      <c r="B300" t="s">
        <v>2409</v>
      </c>
      <c r="C300" t="s">
        <v>1761</v>
      </c>
      <c r="D300" s="12" t="str">
        <f t="shared" si="9"/>
        <v>1299,'111214','AUTO 7°'</v>
      </c>
      <c r="E300" s="12" t="str">
        <f t="shared" si="8"/>
        <v>INSERT INTO grupos (id,matricula,grupo) values (1299,'111214','AUTO 7°');</v>
      </c>
    </row>
    <row r="301" spans="1:5" ht="43.5" x14ac:dyDescent="0.35">
      <c r="A301">
        <v>1300</v>
      </c>
      <c r="B301" t="s">
        <v>2409</v>
      </c>
      <c r="C301" t="s">
        <v>1802</v>
      </c>
      <c r="D301" s="12" t="str">
        <f t="shared" si="9"/>
        <v>1300,'111214','TC0702_2'</v>
      </c>
      <c r="E301" s="12" t="str">
        <f t="shared" si="8"/>
        <v>INSERT INTO grupos (id,matricula,grupo) values (1300,'111214','TC0702_2');</v>
      </c>
    </row>
    <row r="302" spans="1:5" ht="43.5" x14ac:dyDescent="0.35">
      <c r="A302">
        <v>1301</v>
      </c>
      <c r="B302" t="s">
        <v>2410</v>
      </c>
      <c r="C302" t="s">
        <v>1753</v>
      </c>
      <c r="D302" s="12" t="str">
        <f t="shared" si="9"/>
        <v>1301,'111221','NUT 7°'</v>
      </c>
      <c r="E302" s="12" t="str">
        <f t="shared" si="8"/>
        <v>INSERT INTO grupos (id,matricula,grupo) values (1301,'111221','NUT 7°');</v>
      </c>
    </row>
    <row r="303" spans="1:5" ht="43.5" x14ac:dyDescent="0.35">
      <c r="A303">
        <v>1302</v>
      </c>
      <c r="B303" t="s">
        <v>2411</v>
      </c>
      <c r="C303" t="s">
        <v>1755</v>
      </c>
      <c r="D303" s="12" t="str">
        <f t="shared" si="9"/>
        <v>1302,'111223','ANIM 7°'</v>
      </c>
      <c r="E303" s="12" t="str">
        <f t="shared" si="8"/>
        <v>INSERT INTO grupos (id,matricula,grupo) values (1302,'111223','ANIM 7°');</v>
      </c>
    </row>
    <row r="304" spans="1:5" ht="43.5" x14ac:dyDescent="0.35">
      <c r="A304">
        <v>1303</v>
      </c>
      <c r="B304" t="s">
        <v>2412</v>
      </c>
      <c r="C304" t="s">
        <v>1764</v>
      </c>
      <c r="D304" s="12" t="str">
        <f t="shared" si="9"/>
        <v>1303,'111225','PSI 7°'</v>
      </c>
      <c r="E304" s="12" t="str">
        <f t="shared" si="8"/>
        <v>INSERT INTO grupos (id,matricula,grupo) values (1303,'111225','PSI 7°');</v>
      </c>
    </row>
    <row r="305" spans="1:5" ht="43.5" x14ac:dyDescent="0.35">
      <c r="A305">
        <v>1304</v>
      </c>
      <c r="B305" t="s">
        <v>2412</v>
      </c>
      <c r="C305" t="s">
        <v>1805</v>
      </c>
      <c r="D305" s="12" t="str">
        <f t="shared" si="9"/>
        <v>1304,'111225','TC0702_5'</v>
      </c>
      <c r="E305" s="12" t="str">
        <f t="shared" si="8"/>
        <v>INSERT INTO grupos (id,matricula,grupo) values (1304,'111225','TC0702_5');</v>
      </c>
    </row>
    <row r="306" spans="1:5" ht="43.5" x14ac:dyDescent="0.35">
      <c r="A306">
        <v>1305</v>
      </c>
      <c r="B306" t="s">
        <v>2413</v>
      </c>
      <c r="C306" t="s">
        <v>1750</v>
      </c>
      <c r="D306" s="12" t="str">
        <f t="shared" si="9"/>
        <v>1305,'111226','ADMON 7°'</v>
      </c>
      <c r="E306" s="12" t="str">
        <f t="shared" si="8"/>
        <v>INSERT INTO grupos (id,matricula,grupo) values (1305,'111226','ADMON 7°');</v>
      </c>
    </row>
    <row r="307" spans="1:5" ht="43.5" x14ac:dyDescent="0.35">
      <c r="A307">
        <v>1306</v>
      </c>
      <c r="B307" t="s">
        <v>2413</v>
      </c>
      <c r="C307" t="s">
        <v>1828</v>
      </c>
      <c r="D307" s="12" t="str">
        <f t="shared" si="9"/>
        <v>1306,'111226','TC0701_3'</v>
      </c>
      <c r="E307" s="12" t="str">
        <f t="shared" si="8"/>
        <v>INSERT INTO grupos (id,matricula,grupo) values (1306,'111226','TC0701_3');</v>
      </c>
    </row>
    <row r="308" spans="1:5" ht="43.5" x14ac:dyDescent="0.35">
      <c r="A308">
        <v>1307</v>
      </c>
      <c r="B308" t="s">
        <v>2413</v>
      </c>
      <c r="C308" t="s">
        <v>1804</v>
      </c>
      <c r="D308" s="12" t="str">
        <f t="shared" si="9"/>
        <v>1307,'111226','TC0702_4'</v>
      </c>
      <c r="E308" s="12" t="str">
        <f t="shared" si="8"/>
        <v>INSERT INTO grupos (id,matricula,grupo) values (1307,'111226','TC0702_4');</v>
      </c>
    </row>
    <row r="309" spans="1:5" ht="43.5" x14ac:dyDescent="0.35">
      <c r="A309">
        <v>1308</v>
      </c>
      <c r="B309" t="s">
        <v>2413</v>
      </c>
      <c r="C309" t="s">
        <v>2250</v>
      </c>
      <c r="D309" s="12" t="str">
        <f t="shared" si="9"/>
        <v>1308,'111226','TC0703_3'</v>
      </c>
      <c r="E309" s="12" t="str">
        <f t="shared" si="8"/>
        <v>INSERT INTO grupos (id,matricula,grupo) values (1308,'111226','TC0703_3');</v>
      </c>
    </row>
    <row r="310" spans="1:5" ht="43.5" x14ac:dyDescent="0.35">
      <c r="A310">
        <v>1309</v>
      </c>
      <c r="B310" t="s">
        <v>2414</v>
      </c>
      <c r="C310" t="s">
        <v>1754</v>
      </c>
      <c r="D310" s="12" t="str">
        <f t="shared" si="9"/>
        <v>1309,'111228','ARQ 7°'</v>
      </c>
      <c r="E310" s="12" t="str">
        <f t="shared" si="8"/>
        <v>INSERT INTO grupos (id,matricula,grupo) values (1309,'111228','ARQ 7°');</v>
      </c>
    </row>
    <row r="311" spans="1:5" ht="43.5" x14ac:dyDescent="0.35">
      <c r="A311">
        <v>1310</v>
      </c>
      <c r="B311" t="s">
        <v>2415</v>
      </c>
      <c r="C311" t="s">
        <v>1761</v>
      </c>
      <c r="D311" s="12" t="str">
        <f t="shared" si="9"/>
        <v>1310,'111236','AUTO 7°'</v>
      </c>
      <c r="E311" s="12" t="str">
        <f t="shared" si="8"/>
        <v>INSERT INTO grupos (id,matricula,grupo) values (1310,'111236','AUTO 7°');</v>
      </c>
    </row>
    <row r="312" spans="1:5" ht="43.5" x14ac:dyDescent="0.35">
      <c r="A312">
        <v>1311</v>
      </c>
      <c r="B312" t="s">
        <v>2415</v>
      </c>
      <c r="C312" t="s">
        <v>1801</v>
      </c>
      <c r="D312" s="12" t="str">
        <f t="shared" si="9"/>
        <v>1311,'111236','TC0702_1'</v>
      </c>
      <c r="E312" s="12" t="str">
        <f t="shared" si="8"/>
        <v>INSERT INTO grupos (id,matricula,grupo) values (1311,'111236','TC0702_1');</v>
      </c>
    </row>
    <row r="313" spans="1:5" ht="43.5" x14ac:dyDescent="0.35">
      <c r="A313">
        <v>1312</v>
      </c>
      <c r="B313" t="s">
        <v>2416</v>
      </c>
      <c r="C313" t="s">
        <v>1754</v>
      </c>
      <c r="D313" s="12" t="str">
        <f t="shared" si="9"/>
        <v>1312,'111237','ARQ 7°'</v>
      </c>
      <c r="E313" s="12" t="str">
        <f t="shared" si="8"/>
        <v>INSERT INTO grupos (id,matricula,grupo) values (1312,'111237','ARQ 7°');</v>
      </c>
    </row>
    <row r="314" spans="1:5" ht="43.5" x14ac:dyDescent="0.35">
      <c r="A314">
        <v>1313</v>
      </c>
      <c r="B314" t="s">
        <v>2416</v>
      </c>
      <c r="C314" t="s">
        <v>1801</v>
      </c>
      <c r="D314" s="12" t="str">
        <f t="shared" si="9"/>
        <v>1313,'111237','TC0702_1'</v>
      </c>
      <c r="E314" s="12" t="str">
        <f t="shared" si="8"/>
        <v>INSERT INTO grupos (id,matricula,grupo) values (1313,'111237','TC0702_1');</v>
      </c>
    </row>
    <row r="315" spans="1:5" ht="43.5" x14ac:dyDescent="0.35">
      <c r="A315">
        <v>1314</v>
      </c>
      <c r="B315" t="s">
        <v>2417</v>
      </c>
      <c r="C315" t="s">
        <v>1754</v>
      </c>
      <c r="D315" s="12" t="str">
        <f t="shared" si="9"/>
        <v>1314,'111238','ARQ 7°'</v>
      </c>
      <c r="E315" s="12" t="str">
        <f t="shared" si="8"/>
        <v>INSERT INTO grupos (id,matricula,grupo) values (1314,'111238','ARQ 7°');</v>
      </c>
    </row>
    <row r="316" spans="1:5" ht="43.5" x14ac:dyDescent="0.35">
      <c r="A316">
        <v>1315</v>
      </c>
      <c r="B316" t="s">
        <v>2417</v>
      </c>
      <c r="C316" t="s">
        <v>1801</v>
      </c>
      <c r="D316" s="12" t="str">
        <f t="shared" si="9"/>
        <v>1315,'111238','TC0702_1'</v>
      </c>
      <c r="E316" s="12" t="str">
        <f t="shared" si="8"/>
        <v>INSERT INTO grupos (id,matricula,grupo) values (1315,'111238','TC0702_1');</v>
      </c>
    </row>
    <row r="317" spans="1:5" ht="43.5" x14ac:dyDescent="0.35">
      <c r="A317">
        <v>1316</v>
      </c>
      <c r="B317" t="s">
        <v>2418</v>
      </c>
      <c r="C317" t="s">
        <v>1764</v>
      </c>
      <c r="D317" s="12" t="str">
        <f t="shared" si="9"/>
        <v>1316,'111250','PSI 7°'</v>
      </c>
      <c r="E317" s="12" t="str">
        <f t="shared" si="8"/>
        <v>INSERT INTO grupos (id,matricula,grupo) values (1316,'111250','PSI 7°');</v>
      </c>
    </row>
    <row r="318" spans="1:5" ht="43.5" x14ac:dyDescent="0.35">
      <c r="A318">
        <v>1317</v>
      </c>
      <c r="B318" t="s">
        <v>2418</v>
      </c>
      <c r="C318" t="s">
        <v>1805</v>
      </c>
      <c r="D318" s="12" t="str">
        <f t="shared" si="9"/>
        <v>1317,'111250','TC0702_5'</v>
      </c>
      <c r="E318" s="12" t="str">
        <f t="shared" si="8"/>
        <v>INSERT INTO grupos (id,matricula,grupo) values (1317,'111250','TC0702_5');</v>
      </c>
    </row>
    <row r="319" spans="1:5" ht="43.5" x14ac:dyDescent="0.35">
      <c r="A319">
        <v>1318</v>
      </c>
      <c r="B319" t="s">
        <v>2419</v>
      </c>
      <c r="C319" t="s">
        <v>1755</v>
      </c>
      <c r="D319" s="12" t="str">
        <f t="shared" si="9"/>
        <v>1318,'111251','ANIM 7°'</v>
      </c>
      <c r="E319" s="12" t="str">
        <f t="shared" si="8"/>
        <v>INSERT INTO grupos (id,matricula,grupo) values (1318,'111251','ANIM 7°');</v>
      </c>
    </row>
    <row r="320" spans="1:5" ht="43.5" x14ac:dyDescent="0.35">
      <c r="A320">
        <v>1319</v>
      </c>
      <c r="B320" t="s">
        <v>2419</v>
      </c>
      <c r="C320" t="s">
        <v>1801</v>
      </c>
      <c r="D320" s="12" t="str">
        <f t="shared" si="9"/>
        <v>1319,'111251','TC0702_1'</v>
      </c>
      <c r="E320" s="12" t="str">
        <f t="shared" si="8"/>
        <v>INSERT INTO grupos (id,matricula,grupo) values (1319,'111251','TC0702_1');</v>
      </c>
    </row>
    <row r="321" spans="1:5" ht="43.5" x14ac:dyDescent="0.35">
      <c r="A321">
        <v>1320</v>
      </c>
      <c r="B321" t="s">
        <v>2420</v>
      </c>
      <c r="C321" t="s">
        <v>1753</v>
      </c>
      <c r="D321" s="12" t="str">
        <f t="shared" si="9"/>
        <v>1320,'111276','NUT 7°'</v>
      </c>
      <c r="E321" s="12" t="str">
        <f t="shared" si="8"/>
        <v>INSERT INTO grupos (id,matricula,grupo) values (1320,'111276','NUT 7°');</v>
      </c>
    </row>
    <row r="322" spans="1:5" ht="43.5" x14ac:dyDescent="0.35">
      <c r="A322">
        <v>1321</v>
      </c>
      <c r="B322" t="s">
        <v>2421</v>
      </c>
      <c r="C322" t="s">
        <v>1758</v>
      </c>
      <c r="D322" s="12" t="str">
        <f t="shared" si="9"/>
        <v>1321,'111311','ARQ 5°'</v>
      </c>
      <c r="E322" s="12" t="str">
        <f t="shared" ref="E322:E385" si="10">CONCATENATE($D$1,D322,");")</f>
        <v>INSERT INTO grupos (id,matricula,grupo) values (1321,'111311','ARQ 5°');</v>
      </c>
    </row>
    <row r="323" spans="1:5" ht="43.5" x14ac:dyDescent="0.35">
      <c r="A323">
        <v>1322</v>
      </c>
      <c r="B323" t="s">
        <v>2422</v>
      </c>
      <c r="C323" t="s">
        <v>1761</v>
      </c>
      <c r="D323" s="12" t="str">
        <f t="shared" ref="D323:D386" si="11">CONCATENATE(A323,",'",TRIM(B323),"','",C323,"'")</f>
        <v>1322,'111326','AUTO 7°'</v>
      </c>
      <c r="E323" s="12" t="str">
        <f t="shared" si="10"/>
        <v>INSERT INTO grupos (id,matricula,grupo) values (1322,'111326','AUTO 7°');</v>
      </c>
    </row>
    <row r="324" spans="1:5" ht="43.5" x14ac:dyDescent="0.35">
      <c r="A324">
        <v>1323</v>
      </c>
      <c r="B324" t="s">
        <v>2422</v>
      </c>
      <c r="C324" t="s">
        <v>1802</v>
      </c>
      <c r="D324" s="12" t="str">
        <f t="shared" si="11"/>
        <v>1323,'111326','TC0702_2'</v>
      </c>
      <c r="E324" s="12" t="str">
        <f t="shared" si="10"/>
        <v>INSERT INTO grupos (id,matricula,grupo) values (1323,'111326','TC0702_2');</v>
      </c>
    </row>
    <row r="325" spans="1:5" ht="43.5" x14ac:dyDescent="0.35">
      <c r="A325">
        <v>1324</v>
      </c>
      <c r="B325" t="s">
        <v>2423</v>
      </c>
      <c r="C325" t="s">
        <v>1754</v>
      </c>
      <c r="D325" s="12" t="str">
        <f t="shared" si="11"/>
        <v>1324,'111336','ARQ 7°'</v>
      </c>
      <c r="E325" s="12" t="str">
        <f t="shared" si="10"/>
        <v>INSERT INTO grupos (id,matricula,grupo) values (1324,'111336','ARQ 7°');</v>
      </c>
    </row>
    <row r="326" spans="1:5" ht="43.5" x14ac:dyDescent="0.35">
      <c r="A326">
        <v>1325</v>
      </c>
      <c r="B326" t="s">
        <v>2423</v>
      </c>
      <c r="C326" t="s">
        <v>1801</v>
      </c>
      <c r="D326" s="12" t="str">
        <f t="shared" si="11"/>
        <v>1325,'111336','TC0702_1'</v>
      </c>
      <c r="E326" s="12" t="str">
        <f t="shared" si="10"/>
        <v>INSERT INTO grupos (id,matricula,grupo) values (1325,'111336','TC0702_1');</v>
      </c>
    </row>
    <row r="327" spans="1:5" ht="43.5" x14ac:dyDescent="0.35">
      <c r="A327">
        <v>1326</v>
      </c>
      <c r="B327" t="s">
        <v>2424</v>
      </c>
      <c r="C327" t="s">
        <v>1766</v>
      </c>
      <c r="D327" s="12" t="str">
        <f t="shared" si="11"/>
        <v>1326,'111366','CIB 7°'</v>
      </c>
      <c r="E327" s="12" t="str">
        <f t="shared" si="10"/>
        <v>INSERT INTO grupos (id,matricula,grupo) values (1326,'111366','CIB 7°');</v>
      </c>
    </row>
    <row r="328" spans="1:5" ht="43.5" x14ac:dyDescent="0.35">
      <c r="A328">
        <v>1327</v>
      </c>
      <c r="B328" t="s">
        <v>2424</v>
      </c>
      <c r="C328" t="s">
        <v>1804</v>
      </c>
      <c r="D328" s="12" t="str">
        <f t="shared" si="11"/>
        <v>1327,'111366','TC0702_4'</v>
      </c>
      <c r="E328" s="12" t="str">
        <f t="shared" si="10"/>
        <v>INSERT INTO grupos (id,matricula,grupo) values (1327,'111366','TC0702_4');</v>
      </c>
    </row>
    <row r="329" spans="1:5" ht="43.5" x14ac:dyDescent="0.35">
      <c r="A329">
        <v>1328</v>
      </c>
      <c r="B329" t="s">
        <v>2425</v>
      </c>
      <c r="C329" t="s">
        <v>1767</v>
      </c>
      <c r="D329" s="12" t="str">
        <f t="shared" si="11"/>
        <v>1328,'111532','AERO 5°A'</v>
      </c>
      <c r="E329" s="12" t="str">
        <f t="shared" si="10"/>
        <v>INSERT INTO grupos (id,matricula,grupo) values (1328,'111532','AERO 5°A');</v>
      </c>
    </row>
    <row r="330" spans="1:5" ht="43.5" x14ac:dyDescent="0.35">
      <c r="A330">
        <v>1329</v>
      </c>
      <c r="B330" t="s">
        <v>2426</v>
      </c>
      <c r="C330" t="s">
        <v>1749</v>
      </c>
      <c r="D330" s="12" t="str">
        <f t="shared" si="11"/>
        <v>1329,'111604','PSI 5°'</v>
      </c>
      <c r="E330" s="12" t="str">
        <f t="shared" si="10"/>
        <v>INSERT INTO grupos (id,matricula,grupo) values (1329,'111604','PSI 5°');</v>
      </c>
    </row>
    <row r="331" spans="1:5" ht="43.5" x14ac:dyDescent="0.35">
      <c r="A331">
        <v>1330</v>
      </c>
      <c r="B331" t="s">
        <v>2426</v>
      </c>
      <c r="C331" t="s">
        <v>1813</v>
      </c>
      <c r="D331" s="12" t="str">
        <f t="shared" si="11"/>
        <v>1330,'111604','TC0503_5'</v>
      </c>
      <c r="E331" s="12" t="str">
        <f t="shared" si="10"/>
        <v>INSERT INTO grupos (id,matricula,grupo) values (1330,'111604','TC0503_5');</v>
      </c>
    </row>
    <row r="332" spans="1:5" ht="43.5" x14ac:dyDescent="0.35">
      <c r="A332">
        <v>1331</v>
      </c>
      <c r="B332" t="s">
        <v>2427</v>
      </c>
      <c r="C332" t="s">
        <v>1757</v>
      </c>
      <c r="D332" s="12" t="str">
        <f t="shared" si="11"/>
        <v>1331,'111605','ANIM 5°'</v>
      </c>
      <c r="E332" s="12" t="str">
        <f t="shared" si="10"/>
        <v>INSERT INTO grupos (id,matricula,grupo) values (1331,'111605','ANIM 5°');</v>
      </c>
    </row>
    <row r="333" spans="1:5" ht="43.5" x14ac:dyDescent="0.35">
      <c r="A333">
        <v>1332</v>
      </c>
      <c r="B333" t="s">
        <v>2427</v>
      </c>
      <c r="C333" t="s">
        <v>1823</v>
      </c>
      <c r="D333" s="12" t="str">
        <f t="shared" si="11"/>
        <v>1332,'111605','TC0501_6'</v>
      </c>
      <c r="E333" s="12" t="str">
        <f t="shared" si="10"/>
        <v>INSERT INTO grupos (id,matricula,grupo) values (1332,'111605','TC0501_6');</v>
      </c>
    </row>
    <row r="334" spans="1:5" ht="43.5" x14ac:dyDescent="0.35">
      <c r="A334">
        <v>1333</v>
      </c>
      <c r="B334" t="s">
        <v>2428</v>
      </c>
      <c r="C334" t="s">
        <v>1768</v>
      </c>
      <c r="D334" s="12" t="str">
        <f t="shared" si="11"/>
        <v>1333,'111607','ADMON 5°'</v>
      </c>
      <c r="E334" s="12" t="str">
        <f t="shared" si="10"/>
        <v>INSERT INTO grupos (id,matricula,grupo) values (1333,'111607','ADMON 5°');</v>
      </c>
    </row>
    <row r="335" spans="1:5" ht="43.5" x14ac:dyDescent="0.35">
      <c r="A335">
        <v>1334</v>
      </c>
      <c r="B335" t="s">
        <v>2428</v>
      </c>
      <c r="C335" t="s">
        <v>1818</v>
      </c>
      <c r="D335" s="12" t="str">
        <f t="shared" si="11"/>
        <v>1334,'111607','TC0501_1'</v>
      </c>
      <c r="E335" s="12" t="str">
        <f t="shared" si="10"/>
        <v>INSERT INTO grupos (id,matricula,grupo) values (1334,'111607','TC0501_1');</v>
      </c>
    </row>
    <row r="336" spans="1:5" ht="43.5" x14ac:dyDescent="0.35">
      <c r="A336">
        <v>1335</v>
      </c>
      <c r="B336" t="s">
        <v>2428</v>
      </c>
      <c r="C336" t="s">
        <v>1809</v>
      </c>
      <c r="D336" s="12" t="str">
        <f t="shared" si="11"/>
        <v>1335,'111607','TC0503_1'</v>
      </c>
      <c r="E336" s="12" t="str">
        <f t="shared" si="10"/>
        <v>INSERT INTO grupos (id,matricula,grupo) values (1335,'111607','TC0503_1');</v>
      </c>
    </row>
    <row r="337" spans="1:5" ht="43.5" x14ac:dyDescent="0.35">
      <c r="A337">
        <v>1336</v>
      </c>
      <c r="B337" t="s">
        <v>2429</v>
      </c>
      <c r="C337" t="s">
        <v>1768</v>
      </c>
      <c r="D337" s="12" t="str">
        <f t="shared" si="11"/>
        <v>1336,'111608','ADMON 5°'</v>
      </c>
      <c r="E337" s="12" t="str">
        <f t="shared" si="10"/>
        <v>INSERT INTO grupos (id,matricula,grupo) values (1336,'111608','ADMON 5°');</v>
      </c>
    </row>
    <row r="338" spans="1:5" ht="43.5" x14ac:dyDescent="0.35">
      <c r="A338">
        <v>1337</v>
      </c>
      <c r="B338" t="s">
        <v>2430</v>
      </c>
      <c r="C338" t="s">
        <v>1767</v>
      </c>
      <c r="D338" s="12" t="str">
        <f t="shared" si="11"/>
        <v>1337,'111610','AERO 5°A'</v>
      </c>
      <c r="E338" s="12" t="str">
        <f t="shared" si="10"/>
        <v>INSERT INTO grupos (id,matricula,grupo) values (1337,'111610','AERO 5°A');</v>
      </c>
    </row>
    <row r="339" spans="1:5" ht="43.5" x14ac:dyDescent="0.35">
      <c r="A339">
        <v>1338</v>
      </c>
      <c r="B339" t="s">
        <v>2431</v>
      </c>
      <c r="C339" t="s">
        <v>1769</v>
      </c>
      <c r="D339" s="12" t="str">
        <f t="shared" si="11"/>
        <v>1338,'111613','AERO 5°B'</v>
      </c>
      <c r="E339" s="12" t="str">
        <f t="shared" si="10"/>
        <v>INSERT INTO grupos (id,matricula,grupo) values (1338,'111613','AERO 5°B');</v>
      </c>
    </row>
    <row r="340" spans="1:5" ht="43.5" x14ac:dyDescent="0.35">
      <c r="A340">
        <v>1339</v>
      </c>
      <c r="B340" t="s">
        <v>2431</v>
      </c>
      <c r="C340" t="s">
        <v>1818</v>
      </c>
      <c r="D340" s="12" t="str">
        <f t="shared" si="11"/>
        <v>1339,'111613','TC0501_1'</v>
      </c>
      <c r="E340" s="12" t="str">
        <f t="shared" si="10"/>
        <v>INSERT INTO grupos (id,matricula,grupo) values (1339,'111613','TC0501_1');</v>
      </c>
    </row>
    <row r="341" spans="1:5" ht="43.5" x14ac:dyDescent="0.35">
      <c r="A341">
        <v>1340</v>
      </c>
      <c r="B341" t="s">
        <v>2431</v>
      </c>
      <c r="C341" t="s">
        <v>1809</v>
      </c>
      <c r="D341" s="12" t="str">
        <f t="shared" si="11"/>
        <v>1340,'111613','TC0503_1'</v>
      </c>
      <c r="E341" s="12" t="str">
        <f t="shared" si="10"/>
        <v>INSERT INTO grupos (id,matricula,grupo) values (1340,'111613','TC0503_1');</v>
      </c>
    </row>
    <row r="342" spans="1:5" ht="43.5" x14ac:dyDescent="0.35">
      <c r="A342">
        <v>1341</v>
      </c>
      <c r="B342" t="s">
        <v>2432</v>
      </c>
      <c r="C342" t="s">
        <v>1769</v>
      </c>
      <c r="D342" s="12" t="str">
        <f t="shared" si="11"/>
        <v>1341,'111615','AERO 5°B'</v>
      </c>
      <c r="E342" s="12" t="str">
        <f t="shared" si="10"/>
        <v>INSERT INTO grupos (id,matricula,grupo) values (1341,'111615','AERO 5°B');</v>
      </c>
    </row>
    <row r="343" spans="1:5" ht="43.5" x14ac:dyDescent="0.35">
      <c r="A343">
        <v>1342</v>
      </c>
      <c r="B343" t="s">
        <v>2433</v>
      </c>
      <c r="C343" t="s">
        <v>1758</v>
      </c>
      <c r="D343" s="12" t="str">
        <f t="shared" si="11"/>
        <v>1342,'111616','ARQ 5°'</v>
      </c>
      <c r="E343" s="12" t="str">
        <f t="shared" si="10"/>
        <v>INSERT INTO grupos (id,matricula,grupo) values (1342,'111616','ARQ 5°');</v>
      </c>
    </row>
    <row r="344" spans="1:5" ht="43.5" x14ac:dyDescent="0.35">
      <c r="A344">
        <v>1343</v>
      </c>
      <c r="B344" t="s">
        <v>2433</v>
      </c>
      <c r="C344" t="s">
        <v>1818</v>
      </c>
      <c r="D344" s="12" t="str">
        <f t="shared" si="11"/>
        <v>1343,'111616','TC0501_1'</v>
      </c>
      <c r="E344" s="12" t="str">
        <f t="shared" si="10"/>
        <v>INSERT INTO grupos (id,matricula,grupo) values (1343,'111616','TC0501_1');</v>
      </c>
    </row>
    <row r="345" spans="1:5" ht="43.5" x14ac:dyDescent="0.35">
      <c r="A345">
        <v>1344</v>
      </c>
      <c r="B345" t="s">
        <v>2433</v>
      </c>
      <c r="C345" t="s">
        <v>1809</v>
      </c>
      <c r="D345" s="12" t="str">
        <f t="shared" si="11"/>
        <v>1344,'111616','TC0503_1'</v>
      </c>
      <c r="E345" s="12" t="str">
        <f t="shared" si="10"/>
        <v>INSERT INTO grupos (id,matricula,grupo) values (1344,'111616','TC0503_1');</v>
      </c>
    </row>
    <row r="346" spans="1:5" ht="43.5" x14ac:dyDescent="0.35">
      <c r="A346">
        <v>1345</v>
      </c>
      <c r="B346" t="s">
        <v>2434</v>
      </c>
      <c r="C346" t="s">
        <v>1758</v>
      </c>
      <c r="D346" s="12" t="str">
        <f t="shared" si="11"/>
        <v>1345,'111618','ARQ 5°'</v>
      </c>
      <c r="E346" s="12" t="str">
        <f t="shared" si="10"/>
        <v>INSERT INTO grupos (id,matricula,grupo) values (1345,'111618','ARQ 5°');</v>
      </c>
    </row>
    <row r="347" spans="1:5" ht="43.5" x14ac:dyDescent="0.35">
      <c r="A347">
        <v>1346</v>
      </c>
      <c r="B347" t="s">
        <v>2434</v>
      </c>
      <c r="C347" t="s">
        <v>1818</v>
      </c>
      <c r="D347" s="12" t="str">
        <f t="shared" si="11"/>
        <v>1346,'111618','TC0501_1'</v>
      </c>
      <c r="E347" s="12" t="str">
        <f t="shared" si="10"/>
        <v>INSERT INTO grupos (id,matricula,grupo) values (1346,'111618','TC0501_1');</v>
      </c>
    </row>
    <row r="348" spans="1:5" ht="43.5" x14ac:dyDescent="0.35">
      <c r="A348">
        <v>1347</v>
      </c>
      <c r="B348" t="s">
        <v>2434</v>
      </c>
      <c r="C348" t="s">
        <v>1809</v>
      </c>
      <c r="D348" s="12" t="str">
        <f t="shared" si="11"/>
        <v>1347,'111618','TC0503_1'</v>
      </c>
      <c r="E348" s="12" t="str">
        <f t="shared" si="10"/>
        <v>INSERT INTO grupos (id,matricula,grupo) values (1347,'111618','TC0503_1');</v>
      </c>
    </row>
    <row r="349" spans="1:5" ht="43.5" x14ac:dyDescent="0.35">
      <c r="A349">
        <v>1348</v>
      </c>
      <c r="B349" t="s">
        <v>2435</v>
      </c>
      <c r="C349" t="s">
        <v>1758</v>
      </c>
      <c r="D349" s="12" t="str">
        <f t="shared" si="11"/>
        <v>1348,'111619','ARQ 5°'</v>
      </c>
      <c r="E349" s="12" t="str">
        <f t="shared" si="10"/>
        <v>INSERT INTO grupos (id,matricula,grupo) values (1348,'111619','ARQ 5°');</v>
      </c>
    </row>
    <row r="350" spans="1:5" ht="43.5" x14ac:dyDescent="0.35">
      <c r="A350">
        <v>1349</v>
      </c>
      <c r="B350" t="s">
        <v>2436</v>
      </c>
      <c r="C350" t="s">
        <v>1757</v>
      </c>
      <c r="D350" s="12" t="str">
        <f t="shared" si="11"/>
        <v>1349,'111622','ANIM 5°'</v>
      </c>
      <c r="E350" s="12" t="str">
        <f t="shared" si="10"/>
        <v>INSERT INTO grupos (id,matricula,grupo) values (1349,'111622','ANIM 5°');</v>
      </c>
    </row>
    <row r="351" spans="1:5" ht="43.5" x14ac:dyDescent="0.35">
      <c r="A351">
        <v>1350</v>
      </c>
      <c r="B351" t="s">
        <v>2436</v>
      </c>
      <c r="C351" t="s">
        <v>1813</v>
      </c>
      <c r="D351" s="12" t="str">
        <f t="shared" si="11"/>
        <v>1350,'111622','TC0503_5'</v>
      </c>
      <c r="E351" s="12" t="str">
        <f t="shared" si="10"/>
        <v>INSERT INTO grupos (id,matricula,grupo) values (1350,'111622','TC0503_5');</v>
      </c>
    </row>
    <row r="352" spans="1:5" ht="43.5" x14ac:dyDescent="0.35">
      <c r="A352">
        <v>1351</v>
      </c>
      <c r="B352" t="s">
        <v>2437</v>
      </c>
      <c r="C352" t="s">
        <v>1770</v>
      </c>
      <c r="D352" s="12" t="str">
        <f t="shared" si="11"/>
        <v>1351,'111624','AUTO 5°'</v>
      </c>
      <c r="E352" s="12" t="str">
        <f t="shared" si="10"/>
        <v>INSERT INTO grupos (id,matricula,grupo) values (1351,'111624','AUTO 5°');</v>
      </c>
    </row>
    <row r="353" spans="1:5" ht="43.5" x14ac:dyDescent="0.35">
      <c r="A353">
        <v>1352</v>
      </c>
      <c r="B353" t="s">
        <v>2437</v>
      </c>
      <c r="C353" t="s">
        <v>1823</v>
      </c>
      <c r="D353" s="12" t="str">
        <f t="shared" si="11"/>
        <v>1352,'111624','TC0501_6'</v>
      </c>
      <c r="E353" s="12" t="str">
        <f t="shared" si="10"/>
        <v>INSERT INTO grupos (id,matricula,grupo) values (1352,'111624','TC0501_6');</v>
      </c>
    </row>
    <row r="354" spans="1:5" ht="43.5" x14ac:dyDescent="0.35">
      <c r="A354">
        <v>1353</v>
      </c>
      <c r="B354" t="s">
        <v>2438</v>
      </c>
      <c r="C354" t="s">
        <v>1770</v>
      </c>
      <c r="D354" s="12" t="str">
        <f t="shared" si="11"/>
        <v>1353,'111625','AUTO 5°'</v>
      </c>
      <c r="E354" s="12" t="str">
        <f t="shared" si="10"/>
        <v>INSERT INTO grupos (id,matricula,grupo) values (1353,'111625','AUTO 5°');</v>
      </c>
    </row>
    <row r="355" spans="1:5" ht="43.5" x14ac:dyDescent="0.35">
      <c r="A355">
        <v>1354</v>
      </c>
      <c r="B355" t="s">
        <v>2439</v>
      </c>
      <c r="C355" t="s">
        <v>1770</v>
      </c>
      <c r="D355" s="12" t="str">
        <f t="shared" si="11"/>
        <v>1354,'111626','AUTO 5°'</v>
      </c>
      <c r="E355" s="12" t="str">
        <f t="shared" si="10"/>
        <v>INSERT INTO grupos (id,matricula,grupo) values (1354,'111626','AUTO 5°');</v>
      </c>
    </row>
    <row r="356" spans="1:5" ht="43.5" x14ac:dyDescent="0.35">
      <c r="A356">
        <v>1355</v>
      </c>
      <c r="B356" t="s">
        <v>2440</v>
      </c>
      <c r="C356" t="s">
        <v>1770</v>
      </c>
      <c r="D356" s="12" t="str">
        <f t="shared" si="11"/>
        <v>1355,'111627','AUTO 5°'</v>
      </c>
      <c r="E356" s="12" t="str">
        <f t="shared" si="10"/>
        <v>INSERT INTO grupos (id,matricula,grupo) values (1355,'111627','AUTO 5°');</v>
      </c>
    </row>
    <row r="357" spans="1:5" ht="43.5" x14ac:dyDescent="0.35">
      <c r="A357">
        <v>1356</v>
      </c>
      <c r="B357" t="s">
        <v>2440</v>
      </c>
      <c r="C357" t="s">
        <v>1813</v>
      </c>
      <c r="D357" s="12" t="str">
        <f t="shared" si="11"/>
        <v>1356,'111627','TC0503_5'</v>
      </c>
      <c r="E357" s="12" t="str">
        <f t="shared" si="10"/>
        <v>INSERT INTO grupos (id,matricula,grupo) values (1356,'111627','TC0503_5');</v>
      </c>
    </row>
    <row r="358" spans="1:5" ht="43.5" x14ac:dyDescent="0.35">
      <c r="A358">
        <v>1357</v>
      </c>
      <c r="B358" t="s">
        <v>2441</v>
      </c>
      <c r="C358" t="s">
        <v>1770</v>
      </c>
      <c r="D358" s="12" t="str">
        <f t="shared" si="11"/>
        <v>1357,'111628','AUTO 5°'</v>
      </c>
      <c r="E358" s="12" t="str">
        <f t="shared" si="10"/>
        <v>INSERT INTO grupos (id,matricula,grupo) values (1357,'111628','AUTO 5°');</v>
      </c>
    </row>
    <row r="359" spans="1:5" ht="43.5" x14ac:dyDescent="0.35">
      <c r="A359">
        <v>1358</v>
      </c>
      <c r="B359" t="s">
        <v>2442</v>
      </c>
      <c r="C359" t="s">
        <v>1767</v>
      </c>
      <c r="D359" s="12" t="str">
        <f t="shared" si="11"/>
        <v>1358,'111632','AERO 5°A'</v>
      </c>
      <c r="E359" s="12" t="str">
        <f t="shared" si="10"/>
        <v>INSERT INTO grupos (id,matricula,grupo) values (1358,'111632','AERO 5°A');</v>
      </c>
    </row>
    <row r="360" spans="1:5" ht="43.5" x14ac:dyDescent="0.35">
      <c r="A360">
        <v>1359</v>
      </c>
      <c r="B360" t="s">
        <v>2443</v>
      </c>
      <c r="C360" t="s">
        <v>1749</v>
      </c>
      <c r="D360" s="12" t="str">
        <f t="shared" si="11"/>
        <v>1359,'111636','PSI 5°'</v>
      </c>
      <c r="E360" s="12" t="str">
        <f t="shared" si="10"/>
        <v>INSERT INTO grupos (id,matricula,grupo) values (1359,'111636','PSI 5°');</v>
      </c>
    </row>
    <row r="361" spans="1:5" ht="43.5" x14ac:dyDescent="0.35">
      <c r="A361">
        <v>1360</v>
      </c>
      <c r="B361" t="s">
        <v>2443</v>
      </c>
      <c r="C361" t="s">
        <v>1823</v>
      </c>
      <c r="D361" s="12" t="str">
        <f t="shared" si="11"/>
        <v>1360,'111636','TC0501_6'</v>
      </c>
      <c r="E361" s="12" t="str">
        <f t="shared" si="10"/>
        <v>INSERT INTO grupos (id,matricula,grupo) values (1360,'111636','TC0501_6');</v>
      </c>
    </row>
    <row r="362" spans="1:5" ht="43.5" x14ac:dyDescent="0.35">
      <c r="A362">
        <v>1361</v>
      </c>
      <c r="B362" t="s">
        <v>2444</v>
      </c>
      <c r="C362" t="s">
        <v>1770</v>
      </c>
      <c r="D362" s="12" t="str">
        <f t="shared" si="11"/>
        <v>1361,'111638','AUTO 5°'</v>
      </c>
      <c r="E362" s="12" t="str">
        <f t="shared" si="10"/>
        <v>INSERT INTO grupos (id,matricula,grupo) values (1361,'111638','AUTO 5°');</v>
      </c>
    </row>
    <row r="363" spans="1:5" ht="43.5" x14ac:dyDescent="0.35">
      <c r="A363">
        <v>1362</v>
      </c>
      <c r="B363" t="s">
        <v>2445</v>
      </c>
      <c r="C363" t="s">
        <v>1767</v>
      </c>
      <c r="D363" s="12" t="str">
        <f t="shared" si="11"/>
        <v>1362,'111642','AERO 5°A'</v>
      </c>
      <c r="E363" s="12" t="str">
        <f t="shared" si="10"/>
        <v>INSERT INTO grupos (id,matricula,grupo) values (1362,'111642','AERO 5°A');</v>
      </c>
    </row>
    <row r="364" spans="1:5" ht="43.5" x14ac:dyDescent="0.35">
      <c r="A364">
        <v>1363</v>
      </c>
      <c r="B364" t="s">
        <v>2446</v>
      </c>
      <c r="C364" t="s">
        <v>1749</v>
      </c>
      <c r="D364" s="12" t="str">
        <f t="shared" si="11"/>
        <v>1363,'111644','PSI 5°'</v>
      </c>
      <c r="E364" s="12" t="str">
        <f t="shared" si="10"/>
        <v>INSERT INTO grupos (id,matricula,grupo) values (1363,'111644','PSI 5°');</v>
      </c>
    </row>
    <row r="365" spans="1:5" ht="43.5" x14ac:dyDescent="0.35">
      <c r="A365">
        <v>1364</v>
      </c>
      <c r="B365" t="s">
        <v>2446</v>
      </c>
      <c r="C365" t="s">
        <v>1823</v>
      </c>
      <c r="D365" s="12" t="str">
        <f t="shared" si="11"/>
        <v>1364,'111644','TC0501_6'</v>
      </c>
      <c r="E365" s="12" t="str">
        <f t="shared" si="10"/>
        <v>INSERT INTO grupos (id,matricula,grupo) values (1364,'111644','TC0501_6');</v>
      </c>
    </row>
    <row r="366" spans="1:5" ht="43.5" x14ac:dyDescent="0.35">
      <c r="A366">
        <v>1365</v>
      </c>
      <c r="B366" t="s">
        <v>2447</v>
      </c>
      <c r="C366" t="s">
        <v>1768</v>
      </c>
      <c r="D366" s="12" t="str">
        <f t="shared" si="11"/>
        <v>1365,'111645','ADMON 5°'</v>
      </c>
      <c r="E366" s="12" t="str">
        <f t="shared" si="10"/>
        <v>INSERT INTO grupos (id,matricula,grupo) values (1365,'111645','ADMON 5°');</v>
      </c>
    </row>
    <row r="367" spans="1:5" ht="43.5" x14ac:dyDescent="0.35">
      <c r="A367">
        <v>1366</v>
      </c>
      <c r="B367" t="s">
        <v>2448</v>
      </c>
      <c r="C367" t="s">
        <v>1771</v>
      </c>
      <c r="D367" s="12" t="str">
        <f t="shared" si="11"/>
        <v>1366,'111646','IA 5°'</v>
      </c>
      <c r="E367" s="12" t="str">
        <f t="shared" si="10"/>
        <v>INSERT INTO grupos (id,matricula,grupo) values (1366,'111646','IA 5°');</v>
      </c>
    </row>
    <row r="368" spans="1:5" ht="43.5" x14ac:dyDescent="0.35">
      <c r="A368">
        <v>1367</v>
      </c>
      <c r="B368" t="s">
        <v>2448</v>
      </c>
      <c r="C368" t="s">
        <v>1818</v>
      </c>
      <c r="D368" s="12" t="str">
        <f t="shared" si="11"/>
        <v>1367,'111646','TC0501_1'</v>
      </c>
      <c r="E368" s="12" t="str">
        <f t="shared" si="10"/>
        <v>INSERT INTO grupos (id,matricula,grupo) values (1367,'111646','TC0501_1');</v>
      </c>
    </row>
    <row r="369" spans="1:5" ht="43.5" x14ac:dyDescent="0.35">
      <c r="A369">
        <v>1368</v>
      </c>
      <c r="B369" t="s">
        <v>2448</v>
      </c>
      <c r="C369" t="s">
        <v>1809</v>
      </c>
      <c r="D369" s="12" t="str">
        <f t="shared" si="11"/>
        <v>1368,'111646','TC0503_1'</v>
      </c>
      <c r="E369" s="12" t="str">
        <f t="shared" si="10"/>
        <v>INSERT INTO grupos (id,matricula,grupo) values (1368,'111646','TC0503_1');</v>
      </c>
    </row>
    <row r="370" spans="1:5" ht="43.5" x14ac:dyDescent="0.35">
      <c r="A370">
        <v>1369</v>
      </c>
      <c r="B370" t="s">
        <v>2449</v>
      </c>
      <c r="C370" t="s">
        <v>1770</v>
      </c>
      <c r="D370" s="12" t="str">
        <f t="shared" si="11"/>
        <v>1369,'111647','AUTO 5°'</v>
      </c>
      <c r="E370" s="12" t="str">
        <f t="shared" si="10"/>
        <v>INSERT INTO grupos (id,matricula,grupo) values (1369,'111647','AUTO 5°');</v>
      </c>
    </row>
    <row r="371" spans="1:5" ht="43.5" x14ac:dyDescent="0.35">
      <c r="A371">
        <v>1370</v>
      </c>
      <c r="B371" t="s">
        <v>2449</v>
      </c>
      <c r="C371" t="s">
        <v>1823</v>
      </c>
      <c r="D371" s="12" t="str">
        <f t="shared" si="11"/>
        <v>1370,'111647','TC0501_6'</v>
      </c>
      <c r="E371" s="12" t="str">
        <f t="shared" si="10"/>
        <v>INSERT INTO grupos (id,matricula,grupo) values (1370,'111647','TC0501_6');</v>
      </c>
    </row>
    <row r="372" spans="1:5" ht="43.5" x14ac:dyDescent="0.35">
      <c r="A372">
        <v>1371</v>
      </c>
      <c r="B372" t="s">
        <v>2450</v>
      </c>
      <c r="C372" t="s">
        <v>1758</v>
      </c>
      <c r="D372" s="12" t="str">
        <f t="shared" si="11"/>
        <v>1371,'111648','ARQ 5°'</v>
      </c>
      <c r="E372" s="12" t="str">
        <f t="shared" si="10"/>
        <v>INSERT INTO grupos (id,matricula,grupo) values (1371,'111648','ARQ 5°');</v>
      </c>
    </row>
    <row r="373" spans="1:5" ht="43.5" x14ac:dyDescent="0.35">
      <c r="A373">
        <v>1372</v>
      </c>
      <c r="B373" t="s">
        <v>2451</v>
      </c>
      <c r="C373" t="s">
        <v>1770</v>
      </c>
      <c r="D373" s="12" t="str">
        <f t="shared" si="11"/>
        <v>1372,'111650','AUTO 5°'</v>
      </c>
      <c r="E373" s="12" t="str">
        <f t="shared" si="10"/>
        <v>INSERT INTO grupos (id,matricula,grupo) values (1372,'111650','AUTO 5°');</v>
      </c>
    </row>
    <row r="374" spans="1:5" ht="43.5" x14ac:dyDescent="0.35">
      <c r="A374">
        <v>1373</v>
      </c>
      <c r="B374" t="s">
        <v>2451</v>
      </c>
      <c r="C374" t="s">
        <v>1813</v>
      </c>
      <c r="D374" s="12" t="str">
        <f t="shared" si="11"/>
        <v>1373,'111650','TC0503_5'</v>
      </c>
      <c r="E374" s="12" t="str">
        <f t="shared" si="10"/>
        <v>INSERT INTO grupos (id,matricula,grupo) values (1373,'111650','TC0503_5');</v>
      </c>
    </row>
    <row r="375" spans="1:5" ht="43.5" x14ac:dyDescent="0.35">
      <c r="A375">
        <v>1374</v>
      </c>
      <c r="B375" t="s">
        <v>2452</v>
      </c>
      <c r="C375" t="s">
        <v>1749</v>
      </c>
      <c r="D375" s="12" t="str">
        <f t="shared" si="11"/>
        <v>1374,'111654','PSI 5°'</v>
      </c>
      <c r="E375" s="12" t="str">
        <f t="shared" si="10"/>
        <v>INSERT INTO grupos (id,matricula,grupo) values (1374,'111654','PSI 5°');</v>
      </c>
    </row>
    <row r="376" spans="1:5" ht="43.5" x14ac:dyDescent="0.35">
      <c r="A376">
        <v>1375</v>
      </c>
      <c r="B376" t="s">
        <v>2453</v>
      </c>
      <c r="C376" t="s">
        <v>1756</v>
      </c>
      <c r="D376" s="12" t="str">
        <f t="shared" si="11"/>
        <v>1375,'111655','NUT 5°'</v>
      </c>
      <c r="E376" s="12" t="str">
        <f t="shared" si="10"/>
        <v>INSERT INTO grupos (id,matricula,grupo) values (1375,'111655','NUT 5°');</v>
      </c>
    </row>
    <row r="377" spans="1:5" ht="43.5" x14ac:dyDescent="0.35">
      <c r="A377">
        <v>1376</v>
      </c>
      <c r="B377" t="s">
        <v>2454</v>
      </c>
      <c r="C377" t="s">
        <v>1769</v>
      </c>
      <c r="D377" s="12" t="str">
        <f t="shared" si="11"/>
        <v>1376,'111656','AERO 5°B'</v>
      </c>
      <c r="E377" s="12" t="str">
        <f t="shared" si="10"/>
        <v>INSERT INTO grupos (id,matricula,grupo) values (1376,'111656','AERO 5°B');</v>
      </c>
    </row>
    <row r="378" spans="1:5" ht="43.5" x14ac:dyDescent="0.35">
      <c r="A378">
        <v>1377</v>
      </c>
      <c r="B378" t="s">
        <v>2455</v>
      </c>
      <c r="C378" t="s">
        <v>1770</v>
      </c>
      <c r="D378" s="12" t="str">
        <f t="shared" si="11"/>
        <v>1377,'111658','AUTO 5°'</v>
      </c>
      <c r="E378" s="12" t="str">
        <f t="shared" si="10"/>
        <v>INSERT INTO grupos (id,matricula,grupo) values (1377,'111658','AUTO 5°');</v>
      </c>
    </row>
    <row r="379" spans="1:5" ht="43.5" x14ac:dyDescent="0.35">
      <c r="A379">
        <v>1378</v>
      </c>
      <c r="B379" t="s">
        <v>2455</v>
      </c>
      <c r="C379" t="s">
        <v>1823</v>
      </c>
      <c r="D379" s="12" t="str">
        <f t="shared" si="11"/>
        <v>1378,'111658','TC0501_6'</v>
      </c>
      <c r="E379" s="12" t="str">
        <f t="shared" si="10"/>
        <v>INSERT INTO grupos (id,matricula,grupo) values (1378,'111658','TC0501_6');</v>
      </c>
    </row>
    <row r="380" spans="1:5" ht="43.5" x14ac:dyDescent="0.35">
      <c r="A380">
        <v>1379</v>
      </c>
      <c r="B380" t="s">
        <v>2456</v>
      </c>
      <c r="C380" t="s">
        <v>1769</v>
      </c>
      <c r="D380" s="12" t="str">
        <f t="shared" si="11"/>
        <v>1379,'111661','AERO 5°B'</v>
      </c>
      <c r="E380" s="12" t="str">
        <f t="shared" si="10"/>
        <v>INSERT INTO grupos (id,matricula,grupo) values (1379,'111661','AERO 5°B');</v>
      </c>
    </row>
    <row r="381" spans="1:5" ht="43.5" x14ac:dyDescent="0.35">
      <c r="A381">
        <v>1380</v>
      </c>
      <c r="B381" t="s">
        <v>2457</v>
      </c>
      <c r="C381" t="s">
        <v>1769</v>
      </c>
      <c r="D381" s="12" t="str">
        <f t="shared" si="11"/>
        <v>1380,'111663','AERO 5°B'</v>
      </c>
      <c r="E381" s="12" t="str">
        <f t="shared" si="10"/>
        <v>INSERT INTO grupos (id,matricula,grupo) values (1380,'111663','AERO 5°B');</v>
      </c>
    </row>
    <row r="382" spans="1:5" ht="43.5" x14ac:dyDescent="0.35">
      <c r="A382">
        <v>1381</v>
      </c>
      <c r="B382" t="s">
        <v>2458</v>
      </c>
      <c r="C382" t="s">
        <v>1767</v>
      </c>
      <c r="D382" s="12" t="str">
        <f t="shared" si="11"/>
        <v>1381,'111664','AERO 5°A'</v>
      </c>
      <c r="E382" s="12" t="str">
        <f t="shared" si="10"/>
        <v>INSERT INTO grupos (id,matricula,grupo) values (1381,'111664','AERO 5°A');</v>
      </c>
    </row>
    <row r="383" spans="1:5" ht="43.5" x14ac:dyDescent="0.35">
      <c r="A383">
        <v>1382</v>
      </c>
      <c r="B383" t="s">
        <v>2458</v>
      </c>
      <c r="C383" t="s">
        <v>1818</v>
      </c>
      <c r="D383" s="12" t="str">
        <f t="shared" si="11"/>
        <v>1382,'111664','TC0501_1'</v>
      </c>
      <c r="E383" s="12" t="str">
        <f t="shared" si="10"/>
        <v>INSERT INTO grupos (id,matricula,grupo) values (1382,'111664','TC0501_1');</v>
      </c>
    </row>
    <row r="384" spans="1:5" ht="43.5" x14ac:dyDescent="0.35">
      <c r="A384">
        <v>1383</v>
      </c>
      <c r="B384" t="s">
        <v>2458</v>
      </c>
      <c r="C384" t="s">
        <v>1809</v>
      </c>
      <c r="D384" s="12" t="str">
        <f t="shared" si="11"/>
        <v>1383,'111664','TC0503_1'</v>
      </c>
      <c r="E384" s="12" t="str">
        <f t="shared" si="10"/>
        <v>INSERT INTO grupos (id,matricula,grupo) values (1383,'111664','TC0503_1');</v>
      </c>
    </row>
    <row r="385" spans="1:5" ht="43.5" x14ac:dyDescent="0.35">
      <c r="A385">
        <v>1384</v>
      </c>
      <c r="B385" t="s">
        <v>2459</v>
      </c>
      <c r="C385" t="s">
        <v>1771</v>
      </c>
      <c r="D385" s="12" t="str">
        <f t="shared" si="11"/>
        <v>1384,'111666','IA 5°'</v>
      </c>
      <c r="E385" s="12" t="str">
        <f t="shared" si="10"/>
        <v>INSERT INTO grupos (id,matricula,grupo) values (1384,'111666','IA 5°');</v>
      </c>
    </row>
    <row r="386" spans="1:5" ht="43.5" x14ac:dyDescent="0.35">
      <c r="A386">
        <v>1385</v>
      </c>
      <c r="B386" t="s">
        <v>2460</v>
      </c>
      <c r="C386" t="s">
        <v>1767</v>
      </c>
      <c r="D386" s="12" t="str">
        <f t="shared" si="11"/>
        <v>1385,'111667','AERO 5°A'</v>
      </c>
      <c r="E386" s="12" t="str">
        <f t="shared" ref="E386:E449" si="12">CONCATENATE($D$1,D386,");")</f>
        <v>INSERT INTO grupos (id,matricula,grupo) values (1385,'111667','AERO 5°A');</v>
      </c>
    </row>
    <row r="387" spans="1:5" ht="43.5" x14ac:dyDescent="0.35">
      <c r="A387">
        <v>1386</v>
      </c>
      <c r="B387" t="s">
        <v>2461</v>
      </c>
      <c r="C387" t="s">
        <v>1769</v>
      </c>
      <c r="D387" s="12" t="str">
        <f t="shared" ref="D387:D450" si="13">CONCATENATE(A387,",'",TRIM(B387),"','",C387,"'")</f>
        <v>1386,'111668','AERO 5°B'</v>
      </c>
      <c r="E387" s="12" t="str">
        <f t="shared" si="12"/>
        <v>INSERT INTO grupos (id,matricula,grupo) values (1386,'111668','AERO 5°B');</v>
      </c>
    </row>
    <row r="388" spans="1:5" ht="43.5" x14ac:dyDescent="0.35">
      <c r="A388">
        <v>1387</v>
      </c>
      <c r="B388" t="s">
        <v>2461</v>
      </c>
      <c r="C388" t="s">
        <v>1818</v>
      </c>
      <c r="D388" s="12" t="str">
        <f t="shared" si="13"/>
        <v>1387,'111668','TC0501_1'</v>
      </c>
      <c r="E388" s="12" t="str">
        <f t="shared" si="12"/>
        <v>INSERT INTO grupos (id,matricula,grupo) values (1387,'111668','TC0501_1');</v>
      </c>
    </row>
    <row r="389" spans="1:5" ht="43.5" x14ac:dyDescent="0.35">
      <c r="A389">
        <v>1388</v>
      </c>
      <c r="B389" t="s">
        <v>2461</v>
      </c>
      <c r="C389" t="s">
        <v>1809</v>
      </c>
      <c r="D389" s="12" t="str">
        <f t="shared" si="13"/>
        <v>1388,'111668','TC0503_1'</v>
      </c>
      <c r="E389" s="12" t="str">
        <f t="shared" si="12"/>
        <v>INSERT INTO grupos (id,matricula,grupo) values (1388,'111668','TC0503_1');</v>
      </c>
    </row>
    <row r="390" spans="1:5" ht="43.5" x14ac:dyDescent="0.35">
      <c r="A390">
        <v>1389</v>
      </c>
      <c r="B390" t="s">
        <v>2462</v>
      </c>
      <c r="C390" t="s">
        <v>1767</v>
      </c>
      <c r="D390" s="12" t="str">
        <f t="shared" si="13"/>
        <v>1389,'111669','AERO 5°A'</v>
      </c>
      <c r="E390" s="12" t="str">
        <f t="shared" si="12"/>
        <v>INSERT INTO grupos (id,matricula,grupo) values (1389,'111669','AERO 5°A');</v>
      </c>
    </row>
    <row r="391" spans="1:5" ht="43.5" x14ac:dyDescent="0.35">
      <c r="A391">
        <v>1390</v>
      </c>
      <c r="B391" t="s">
        <v>2463</v>
      </c>
      <c r="C391" t="s">
        <v>1769</v>
      </c>
      <c r="D391" s="12" t="str">
        <f t="shared" si="13"/>
        <v>1390,'111670','AERO 5°B'</v>
      </c>
      <c r="E391" s="12" t="str">
        <f t="shared" si="12"/>
        <v>INSERT INTO grupos (id,matricula,grupo) values (1390,'111670','AERO 5°B');</v>
      </c>
    </row>
    <row r="392" spans="1:5" ht="43.5" x14ac:dyDescent="0.35">
      <c r="A392">
        <v>1391</v>
      </c>
      <c r="B392" t="s">
        <v>2463</v>
      </c>
      <c r="C392" t="s">
        <v>1818</v>
      </c>
      <c r="D392" s="12" t="str">
        <f t="shared" si="13"/>
        <v>1391,'111670','TC0501_1'</v>
      </c>
      <c r="E392" s="12" t="str">
        <f t="shared" si="12"/>
        <v>INSERT INTO grupos (id,matricula,grupo) values (1391,'111670','TC0501_1');</v>
      </c>
    </row>
    <row r="393" spans="1:5" ht="43.5" x14ac:dyDescent="0.35">
      <c r="A393">
        <v>1392</v>
      </c>
      <c r="B393" t="s">
        <v>2463</v>
      </c>
      <c r="C393" t="s">
        <v>1809</v>
      </c>
      <c r="D393" s="12" t="str">
        <f t="shared" si="13"/>
        <v>1392,'111670','TC0503_1'</v>
      </c>
      <c r="E393" s="12" t="str">
        <f t="shared" si="12"/>
        <v>INSERT INTO grupos (id,matricula,grupo) values (1392,'111670','TC0503_1');</v>
      </c>
    </row>
    <row r="394" spans="1:5" ht="43.5" x14ac:dyDescent="0.35">
      <c r="A394">
        <v>1393</v>
      </c>
      <c r="B394" t="s">
        <v>2464</v>
      </c>
      <c r="C394" t="s">
        <v>1770</v>
      </c>
      <c r="D394" s="12" t="str">
        <f t="shared" si="13"/>
        <v>1393,'111671','AUTO 5°'</v>
      </c>
      <c r="E394" s="12" t="str">
        <f t="shared" si="12"/>
        <v>INSERT INTO grupos (id,matricula,grupo) values (1393,'111671','AUTO 5°');</v>
      </c>
    </row>
    <row r="395" spans="1:5" ht="43.5" x14ac:dyDescent="0.35">
      <c r="A395">
        <v>1394</v>
      </c>
      <c r="B395" t="s">
        <v>2464</v>
      </c>
      <c r="C395" t="s">
        <v>1823</v>
      </c>
      <c r="D395" s="12" t="str">
        <f t="shared" si="13"/>
        <v>1394,'111671','TC0501_6'</v>
      </c>
      <c r="E395" s="12" t="str">
        <f t="shared" si="12"/>
        <v>INSERT INTO grupos (id,matricula,grupo) values (1394,'111671','TC0501_6');</v>
      </c>
    </row>
    <row r="396" spans="1:5" ht="43.5" x14ac:dyDescent="0.35">
      <c r="A396">
        <v>1395</v>
      </c>
      <c r="B396" t="s">
        <v>2465</v>
      </c>
      <c r="C396" t="s">
        <v>1767</v>
      </c>
      <c r="D396" s="12" t="str">
        <f t="shared" si="13"/>
        <v>1395,'111672','AERO 5°A'</v>
      </c>
      <c r="E396" s="12" t="str">
        <f t="shared" si="12"/>
        <v>INSERT INTO grupos (id,matricula,grupo) values (1395,'111672','AERO 5°A');</v>
      </c>
    </row>
    <row r="397" spans="1:5" ht="43.5" x14ac:dyDescent="0.35">
      <c r="A397">
        <v>1396</v>
      </c>
      <c r="B397" t="s">
        <v>2466</v>
      </c>
      <c r="C397" t="s">
        <v>1769</v>
      </c>
      <c r="D397" s="12" t="str">
        <f t="shared" si="13"/>
        <v>1396,'111673','AERO 5°B'</v>
      </c>
      <c r="E397" s="12" t="str">
        <f t="shared" si="12"/>
        <v>INSERT INTO grupos (id,matricula,grupo) values (1396,'111673','AERO 5°B');</v>
      </c>
    </row>
    <row r="398" spans="1:5" ht="43.5" x14ac:dyDescent="0.35">
      <c r="A398">
        <v>1397</v>
      </c>
      <c r="B398" t="s">
        <v>2467</v>
      </c>
      <c r="C398" t="s">
        <v>1767</v>
      </c>
      <c r="D398" s="12" t="str">
        <f t="shared" si="13"/>
        <v>1397,'111674','AERO 5°A'</v>
      </c>
      <c r="E398" s="12" t="str">
        <f t="shared" si="12"/>
        <v>INSERT INTO grupos (id,matricula,grupo) values (1397,'111674','AERO 5°A');</v>
      </c>
    </row>
    <row r="399" spans="1:5" ht="43.5" x14ac:dyDescent="0.35">
      <c r="A399">
        <v>1398</v>
      </c>
      <c r="B399" t="s">
        <v>2468</v>
      </c>
      <c r="C399" t="s">
        <v>1774</v>
      </c>
      <c r="D399" s="12" t="str">
        <f t="shared" si="13"/>
        <v>1398,'111676','AUTO 3° A'</v>
      </c>
      <c r="E399" s="12" t="str">
        <f t="shared" si="12"/>
        <v>INSERT INTO grupos (id,matricula,grupo) values (1398,'111676','AUTO 3° A');</v>
      </c>
    </row>
    <row r="400" spans="1:5" ht="43.5" x14ac:dyDescent="0.35">
      <c r="A400">
        <v>1399</v>
      </c>
      <c r="B400" t="s">
        <v>2468</v>
      </c>
      <c r="C400" t="s">
        <v>1770</v>
      </c>
      <c r="D400" s="12" t="str">
        <f t="shared" si="13"/>
        <v>1399,'111676','AUTO 5°'</v>
      </c>
      <c r="E400" s="12" t="str">
        <f t="shared" si="12"/>
        <v>INSERT INTO grupos (id,matricula,grupo) values (1399,'111676','AUTO 5°');</v>
      </c>
    </row>
    <row r="401" spans="1:5" ht="43.5" x14ac:dyDescent="0.35">
      <c r="A401">
        <v>1400</v>
      </c>
      <c r="B401" t="s">
        <v>2469</v>
      </c>
      <c r="C401" t="s">
        <v>1769</v>
      </c>
      <c r="D401" s="12" t="str">
        <f t="shared" si="13"/>
        <v>1400,'111677','AERO 5°B'</v>
      </c>
      <c r="E401" s="12" t="str">
        <f t="shared" si="12"/>
        <v>INSERT INTO grupos (id,matricula,grupo) values (1400,'111677','AERO 5°B');</v>
      </c>
    </row>
    <row r="402" spans="1:5" ht="43.5" x14ac:dyDescent="0.35">
      <c r="A402">
        <v>1401</v>
      </c>
      <c r="B402" t="s">
        <v>2470</v>
      </c>
      <c r="C402" t="s">
        <v>1767</v>
      </c>
      <c r="D402" s="12" t="str">
        <f t="shared" si="13"/>
        <v>1401,'111678','AERO 5°A'</v>
      </c>
      <c r="E402" s="12" t="str">
        <f t="shared" si="12"/>
        <v>INSERT INTO grupos (id,matricula,grupo) values (1401,'111678','AERO 5°A');</v>
      </c>
    </row>
    <row r="403" spans="1:5" ht="43.5" x14ac:dyDescent="0.35">
      <c r="A403">
        <v>1402</v>
      </c>
      <c r="B403" t="s">
        <v>2471</v>
      </c>
      <c r="C403" t="s">
        <v>1769</v>
      </c>
      <c r="D403" s="12" t="str">
        <f t="shared" si="13"/>
        <v>1402,'111680','AERO 5°B'</v>
      </c>
      <c r="E403" s="12" t="str">
        <f t="shared" si="12"/>
        <v>INSERT INTO grupos (id,matricula,grupo) values (1402,'111680','AERO 5°B');</v>
      </c>
    </row>
    <row r="404" spans="1:5" ht="43.5" x14ac:dyDescent="0.35">
      <c r="A404">
        <v>1403</v>
      </c>
      <c r="B404" t="s">
        <v>2472</v>
      </c>
      <c r="C404" t="s">
        <v>1769</v>
      </c>
      <c r="D404" s="12" t="str">
        <f t="shared" si="13"/>
        <v>1403,'111682','AERO 5°B'</v>
      </c>
      <c r="E404" s="12" t="str">
        <f t="shared" si="12"/>
        <v>INSERT INTO grupos (id,matricula,grupo) values (1403,'111682','AERO 5°B');</v>
      </c>
    </row>
    <row r="405" spans="1:5" ht="43.5" x14ac:dyDescent="0.35">
      <c r="A405">
        <v>1404</v>
      </c>
      <c r="B405" t="s">
        <v>2472</v>
      </c>
      <c r="C405" t="s">
        <v>1818</v>
      </c>
      <c r="D405" s="12" t="str">
        <f t="shared" si="13"/>
        <v>1404,'111682','TC0501_1'</v>
      </c>
      <c r="E405" s="12" t="str">
        <f t="shared" si="12"/>
        <v>INSERT INTO grupos (id,matricula,grupo) values (1404,'111682','TC0501_1');</v>
      </c>
    </row>
    <row r="406" spans="1:5" ht="43.5" x14ac:dyDescent="0.35">
      <c r="A406">
        <v>1405</v>
      </c>
      <c r="B406" t="s">
        <v>2472</v>
      </c>
      <c r="C406" t="s">
        <v>1809</v>
      </c>
      <c r="D406" s="12" t="str">
        <f t="shared" si="13"/>
        <v>1405,'111682','TC0503_1'</v>
      </c>
      <c r="E406" s="12" t="str">
        <f t="shared" si="12"/>
        <v>INSERT INTO grupos (id,matricula,grupo) values (1405,'111682','TC0503_1');</v>
      </c>
    </row>
    <row r="407" spans="1:5" ht="43.5" x14ac:dyDescent="0.35">
      <c r="A407">
        <v>1406</v>
      </c>
      <c r="B407" t="s">
        <v>2473</v>
      </c>
      <c r="C407" t="s">
        <v>1768</v>
      </c>
      <c r="D407" s="12" t="str">
        <f t="shared" si="13"/>
        <v>1406,'111684','ADMON 5°'</v>
      </c>
      <c r="E407" s="12" t="str">
        <f t="shared" si="12"/>
        <v>INSERT INTO grupos (id,matricula,grupo) values (1406,'111684','ADMON 5°');</v>
      </c>
    </row>
    <row r="408" spans="1:5" ht="43.5" x14ac:dyDescent="0.35">
      <c r="A408">
        <v>1407</v>
      </c>
      <c r="B408" t="s">
        <v>2474</v>
      </c>
      <c r="C408" t="s">
        <v>1769</v>
      </c>
      <c r="D408" s="12" t="str">
        <f t="shared" si="13"/>
        <v>1407,'111686','AERO 5°B'</v>
      </c>
      <c r="E408" s="12" t="str">
        <f t="shared" si="12"/>
        <v>INSERT INTO grupos (id,matricula,grupo) values (1407,'111686','AERO 5°B');</v>
      </c>
    </row>
    <row r="409" spans="1:5" ht="43.5" x14ac:dyDescent="0.35">
      <c r="A409">
        <v>1408</v>
      </c>
      <c r="B409" t="s">
        <v>2475</v>
      </c>
      <c r="C409" t="s">
        <v>1767</v>
      </c>
      <c r="D409" s="12" t="str">
        <f t="shared" si="13"/>
        <v>1408,'111687','AERO 5°A'</v>
      </c>
      <c r="E409" s="12" t="str">
        <f t="shared" si="12"/>
        <v>INSERT INTO grupos (id,matricula,grupo) values (1408,'111687','AERO 5°A');</v>
      </c>
    </row>
    <row r="410" spans="1:5" ht="43.5" x14ac:dyDescent="0.35">
      <c r="A410">
        <v>1409</v>
      </c>
      <c r="B410" t="s">
        <v>2475</v>
      </c>
      <c r="C410" t="s">
        <v>1818</v>
      </c>
      <c r="D410" s="12" t="str">
        <f t="shared" si="13"/>
        <v>1409,'111687','TC0501_1'</v>
      </c>
      <c r="E410" s="12" t="str">
        <f t="shared" si="12"/>
        <v>INSERT INTO grupos (id,matricula,grupo) values (1409,'111687','TC0501_1');</v>
      </c>
    </row>
    <row r="411" spans="1:5" ht="43.5" x14ac:dyDescent="0.35">
      <c r="A411">
        <v>1410</v>
      </c>
      <c r="B411" t="s">
        <v>2475</v>
      </c>
      <c r="C411" t="s">
        <v>1809</v>
      </c>
      <c r="D411" s="12" t="str">
        <f t="shared" si="13"/>
        <v>1410,'111687','TC0503_1'</v>
      </c>
      <c r="E411" s="12" t="str">
        <f t="shared" si="12"/>
        <v>INSERT INTO grupos (id,matricula,grupo) values (1410,'111687','TC0503_1');</v>
      </c>
    </row>
    <row r="412" spans="1:5" ht="43.5" x14ac:dyDescent="0.35">
      <c r="A412">
        <v>1411</v>
      </c>
      <c r="B412" t="s">
        <v>2476</v>
      </c>
      <c r="C412" t="s">
        <v>1756</v>
      </c>
      <c r="D412" s="12" t="str">
        <f t="shared" si="13"/>
        <v>1411,'111688','NUT 5°'</v>
      </c>
      <c r="E412" s="12" t="str">
        <f t="shared" si="12"/>
        <v>INSERT INTO grupos (id,matricula,grupo) values (1411,'111688','NUT 5°');</v>
      </c>
    </row>
    <row r="413" spans="1:5" ht="43.5" x14ac:dyDescent="0.35">
      <c r="A413">
        <v>1412</v>
      </c>
      <c r="B413" t="s">
        <v>2477</v>
      </c>
      <c r="C413" t="s">
        <v>1771</v>
      </c>
      <c r="D413" s="12" t="str">
        <f t="shared" si="13"/>
        <v>1412,'111690','IA 5°'</v>
      </c>
      <c r="E413" s="12" t="str">
        <f t="shared" si="12"/>
        <v>INSERT INTO grupos (id,matricula,grupo) values (1412,'111690','IA 5°');</v>
      </c>
    </row>
    <row r="414" spans="1:5" ht="43.5" x14ac:dyDescent="0.35">
      <c r="A414">
        <v>1413</v>
      </c>
      <c r="B414" t="s">
        <v>2477</v>
      </c>
      <c r="C414" t="s">
        <v>1818</v>
      </c>
      <c r="D414" s="12" t="str">
        <f t="shared" si="13"/>
        <v>1413,'111690','TC0501_1'</v>
      </c>
      <c r="E414" s="12" t="str">
        <f t="shared" si="12"/>
        <v>INSERT INTO grupos (id,matricula,grupo) values (1413,'111690','TC0501_1');</v>
      </c>
    </row>
    <row r="415" spans="1:5" ht="43.5" x14ac:dyDescent="0.35">
      <c r="A415">
        <v>1414</v>
      </c>
      <c r="B415" t="s">
        <v>2477</v>
      </c>
      <c r="C415" t="s">
        <v>1809</v>
      </c>
      <c r="D415" s="12" t="str">
        <f t="shared" si="13"/>
        <v>1414,'111690','TC0503_1'</v>
      </c>
      <c r="E415" s="12" t="str">
        <f t="shared" si="12"/>
        <v>INSERT INTO grupos (id,matricula,grupo) values (1414,'111690','TC0503_1');</v>
      </c>
    </row>
    <row r="416" spans="1:5" ht="43.5" x14ac:dyDescent="0.35">
      <c r="A416">
        <v>1415</v>
      </c>
      <c r="B416" t="s">
        <v>2478</v>
      </c>
      <c r="C416" t="s">
        <v>1770</v>
      </c>
      <c r="D416" s="12" t="str">
        <f t="shared" si="13"/>
        <v>1415,'111699','AUTO 5°'</v>
      </c>
      <c r="E416" s="12" t="str">
        <f t="shared" si="12"/>
        <v>INSERT INTO grupos (id,matricula,grupo) values (1415,'111699','AUTO 5°');</v>
      </c>
    </row>
    <row r="417" spans="1:5" ht="43.5" x14ac:dyDescent="0.35">
      <c r="A417">
        <v>1416</v>
      </c>
      <c r="B417" t="s">
        <v>2479</v>
      </c>
      <c r="C417" t="s">
        <v>1770</v>
      </c>
      <c r="D417" s="12" t="str">
        <f t="shared" si="13"/>
        <v>1416,'111703','AUTO 5°'</v>
      </c>
      <c r="E417" s="12" t="str">
        <f t="shared" si="12"/>
        <v>INSERT INTO grupos (id,matricula,grupo) values (1416,'111703','AUTO 5°');</v>
      </c>
    </row>
    <row r="418" spans="1:5" ht="43.5" x14ac:dyDescent="0.35">
      <c r="A418">
        <v>1417</v>
      </c>
      <c r="B418" t="s">
        <v>2479</v>
      </c>
      <c r="C418" t="s">
        <v>1813</v>
      </c>
      <c r="D418" s="12" t="str">
        <f t="shared" si="13"/>
        <v>1417,'111703','TC0503_5'</v>
      </c>
      <c r="E418" s="12" t="str">
        <f t="shared" si="12"/>
        <v>INSERT INTO grupos (id,matricula,grupo) values (1417,'111703','TC0503_5');</v>
      </c>
    </row>
    <row r="419" spans="1:5" ht="43.5" x14ac:dyDescent="0.35">
      <c r="A419">
        <v>1418</v>
      </c>
      <c r="B419" t="s">
        <v>2480</v>
      </c>
      <c r="C419" t="s">
        <v>1770</v>
      </c>
      <c r="D419" s="12" t="str">
        <f t="shared" si="13"/>
        <v>1418,'111722','AUTO 5°'</v>
      </c>
      <c r="E419" s="12" t="str">
        <f t="shared" si="12"/>
        <v>INSERT INTO grupos (id,matricula,grupo) values (1418,'111722','AUTO 5°');</v>
      </c>
    </row>
    <row r="420" spans="1:5" ht="43.5" x14ac:dyDescent="0.35">
      <c r="A420">
        <v>1419</v>
      </c>
      <c r="B420" t="s">
        <v>2480</v>
      </c>
      <c r="C420" t="s">
        <v>1823</v>
      </c>
      <c r="D420" s="12" t="str">
        <f t="shared" si="13"/>
        <v>1419,'111722','TC0501_6'</v>
      </c>
      <c r="E420" s="12" t="str">
        <f t="shared" si="12"/>
        <v>INSERT INTO grupos (id,matricula,grupo) values (1419,'111722','TC0501_6');</v>
      </c>
    </row>
    <row r="421" spans="1:5" ht="43.5" x14ac:dyDescent="0.35">
      <c r="A421">
        <v>1420</v>
      </c>
      <c r="B421" t="s">
        <v>2481</v>
      </c>
      <c r="C421" t="s">
        <v>1770</v>
      </c>
      <c r="D421" s="12" t="str">
        <f t="shared" si="13"/>
        <v>1420,'111723','AUTO 5°'</v>
      </c>
      <c r="E421" s="12" t="str">
        <f t="shared" si="12"/>
        <v>INSERT INTO grupos (id,matricula,grupo) values (1420,'111723','AUTO 5°');</v>
      </c>
    </row>
    <row r="422" spans="1:5" ht="43.5" x14ac:dyDescent="0.35">
      <c r="A422">
        <v>1421</v>
      </c>
      <c r="B422" t="s">
        <v>2481</v>
      </c>
      <c r="C422" t="s">
        <v>1813</v>
      </c>
      <c r="D422" s="12" t="str">
        <f t="shared" si="13"/>
        <v>1421,'111723','TC0503_5'</v>
      </c>
      <c r="E422" s="12" t="str">
        <f t="shared" si="12"/>
        <v>INSERT INTO grupos (id,matricula,grupo) values (1421,'111723','TC0503_5');</v>
      </c>
    </row>
    <row r="423" spans="1:5" ht="43.5" x14ac:dyDescent="0.35">
      <c r="A423">
        <v>1422</v>
      </c>
      <c r="B423" t="s">
        <v>2482</v>
      </c>
      <c r="C423" t="s">
        <v>1770</v>
      </c>
      <c r="D423" s="12" t="str">
        <f t="shared" si="13"/>
        <v>1422,'111724','AUTO 5°'</v>
      </c>
      <c r="E423" s="12" t="str">
        <f t="shared" si="12"/>
        <v>INSERT INTO grupos (id,matricula,grupo) values (1422,'111724','AUTO 5°');</v>
      </c>
    </row>
    <row r="424" spans="1:5" ht="43.5" x14ac:dyDescent="0.35">
      <c r="A424">
        <v>1423</v>
      </c>
      <c r="B424" t="s">
        <v>2483</v>
      </c>
      <c r="C424" t="s">
        <v>1767</v>
      </c>
      <c r="D424" s="12" t="str">
        <f t="shared" si="13"/>
        <v>1423,'111726','AERO 5°A'</v>
      </c>
      <c r="E424" s="12" t="str">
        <f t="shared" si="12"/>
        <v>INSERT INTO grupos (id,matricula,grupo) values (1423,'111726','AERO 5°A');</v>
      </c>
    </row>
    <row r="425" spans="1:5" ht="43.5" x14ac:dyDescent="0.35">
      <c r="A425">
        <v>1424</v>
      </c>
      <c r="B425" t="s">
        <v>2484</v>
      </c>
      <c r="C425" t="s">
        <v>1767</v>
      </c>
      <c r="D425" s="12" t="str">
        <f t="shared" si="13"/>
        <v>1424,'111727','AERO 5°A'</v>
      </c>
      <c r="E425" s="12" t="str">
        <f t="shared" si="12"/>
        <v>INSERT INTO grupos (id,matricula,grupo) values (1424,'111727','AERO 5°A');</v>
      </c>
    </row>
    <row r="426" spans="1:5" ht="43.5" x14ac:dyDescent="0.35">
      <c r="A426">
        <v>1425</v>
      </c>
      <c r="B426" t="s">
        <v>2485</v>
      </c>
      <c r="C426" t="s">
        <v>1767</v>
      </c>
      <c r="D426" s="12" t="str">
        <f t="shared" si="13"/>
        <v>1425,'111728','AERO 5°A'</v>
      </c>
      <c r="E426" s="12" t="str">
        <f t="shared" si="12"/>
        <v>INSERT INTO grupos (id,matricula,grupo) values (1425,'111728','AERO 5°A');</v>
      </c>
    </row>
    <row r="427" spans="1:5" ht="43.5" x14ac:dyDescent="0.35">
      <c r="A427">
        <v>1426</v>
      </c>
      <c r="B427" t="s">
        <v>2485</v>
      </c>
      <c r="C427" t="s">
        <v>1818</v>
      </c>
      <c r="D427" s="12" t="str">
        <f t="shared" si="13"/>
        <v>1426,'111728','TC0501_1'</v>
      </c>
      <c r="E427" s="12" t="str">
        <f t="shared" si="12"/>
        <v>INSERT INTO grupos (id,matricula,grupo) values (1426,'111728','TC0501_1');</v>
      </c>
    </row>
    <row r="428" spans="1:5" ht="43.5" x14ac:dyDescent="0.35">
      <c r="A428">
        <v>1427</v>
      </c>
      <c r="B428" t="s">
        <v>2485</v>
      </c>
      <c r="C428" t="s">
        <v>1809</v>
      </c>
      <c r="D428" s="12" t="str">
        <f t="shared" si="13"/>
        <v>1427,'111728','TC0503_1'</v>
      </c>
      <c r="E428" s="12" t="str">
        <f t="shared" si="12"/>
        <v>INSERT INTO grupos (id,matricula,grupo) values (1427,'111728','TC0503_1');</v>
      </c>
    </row>
    <row r="429" spans="1:5" ht="43.5" x14ac:dyDescent="0.35">
      <c r="A429">
        <v>1428</v>
      </c>
      <c r="B429" t="s">
        <v>2486</v>
      </c>
      <c r="C429" t="s">
        <v>1769</v>
      </c>
      <c r="D429" s="12" t="str">
        <f t="shared" si="13"/>
        <v>1428,'111729','AERO 5°B'</v>
      </c>
      <c r="E429" s="12" t="str">
        <f t="shared" si="12"/>
        <v>INSERT INTO grupos (id,matricula,grupo) values (1428,'111729','AERO 5°B');</v>
      </c>
    </row>
    <row r="430" spans="1:5" ht="43.5" x14ac:dyDescent="0.35">
      <c r="A430">
        <v>1429</v>
      </c>
      <c r="B430" t="s">
        <v>2486</v>
      </c>
      <c r="C430" t="s">
        <v>1818</v>
      </c>
      <c r="D430" s="12" t="str">
        <f t="shared" si="13"/>
        <v>1429,'111729','TC0501_1'</v>
      </c>
      <c r="E430" s="12" t="str">
        <f t="shared" si="12"/>
        <v>INSERT INTO grupos (id,matricula,grupo) values (1429,'111729','TC0501_1');</v>
      </c>
    </row>
    <row r="431" spans="1:5" ht="43.5" x14ac:dyDescent="0.35">
      <c r="A431">
        <v>1430</v>
      </c>
      <c r="B431" t="s">
        <v>2486</v>
      </c>
      <c r="C431" t="s">
        <v>1809</v>
      </c>
      <c r="D431" s="12" t="str">
        <f t="shared" si="13"/>
        <v>1430,'111729','TC0503_1'</v>
      </c>
      <c r="E431" s="12" t="str">
        <f t="shared" si="12"/>
        <v>INSERT INTO grupos (id,matricula,grupo) values (1430,'111729','TC0503_1');</v>
      </c>
    </row>
    <row r="432" spans="1:5" ht="43.5" x14ac:dyDescent="0.35">
      <c r="A432">
        <v>1431</v>
      </c>
      <c r="B432" t="s">
        <v>2487</v>
      </c>
      <c r="C432" t="s">
        <v>1757</v>
      </c>
      <c r="D432" s="12" t="str">
        <f t="shared" si="13"/>
        <v>1431,'111731','ANIM 5°'</v>
      </c>
      <c r="E432" s="12" t="str">
        <f t="shared" si="12"/>
        <v>INSERT INTO grupos (id,matricula,grupo) values (1431,'111731','ANIM 5°');</v>
      </c>
    </row>
    <row r="433" spans="1:5" ht="43.5" x14ac:dyDescent="0.35">
      <c r="A433">
        <v>1432</v>
      </c>
      <c r="B433" t="s">
        <v>2488</v>
      </c>
      <c r="C433" t="s">
        <v>1772</v>
      </c>
      <c r="D433" s="12" t="str">
        <f t="shared" si="13"/>
        <v>1432,'111733','NUT 3°'</v>
      </c>
      <c r="E433" s="12" t="str">
        <f t="shared" si="12"/>
        <v>INSERT INTO grupos (id,matricula,grupo) values (1432,'111733','NUT 3°');</v>
      </c>
    </row>
    <row r="434" spans="1:5" ht="43.5" x14ac:dyDescent="0.35">
      <c r="A434">
        <v>1433</v>
      </c>
      <c r="B434" t="s">
        <v>2488</v>
      </c>
      <c r="C434" t="s">
        <v>1837</v>
      </c>
      <c r="D434" s="12" t="str">
        <f t="shared" si="13"/>
        <v>1433,'111733','TC0302_2'</v>
      </c>
      <c r="E434" s="12" t="str">
        <f t="shared" si="12"/>
        <v>INSERT INTO grupos (id,matricula,grupo) values (1433,'111733','TC0302_2');</v>
      </c>
    </row>
    <row r="435" spans="1:5" ht="43.5" x14ac:dyDescent="0.35">
      <c r="A435">
        <v>1434</v>
      </c>
      <c r="B435" t="s">
        <v>2489</v>
      </c>
      <c r="C435" t="s">
        <v>1756</v>
      </c>
      <c r="D435" s="12" t="str">
        <f t="shared" si="13"/>
        <v>1434,'111735','NUT 5°'</v>
      </c>
      <c r="E435" s="12" t="str">
        <f t="shared" si="12"/>
        <v>INSERT INTO grupos (id,matricula,grupo) values (1434,'111735','NUT 5°');</v>
      </c>
    </row>
    <row r="436" spans="1:5" ht="43.5" x14ac:dyDescent="0.35">
      <c r="A436">
        <v>1435</v>
      </c>
      <c r="B436" t="s">
        <v>2490</v>
      </c>
      <c r="C436" t="s">
        <v>1757</v>
      </c>
      <c r="D436" s="12" t="str">
        <f t="shared" si="13"/>
        <v>1435,'111737','ANIM 5°'</v>
      </c>
      <c r="E436" s="12" t="str">
        <f t="shared" si="12"/>
        <v>INSERT INTO grupos (id,matricula,grupo) values (1435,'111737','ANIM 5°');</v>
      </c>
    </row>
    <row r="437" spans="1:5" ht="43.5" x14ac:dyDescent="0.35">
      <c r="A437">
        <v>1436</v>
      </c>
      <c r="B437" t="s">
        <v>2490</v>
      </c>
      <c r="C437" t="s">
        <v>1813</v>
      </c>
      <c r="D437" s="12" t="str">
        <f t="shared" si="13"/>
        <v>1436,'111737','TC0503_5'</v>
      </c>
      <c r="E437" s="12" t="str">
        <f t="shared" si="12"/>
        <v>INSERT INTO grupos (id,matricula,grupo) values (1436,'111737','TC0503_5');</v>
      </c>
    </row>
    <row r="438" spans="1:5" ht="43.5" x14ac:dyDescent="0.35">
      <c r="A438">
        <v>1437</v>
      </c>
      <c r="B438" t="s">
        <v>2491</v>
      </c>
      <c r="C438" t="s">
        <v>1770</v>
      </c>
      <c r="D438" s="12" t="str">
        <f t="shared" si="13"/>
        <v>1437,'111739','AUTO 5°'</v>
      </c>
      <c r="E438" s="12" t="str">
        <f t="shared" si="12"/>
        <v>INSERT INTO grupos (id,matricula,grupo) values (1437,'111739','AUTO 5°');</v>
      </c>
    </row>
    <row r="439" spans="1:5" ht="43.5" x14ac:dyDescent="0.35">
      <c r="A439">
        <v>1438</v>
      </c>
      <c r="B439" t="s">
        <v>2492</v>
      </c>
      <c r="C439" t="s">
        <v>1769</v>
      </c>
      <c r="D439" s="12" t="str">
        <f t="shared" si="13"/>
        <v>1438,'111740','AERO 5°B'</v>
      </c>
      <c r="E439" s="12" t="str">
        <f t="shared" si="12"/>
        <v>INSERT INTO grupos (id,matricula,grupo) values (1438,'111740','AERO 5°B');</v>
      </c>
    </row>
    <row r="440" spans="1:5" ht="43.5" x14ac:dyDescent="0.35">
      <c r="A440">
        <v>1439</v>
      </c>
      <c r="B440" t="s">
        <v>2493</v>
      </c>
      <c r="C440" t="s">
        <v>1771</v>
      </c>
      <c r="D440" s="12" t="str">
        <f t="shared" si="13"/>
        <v>1439,'111741','IA 5°'</v>
      </c>
      <c r="E440" s="12" t="str">
        <f t="shared" si="12"/>
        <v>INSERT INTO grupos (id,matricula,grupo) values (1439,'111741','IA 5°');</v>
      </c>
    </row>
    <row r="441" spans="1:5" ht="43.5" x14ac:dyDescent="0.35">
      <c r="A441">
        <v>1440</v>
      </c>
      <c r="B441" t="s">
        <v>2494</v>
      </c>
      <c r="C441" t="s">
        <v>1756</v>
      </c>
      <c r="D441" s="12" t="str">
        <f t="shared" si="13"/>
        <v>1440,'111742','NUT 5°'</v>
      </c>
      <c r="E441" s="12" t="str">
        <f t="shared" si="12"/>
        <v>INSERT INTO grupos (id,matricula,grupo) values (1440,'111742','NUT 5°');</v>
      </c>
    </row>
    <row r="442" spans="1:5" ht="43.5" x14ac:dyDescent="0.35">
      <c r="A442">
        <v>1441</v>
      </c>
      <c r="B442" t="s">
        <v>2495</v>
      </c>
      <c r="C442" t="s">
        <v>1769</v>
      </c>
      <c r="D442" s="12" t="str">
        <f t="shared" si="13"/>
        <v>1441,'111743','AERO 5°B'</v>
      </c>
      <c r="E442" s="12" t="str">
        <f t="shared" si="12"/>
        <v>INSERT INTO grupos (id,matricula,grupo) values (1441,'111743','AERO 5°B');</v>
      </c>
    </row>
    <row r="443" spans="1:5" ht="43.5" x14ac:dyDescent="0.35">
      <c r="A443">
        <v>1442</v>
      </c>
      <c r="B443" t="s">
        <v>2496</v>
      </c>
      <c r="C443" t="s">
        <v>1770</v>
      </c>
      <c r="D443" s="12" t="str">
        <f t="shared" si="13"/>
        <v>1442,'111744','AUTO 5°'</v>
      </c>
      <c r="E443" s="12" t="str">
        <f t="shared" si="12"/>
        <v>INSERT INTO grupos (id,matricula,grupo) values (1442,'111744','AUTO 5°');</v>
      </c>
    </row>
    <row r="444" spans="1:5" ht="43.5" x14ac:dyDescent="0.35">
      <c r="A444">
        <v>1443</v>
      </c>
      <c r="B444" t="s">
        <v>2497</v>
      </c>
      <c r="C444" t="s">
        <v>1773</v>
      </c>
      <c r="D444" s="12" t="str">
        <f t="shared" si="13"/>
        <v>1443,'111745','AUTO 1° B'</v>
      </c>
      <c r="E444" s="12" t="str">
        <f t="shared" si="12"/>
        <v>INSERT INTO grupos (id,matricula,grupo) values (1443,'111745','AUTO 1° B');</v>
      </c>
    </row>
    <row r="445" spans="1:5" ht="43.5" x14ac:dyDescent="0.35">
      <c r="A445">
        <v>1444</v>
      </c>
      <c r="B445" t="s">
        <v>2497</v>
      </c>
      <c r="C445" t="s">
        <v>2498</v>
      </c>
      <c r="D445" s="12" t="str">
        <f t="shared" si="13"/>
        <v>1444,'111745','TC0102_4'</v>
      </c>
      <c r="E445" s="12" t="str">
        <f t="shared" si="12"/>
        <v>INSERT INTO grupos (id,matricula,grupo) values (1444,'111745','TC0102_4');</v>
      </c>
    </row>
    <row r="446" spans="1:5" ht="43.5" x14ac:dyDescent="0.35">
      <c r="A446">
        <v>1445</v>
      </c>
      <c r="B446" t="s">
        <v>2497</v>
      </c>
      <c r="C446" t="s">
        <v>1808</v>
      </c>
      <c r="D446" s="12" t="str">
        <f t="shared" si="13"/>
        <v>1445,'111745','TC0103_2'</v>
      </c>
      <c r="E446" s="12" t="str">
        <f t="shared" si="12"/>
        <v>INSERT INTO grupos (id,matricula,grupo) values (1445,'111745','TC0103_2');</v>
      </c>
    </row>
    <row r="447" spans="1:5" ht="43.5" x14ac:dyDescent="0.35">
      <c r="A447">
        <v>1446</v>
      </c>
      <c r="B447" t="s">
        <v>2499</v>
      </c>
      <c r="C447" t="s">
        <v>1767</v>
      </c>
      <c r="D447" s="12" t="str">
        <f t="shared" si="13"/>
        <v>1446,'111746','AERO 5°A'</v>
      </c>
      <c r="E447" s="12" t="str">
        <f t="shared" si="12"/>
        <v>INSERT INTO grupos (id,matricula,grupo) values (1446,'111746','AERO 5°A');</v>
      </c>
    </row>
    <row r="448" spans="1:5" ht="43.5" x14ac:dyDescent="0.35">
      <c r="A448">
        <v>1447</v>
      </c>
      <c r="B448" t="s">
        <v>2499</v>
      </c>
      <c r="C448" t="s">
        <v>1818</v>
      </c>
      <c r="D448" s="12" t="str">
        <f t="shared" si="13"/>
        <v>1447,'111746','TC0501_1'</v>
      </c>
      <c r="E448" s="12" t="str">
        <f t="shared" si="12"/>
        <v>INSERT INTO grupos (id,matricula,grupo) values (1447,'111746','TC0501_1');</v>
      </c>
    </row>
    <row r="449" spans="1:5" ht="43.5" x14ac:dyDescent="0.35">
      <c r="A449">
        <v>1448</v>
      </c>
      <c r="B449" t="s">
        <v>2499</v>
      </c>
      <c r="C449" t="s">
        <v>1809</v>
      </c>
      <c r="D449" s="12" t="str">
        <f t="shared" si="13"/>
        <v>1448,'111746','TC0503_1'</v>
      </c>
      <c r="E449" s="12" t="str">
        <f t="shared" si="12"/>
        <v>INSERT INTO grupos (id,matricula,grupo) values (1448,'111746','TC0503_1');</v>
      </c>
    </row>
    <row r="450" spans="1:5" ht="43.5" x14ac:dyDescent="0.35">
      <c r="A450">
        <v>1449</v>
      </c>
      <c r="B450" t="s">
        <v>2500</v>
      </c>
      <c r="C450" t="s">
        <v>1770</v>
      </c>
      <c r="D450" s="12" t="str">
        <f t="shared" si="13"/>
        <v>1449,'111747','AUTO 5°'</v>
      </c>
      <c r="E450" s="12" t="str">
        <f t="shared" ref="E450:E513" si="14">CONCATENATE($D$1,D450,");")</f>
        <v>INSERT INTO grupos (id,matricula,grupo) values (1449,'111747','AUTO 5°');</v>
      </c>
    </row>
    <row r="451" spans="1:5" ht="43.5" x14ac:dyDescent="0.35">
      <c r="A451">
        <v>1450</v>
      </c>
      <c r="B451" t="s">
        <v>2500</v>
      </c>
      <c r="C451" t="s">
        <v>1813</v>
      </c>
      <c r="D451" s="12" t="str">
        <f t="shared" ref="D451:D514" si="15">CONCATENATE(A451,",'",TRIM(B451),"','",C451,"'")</f>
        <v>1450,'111747','TC0503_5'</v>
      </c>
      <c r="E451" s="12" t="str">
        <f t="shared" si="14"/>
        <v>INSERT INTO grupos (id,matricula,grupo) values (1450,'111747','TC0503_5');</v>
      </c>
    </row>
    <row r="452" spans="1:5" ht="43.5" x14ac:dyDescent="0.35">
      <c r="A452">
        <v>1451</v>
      </c>
      <c r="B452" t="s">
        <v>2501</v>
      </c>
      <c r="C452" t="s">
        <v>1770</v>
      </c>
      <c r="D452" s="12" t="str">
        <f t="shared" si="15"/>
        <v>1451,'111748','AUTO 5°'</v>
      </c>
      <c r="E452" s="12" t="str">
        <f t="shared" si="14"/>
        <v>INSERT INTO grupos (id,matricula,grupo) values (1451,'111748','AUTO 5°');</v>
      </c>
    </row>
    <row r="453" spans="1:5" ht="43.5" x14ac:dyDescent="0.35">
      <c r="A453">
        <v>1452</v>
      </c>
      <c r="B453" t="s">
        <v>2501</v>
      </c>
      <c r="C453" t="s">
        <v>1823</v>
      </c>
      <c r="D453" s="12" t="str">
        <f t="shared" si="15"/>
        <v>1452,'111748','TC0501_6'</v>
      </c>
      <c r="E453" s="12" t="str">
        <f t="shared" si="14"/>
        <v>INSERT INTO grupos (id,matricula,grupo) values (1452,'111748','TC0501_6');</v>
      </c>
    </row>
    <row r="454" spans="1:5" ht="43.5" x14ac:dyDescent="0.35">
      <c r="A454">
        <v>1453</v>
      </c>
      <c r="B454" t="s">
        <v>2502</v>
      </c>
      <c r="C454" t="s">
        <v>1769</v>
      </c>
      <c r="D454" s="12" t="str">
        <f t="shared" si="15"/>
        <v>1453,'111749','AERO 5°B'</v>
      </c>
      <c r="E454" s="12" t="str">
        <f t="shared" si="14"/>
        <v>INSERT INTO grupos (id,matricula,grupo) values (1453,'111749','AERO 5°B');</v>
      </c>
    </row>
    <row r="455" spans="1:5" ht="43.5" x14ac:dyDescent="0.35">
      <c r="A455">
        <v>1454</v>
      </c>
      <c r="B455" t="s">
        <v>2503</v>
      </c>
      <c r="C455" t="s">
        <v>1767</v>
      </c>
      <c r="D455" s="12" t="str">
        <f t="shared" si="15"/>
        <v>1454,'111750','AERO 5°A'</v>
      </c>
      <c r="E455" s="12" t="str">
        <f t="shared" si="14"/>
        <v>INSERT INTO grupos (id,matricula,grupo) values (1454,'111750','AERO 5°A');</v>
      </c>
    </row>
    <row r="456" spans="1:5" ht="43.5" x14ac:dyDescent="0.35">
      <c r="A456">
        <v>1455</v>
      </c>
      <c r="B456" t="s">
        <v>2503</v>
      </c>
      <c r="C456" t="s">
        <v>1818</v>
      </c>
      <c r="D456" s="12" t="str">
        <f t="shared" si="15"/>
        <v>1455,'111750','TC0501_1'</v>
      </c>
      <c r="E456" s="12" t="str">
        <f t="shared" si="14"/>
        <v>INSERT INTO grupos (id,matricula,grupo) values (1455,'111750','TC0501_1');</v>
      </c>
    </row>
    <row r="457" spans="1:5" ht="43.5" x14ac:dyDescent="0.35">
      <c r="A457">
        <v>1456</v>
      </c>
      <c r="B457" t="s">
        <v>2503</v>
      </c>
      <c r="C457" t="s">
        <v>1809</v>
      </c>
      <c r="D457" s="12" t="str">
        <f t="shared" si="15"/>
        <v>1456,'111750','TC0503_1'</v>
      </c>
      <c r="E457" s="12" t="str">
        <f t="shared" si="14"/>
        <v>INSERT INTO grupos (id,matricula,grupo) values (1456,'111750','TC0503_1');</v>
      </c>
    </row>
    <row r="458" spans="1:5" ht="43.5" x14ac:dyDescent="0.35">
      <c r="A458">
        <v>1457</v>
      </c>
      <c r="B458" t="s">
        <v>2504</v>
      </c>
      <c r="C458" t="s">
        <v>1770</v>
      </c>
      <c r="D458" s="12" t="str">
        <f t="shared" si="15"/>
        <v>1457,'111751','AUTO 5°'</v>
      </c>
      <c r="E458" s="12" t="str">
        <f t="shared" si="14"/>
        <v>INSERT INTO grupos (id,matricula,grupo) values (1457,'111751','AUTO 5°');</v>
      </c>
    </row>
    <row r="459" spans="1:5" ht="43.5" x14ac:dyDescent="0.35">
      <c r="A459">
        <v>1458</v>
      </c>
      <c r="B459" t="s">
        <v>2505</v>
      </c>
      <c r="C459" t="s">
        <v>1769</v>
      </c>
      <c r="D459" s="12" t="str">
        <f t="shared" si="15"/>
        <v>1458,'111752','AERO 5°B'</v>
      </c>
      <c r="E459" s="12" t="str">
        <f t="shared" si="14"/>
        <v>INSERT INTO grupos (id,matricula,grupo) values (1458,'111752','AERO 5°B');</v>
      </c>
    </row>
    <row r="460" spans="1:5" ht="43.5" x14ac:dyDescent="0.35">
      <c r="A460">
        <v>1459</v>
      </c>
      <c r="B460" t="s">
        <v>2506</v>
      </c>
      <c r="C460" t="s">
        <v>1767</v>
      </c>
      <c r="D460" s="12" t="str">
        <f t="shared" si="15"/>
        <v>1459,'111753','AERO 5°A'</v>
      </c>
      <c r="E460" s="12" t="str">
        <f t="shared" si="14"/>
        <v>INSERT INTO grupos (id,matricula,grupo) values (1459,'111753','AERO 5°A');</v>
      </c>
    </row>
    <row r="461" spans="1:5" ht="43.5" x14ac:dyDescent="0.35">
      <c r="A461">
        <v>1460</v>
      </c>
      <c r="B461" t="s">
        <v>2507</v>
      </c>
      <c r="C461" t="s">
        <v>1767</v>
      </c>
      <c r="D461" s="12" t="str">
        <f t="shared" si="15"/>
        <v>1460,'111755','AERO 5°A'</v>
      </c>
      <c r="E461" s="12" t="str">
        <f t="shared" si="14"/>
        <v>INSERT INTO grupos (id,matricula,grupo) values (1460,'111755','AERO 5°A');</v>
      </c>
    </row>
    <row r="462" spans="1:5" ht="43.5" x14ac:dyDescent="0.35">
      <c r="A462">
        <v>1461</v>
      </c>
      <c r="B462" t="s">
        <v>2508</v>
      </c>
      <c r="C462" t="s">
        <v>1770</v>
      </c>
      <c r="D462" s="12" t="str">
        <f t="shared" si="15"/>
        <v>1461,'111756','AUTO 5°'</v>
      </c>
      <c r="E462" s="12" t="str">
        <f t="shared" si="14"/>
        <v>INSERT INTO grupos (id,matricula,grupo) values (1461,'111756','AUTO 5°');</v>
      </c>
    </row>
    <row r="463" spans="1:5" ht="43.5" x14ac:dyDescent="0.35">
      <c r="A463">
        <v>1462</v>
      </c>
      <c r="B463" t="s">
        <v>2508</v>
      </c>
      <c r="C463" t="s">
        <v>1813</v>
      </c>
      <c r="D463" s="12" t="str">
        <f t="shared" si="15"/>
        <v>1462,'111756','TC0503_5'</v>
      </c>
      <c r="E463" s="12" t="str">
        <f t="shared" si="14"/>
        <v>INSERT INTO grupos (id,matricula,grupo) values (1462,'111756','TC0503_5');</v>
      </c>
    </row>
    <row r="464" spans="1:5" ht="43.5" x14ac:dyDescent="0.35">
      <c r="A464">
        <v>1463</v>
      </c>
      <c r="B464" t="s">
        <v>2509</v>
      </c>
      <c r="C464" t="s">
        <v>1769</v>
      </c>
      <c r="D464" s="12" t="str">
        <f t="shared" si="15"/>
        <v>1463,'111757','AERO 5°B'</v>
      </c>
      <c r="E464" s="12" t="str">
        <f t="shared" si="14"/>
        <v>INSERT INTO grupos (id,matricula,grupo) values (1463,'111757','AERO 5°B');</v>
      </c>
    </row>
    <row r="465" spans="1:5" ht="43.5" x14ac:dyDescent="0.35">
      <c r="A465">
        <v>1464</v>
      </c>
      <c r="B465" t="s">
        <v>2510</v>
      </c>
      <c r="C465" t="s">
        <v>1767</v>
      </c>
      <c r="D465" s="12" t="str">
        <f t="shared" si="15"/>
        <v>1464,'111759','AERO 5°A'</v>
      </c>
      <c r="E465" s="12" t="str">
        <f t="shared" si="14"/>
        <v>INSERT INTO grupos (id,matricula,grupo) values (1464,'111759','AERO 5°A');</v>
      </c>
    </row>
    <row r="466" spans="1:5" ht="43.5" x14ac:dyDescent="0.35">
      <c r="A466">
        <v>1465</v>
      </c>
      <c r="B466" t="s">
        <v>2511</v>
      </c>
      <c r="C466" t="s">
        <v>1749</v>
      </c>
      <c r="D466" s="12" t="str">
        <f t="shared" si="15"/>
        <v>1465,'111760','PSI 5°'</v>
      </c>
      <c r="E466" s="12" t="str">
        <f t="shared" si="14"/>
        <v>INSERT INTO grupos (id,matricula,grupo) values (1465,'111760','PSI 5°');</v>
      </c>
    </row>
    <row r="467" spans="1:5" ht="43.5" x14ac:dyDescent="0.35">
      <c r="A467">
        <v>1466</v>
      </c>
      <c r="B467" t="s">
        <v>2511</v>
      </c>
      <c r="C467" t="s">
        <v>1813</v>
      </c>
      <c r="D467" s="12" t="str">
        <f t="shared" si="15"/>
        <v>1466,'111760','TC0503_5'</v>
      </c>
      <c r="E467" s="12" t="str">
        <f t="shared" si="14"/>
        <v>INSERT INTO grupos (id,matricula,grupo) values (1466,'111760','TC0503_5');</v>
      </c>
    </row>
    <row r="468" spans="1:5" ht="43.5" x14ac:dyDescent="0.35">
      <c r="A468">
        <v>1467</v>
      </c>
      <c r="B468" t="s">
        <v>2512</v>
      </c>
      <c r="C468" t="s">
        <v>1749</v>
      </c>
      <c r="D468" s="12" t="str">
        <f t="shared" si="15"/>
        <v>1467,'111761','PSI 5°'</v>
      </c>
      <c r="E468" s="12" t="str">
        <f t="shared" si="14"/>
        <v>INSERT INTO grupos (id,matricula,grupo) values (1467,'111761','PSI 5°');</v>
      </c>
    </row>
    <row r="469" spans="1:5" ht="43.5" x14ac:dyDescent="0.35">
      <c r="A469">
        <v>1468</v>
      </c>
      <c r="B469" t="s">
        <v>2512</v>
      </c>
      <c r="C469" t="s">
        <v>1813</v>
      </c>
      <c r="D469" s="12" t="str">
        <f t="shared" si="15"/>
        <v>1468,'111761','TC0503_5'</v>
      </c>
      <c r="E469" s="12" t="str">
        <f t="shared" si="14"/>
        <v>INSERT INTO grupos (id,matricula,grupo) values (1468,'111761','TC0503_5');</v>
      </c>
    </row>
    <row r="470" spans="1:5" ht="43.5" x14ac:dyDescent="0.35">
      <c r="A470">
        <v>1469</v>
      </c>
      <c r="B470" t="s">
        <v>2513</v>
      </c>
      <c r="C470" t="s">
        <v>1769</v>
      </c>
      <c r="D470" s="12" t="str">
        <f t="shared" si="15"/>
        <v>1469,'111762','AERO 5°B'</v>
      </c>
      <c r="E470" s="12" t="str">
        <f t="shared" si="14"/>
        <v>INSERT INTO grupos (id,matricula,grupo) values (1469,'111762','AERO 5°B');</v>
      </c>
    </row>
    <row r="471" spans="1:5" ht="43.5" x14ac:dyDescent="0.35">
      <c r="A471">
        <v>1470</v>
      </c>
      <c r="B471" t="s">
        <v>2514</v>
      </c>
      <c r="C471" t="s">
        <v>1767</v>
      </c>
      <c r="D471" s="12" t="str">
        <f t="shared" si="15"/>
        <v>1470,'111763','AERO 5°A'</v>
      </c>
      <c r="E471" s="12" t="str">
        <f t="shared" si="14"/>
        <v>INSERT INTO grupos (id,matricula,grupo) values (1470,'111763','AERO 5°A');</v>
      </c>
    </row>
    <row r="472" spans="1:5" ht="43.5" x14ac:dyDescent="0.35">
      <c r="A472">
        <v>1471</v>
      </c>
      <c r="B472" t="s">
        <v>2515</v>
      </c>
      <c r="C472" t="s">
        <v>1768</v>
      </c>
      <c r="D472" s="12" t="str">
        <f t="shared" si="15"/>
        <v>1471,'111764','ADMON 5°'</v>
      </c>
      <c r="E472" s="12" t="str">
        <f t="shared" si="14"/>
        <v>INSERT INTO grupos (id,matricula,grupo) values (1471,'111764','ADMON 5°');</v>
      </c>
    </row>
    <row r="473" spans="1:5" ht="43.5" x14ac:dyDescent="0.35">
      <c r="A473">
        <v>1472</v>
      </c>
      <c r="B473" t="s">
        <v>2515</v>
      </c>
      <c r="C473" t="s">
        <v>1818</v>
      </c>
      <c r="D473" s="12" t="str">
        <f t="shared" si="15"/>
        <v>1472,'111764','TC0501_1'</v>
      </c>
      <c r="E473" s="12" t="str">
        <f t="shared" si="14"/>
        <v>INSERT INTO grupos (id,matricula,grupo) values (1472,'111764','TC0501_1');</v>
      </c>
    </row>
    <row r="474" spans="1:5" ht="43.5" x14ac:dyDescent="0.35">
      <c r="A474">
        <v>1473</v>
      </c>
      <c r="B474" t="s">
        <v>2515</v>
      </c>
      <c r="C474" t="s">
        <v>1809</v>
      </c>
      <c r="D474" s="12" t="str">
        <f t="shared" si="15"/>
        <v>1473,'111764','TC0503_1'</v>
      </c>
      <c r="E474" s="12" t="str">
        <f t="shared" si="14"/>
        <v>INSERT INTO grupos (id,matricula,grupo) values (1473,'111764','TC0503_1');</v>
      </c>
    </row>
    <row r="475" spans="1:5" ht="43.5" x14ac:dyDescent="0.35">
      <c r="A475">
        <v>1474</v>
      </c>
      <c r="B475" t="s">
        <v>2516</v>
      </c>
      <c r="C475" t="s">
        <v>1756</v>
      </c>
      <c r="D475" s="12" t="str">
        <f t="shared" si="15"/>
        <v>1474,'111765','NUT 5°'</v>
      </c>
      <c r="E475" s="12" t="str">
        <f t="shared" si="14"/>
        <v>INSERT INTO grupos (id,matricula,grupo) values (1474,'111765','NUT 5°');</v>
      </c>
    </row>
    <row r="476" spans="1:5" ht="43.5" x14ac:dyDescent="0.35">
      <c r="A476">
        <v>1475</v>
      </c>
      <c r="B476" t="s">
        <v>2516</v>
      </c>
      <c r="C476" t="s">
        <v>1818</v>
      </c>
      <c r="D476" s="12" t="str">
        <f t="shared" si="15"/>
        <v>1475,'111765','TC0501_1'</v>
      </c>
      <c r="E476" s="12" t="str">
        <f t="shared" si="14"/>
        <v>INSERT INTO grupos (id,matricula,grupo) values (1475,'111765','TC0501_1');</v>
      </c>
    </row>
    <row r="477" spans="1:5" ht="43.5" x14ac:dyDescent="0.35">
      <c r="A477">
        <v>1476</v>
      </c>
      <c r="B477" t="s">
        <v>2517</v>
      </c>
      <c r="C477" t="s">
        <v>1757</v>
      </c>
      <c r="D477" s="12" t="str">
        <f t="shared" si="15"/>
        <v>1476,'111766','ANIM 5°'</v>
      </c>
      <c r="E477" s="12" t="str">
        <f t="shared" si="14"/>
        <v>INSERT INTO grupos (id,matricula,grupo) values (1476,'111766','ANIM 5°');</v>
      </c>
    </row>
    <row r="478" spans="1:5" ht="43.5" x14ac:dyDescent="0.35">
      <c r="A478">
        <v>1477</v>
      </c>
      <c r="B478" t="s">
        <v>2518</v>
      </c>
      <c r="C478" t="s">
        <v>1758</v>
      </c>
      <c r="D478" s="12" t="str">
        <f t="shared" si="15"/>
        <v>1477,'111767','ARQ 5°'</v>
      </c>
      <c r="E478" s="12" t="str">
        <f t="shared" si="14"/>
        <v>INSERT INTO grupos (id,matricula,grupo) values (1477,'111767','ARQ 5°');</v>
      </c>
    </row>
    <row r="479" spans="1:5" ht="43.5" x14ac:dyDescent="0.35">
      <c r="A479">
        <v>1478</v>
      </c>
      <c r="B479" t="s">
        <v>2519</v>
      </c>
      <c r="C479" t="s">
        <v>1767</v>
      </c>
      <c r="D479" s="12" t="str">
        <f t="shared" si="15"/>
        <v>1478,'111768','AERO 5°A'</v>
      </c>
      <c r="E479" s="12" t="str">
        <f t="shared" si="14"/>
        <v>INSERT INTO grupos (id,matricula,grupo) values (1478,'111768','AERO 5°A');</v>
      </c>
    </row>
    <row r="480" spans="1:5" ht="43.5" x14ac:dyDescent="0.35">
      <c r="A480">
        <v>1479</v>
      </c>
      <c r="B480" t="s">
        <v>2519</v>
      </c>
      <c r="C480" t="s">
        <v>1818</v>
      </c>
      <c r="D480" s="12" t="str">
        <f t="shared" si="15"/>
        <v>1479,'111768','TC0501_1'</v>
      </c>
      <c r="E480" s="12" t="str">
        <f t="shared" si="14"/>
        <v>INSERT INTO grupos (id,matricula,grupo) values (1479,'111768','TC0501_1');</v>
      </c>
    </row>
    <row r="481" spans="1:5" ht="43.5" x14ac:dyDescent="0.35">
      <c r="A481">
        <v>1480</v>
      </c>
      <c r="B481" t="s">
        <v>2519</v>
      </c>
      <c r="C481" t="s">
        <v>1809</v>
      </c>
      <c r="D481" s="12" t="str">
        <f t="shared" si="15"/>
        <v>1480,'111768','TC0503_1'</v>
      </c>
      <c r="E481" s="12" t="str">
        <f t="shared" si="14"/>
        <v>INSERT INTO grupos (id,matricula,grupo) values (1480,'111768','TC0503_1');</v>
      </c>
    </row>
    <row r="482" spans="1:5" ht="43.5" x14ac:dyDescent="0.35">
      <c r="A482">
        <v>1481</v>
      </c>
      <c r="B482" t="s">
        <v>2520</v>
      </c>
      <c r="C482" t="s">
        <v>1767</v>
      </c>
      <c r="D482" s="12" t="str">
        <f t="shared" si="15"/>
        <v>1481,'111770','AERO 5°A'</v>
      </c>
      <c r="E482" s="12" t="str">
        <f t="shared" si="14"/>
        <v>INSERT INTO grupos (id,matricula,grupo) values (1481,'111770','AERO 5°A');</v>
      </c>
    </row>
    <row r="483" spans="1:5" ht="43.5" x14ac:dyDescent="0.35">
      <c r="A483">
        <v>1482</v>
      </c>
      <c r="B483" t="s">
        <v>2521</v>
      </c>
      <c r="C483" t="s">
        <v>1770</v>
      </c>
      <c r="D483" s="12" t="str">
        <f t="shared" si="15"/>
        <v>1482,'111771','AUTO 5°'</v>
      </c>
      <c r="E483" s="12" t="str">
        <f t="shared" si="14"/>
        <v>INSERT INTO grupos (id,matricula,grupo) values (1482,'111771','AUTO 5°');</v>
      </c>
    </row>
    <row r="484" spans="1:5" ht="43.5" x14ac:dyDescent="0.35">
      <c r="A484">
        <v>1483</v>
      </c>
      <c r="B484" t="s">
        <v>2522</v>
      </c>
      <c r="C484" t="s">
        <v>1756</v>
      </c>
      <c r="D484" s="12" t="str">
        <f t="shared" si="15"/>
        <v>1483,'111772','NUT 5°'</v>
      </c>
      <c r="E484" s="12" t="str">
        <f t="shared" si="14"/>
        <v>INSERT INTO grupos (id,matricula,grupo) values (1483,'111772','NUT 5°');</v>
      </c>
    </row>
    <row r="485" spans="1:5" ht="43.5" x14ac:dyDescent="0.35">
      <c r="A485">
        <v>1484</v>
      </c>
      <c r="B485" t="s">
        <v>2523</v>
      </c>
      <c r="C485" t="s">
        <v>1768</v>
      </c>
      <c r="D485" s="12" t="str">
        <f t="shared" si="15"/>
        <v>1484,'111773','ADMON 5°'</v>
      </c>
      <c r="E485" s="12" t="str">
        <f t="shared" si="14"/>
        <v>INSERT INTO grupos (id,matricula,grupo) values (1484,'111773','ADMON 5°');</v>
      </c>
    </row>
    <row r="486" spans="1:5" ht="43.5" x14ac:dyDescent="0.35">
      <c r="A486">
        <v>1485</v>
      </c>
      <c r="B486" t="s">
        <v>2524</v>
      </c>
      <c r="C486" t="s">
        <v>1769</v>
      </c>
      <c r="D486" s="12" t="str">
        <f t="shared" si="15"/>
        <v>1485,'111774','AERO 5°B'</v>
      </c>
      <c r="E486" s="12" t="str">
        <f t="shared" si="14"/>
        <v>INSERT INTO grupos (id,matricula,grupo) values (1485,'111774','AERO 5°B');</v>
      </c>
    </row>
    <row r="487" spans="1:5" ht="43.5" x14ac:dyDescent="0.35">
      <c r="A487">
        <v>1486</v>
      </c>
      <c r="B487" t="s">
        <v>2524</v>
      </c>
      <c r="C487" t="s">
        <v>1809</v>
      </c>
      <c r="D487" s="12" t="str">
        <f t="shared" si="15"/>
        <v>1486,'111774','TC0503_1'</v>
      </c>
      <c r="E487" s="12" t="str">
        <f t="shared" si="14"/>
        <v>INSERT INTO grupos (id,matricula,grupo) values (1486,'111774','TC0503_1');</v>
      </c>
    </row>
    <row r="488" spans="1:5" ht="43.5" x14ac:dyDescent="0.35">
      <c r="A488">
        <v>1487</v>
      </c>
      <c r="B488" t="s">
        <v>2525</v>
      </c>
      <c r="C488" t="s">
        <v>1774</v>
      </c>
      <c r="D488" s="12" t="str">
        <f t="shared" si="15"/>
        <v>1487,'111775','AUTO 3° A'</v>
      </c>
      <c r="E488" s="12" t="str">
        <f t="shared" si="14"/>
        <v>INSERT INTO grupos (id,matricula,grupo) values (1487,'111775','AUTO 3° A');</v>
      </c>
    </row>
    <row r="489" spans="1:5" ht="43.5" x14ac:dyDescent="0.35">
      <c r="A489">
        <v>1488</v>
      </c>
      <c r="B489" t="s">
        <v>2525</v>
      </c>
      <c r="C489" t="s">
        <v>1841</v>
      </c>
      <c r="D489" s="12" t="str">
        <f t="shared" si="15"/>
        <v>1488,'111775','TC0302_6'</v>
      </c>
      <c r="E489" s="12" t="str">
        <f t="shared" si="14"/>
        <v>INSERT INTO grupos (id,matricula,grupo) values (1488,'111775','TC0302_6');</v>
      </c>
    </row>
    <row r="490" spans="1:5" ht="43.5" x14ac:dyDescent="0.35">
      <c r="A490">
        <v>1489</v>
      </c>
      <c r="B490" t="s">
        <v>2525</v>
      </c>
      <c r="C490" t="s">
        <v>1849</v>
      </c>
      <c r="D490" s="12" t="str">
        <f t="shared" si="15"/>
        <v>1489,'111775','TC0303_6'</v>
      </c>
      <c r="E490" s="12" t="str">
        <f t="shared" si="14"/>
        <v>INSERT INTO grupos (id,matricula,grupo) values (1489,'111775','TC0303_6');</v>
      </c>
    </row>
    <row r="491" spans="1:5" ht="43.5" x14ac:dyDescent="0.35">
      <c r="A491">
        <v>1490</v>
      </c>
      <c r="B491" t="s">
        <v>2526</v>
      </c>
      <c r="C491" t="s">
        <v>1749</v>
      </c>
      <c r="D491" s="12" t="str">
        <f t="shared" si="15"/>
        <v>1490,'111777','PSI 5°'</v>
      </c>
      <c r="E491" s="12" t="str">
        <f t="shared" si="14"/>
        <v>INSERT INTO grupos (id,matricula,grupo) values (1490,'111777','PSI 5°');</v>
      </c>
    </row>
    <row r="492" spans="1:5" ht="43.5" x14ac:dyDescent="0.35">
      <c r="A492">
        <v>1491</v>
      </c>
      <c r="B492" t="s">
        <v>2526</v>
      </c>
      <c r="C492" t="s">
        <v>1813</v>
      </c>
      <c r="D492" s="12" t="str">
        <f t="shared" si="15"/>
        <v>1491,'111777','TC0503_5'</v>
      </c>
      <c r="E492" s="12" t="str">
        <f t="shared" si="14"/>
        <v>INSERT INTO grupos (id,matricula,grupo) values (1491,'111777','TC0503_5');</v>
      </c>
    </row>
    <row r="493" spans="1:5" ht="43.5" x14ac:dyDescent="0.35">
      <c r="A493">
        <v>1492</v>
      </c>
      <c r="B493" t="s">
        <v>2527</v>
      </c>
      <c r="C493" t="s">
        <v>1768</v>
      </c>
      <c r="D493" s="12" t="str">
        <f t="shared" si="15"/>
        <v>1492,'111778','ADMON 5°'</v>
      </c>
      <c r="E493" s="12" t="str">
        <f t="shared" si="14"/>
        <v>INSERT INTO grupos (id,matricula,grupo) values (1492,'111778','ADMON 5°');</v>
      </c>
    </row>
    <row r="494" spans="1:5" ht="43.5" x14ac:dyDescent="0.35">
      <c r="A494">
        <v>1493</v>
      </c>
      <c r="B494" t="s">
        <v>2528</v>
      </c>
      <c r="C494" t="s">
        <v>1757</v>
      </c>
      <c r="D494" s="12" t="str">
        <f t="shared" si="15"/>
        <v>1493,'111779','ANIM 5°'</v>
      </c>
      <c r="E494" s="12" t="str">
        <f t="shared" si="14"/>
        <v>INSERT INTO grupos (id,matricula,grupo) values (1493,'111779','ANIM 5°');</v>
      </c>
    </row>
    <row r="495" spans="1:5" ht="43.5" x14ac:dyDescent="0.35">
      <c r="A495">
        <v>1494</v>
      </c>
      <c r="B495" t="s">
        <v>2529</v>
      </c>
      <c r="C495" t="s">
        <v>1770</v>
      </c>
      <c r="D495" s="12" t="str">
        <f t="shared" si="15"/>
        <v>1494,'111783','AUTO 5°'</v>
      </c>
      <c r="E495" s="12" t="str">
        <f t="shared" si="14"/>
        <v>INSERT INTO grupos (id,matricula,grupo) values (1494,'111783','AUTO 5°');</v>
      </c>
    </row>
    <row r="496" spans="1:5" ht="43.5" x14ac:dyDescent="0.35">
      <c r="A496">
        <v>1495</v>
      </c>
      <c r="B496" t="s">
        <v>2529</v>
      </c>
      <c r="C496" t="s">
        <v>1813</v>
      </c>
      <c r="D496" s="12" t="str">
        <f t="shared" si="15"/>
        <v>1495,'111783','TC0503_5'</v>
      </c>
      <c r="E496" s="12" t="str">
        <f t="shared" si="14"/>
        <v>INSERT INTO grupos (id,matricula,grupo) values (1495,'111783','TC0503_5');</v>
      </c>
    </row>
    <row r="497" spans="1:5" ht="43.5" x14ac:dyDescent="0.35">
      <c r="A497">
        <v>1496</v>
      </c>
      <c r="B497" t="s">
        <v>2530</v>
      </c>
      <c r="C497" t="s">
        <v>1770</v>
      </c>
      <c r="D497" s="12" t="str">
        <f t="shared" si="15"/>
        <v>1496,'111784','AUTO 5°'</v>
      </c>
      <c r="E497" s="12" t="str">
        <f t="shared" si="14"/>
        <v>INSERT INTO grupos (id,matricula,grupo) values (1496,'111784','AUTO 5°');</v>
      </c>
    </row>
    <row r="498" spans="1:5" ht="43.5" x14ac:dyDescent="0.35">
      <c r="A498">
        <v>1497</v>
      </c>
      <c r="B498" t="s">
        <v>2530</v>
      </c>
      <c r="C498" t="s">
        <v>1813</v>
      </c>
      <c r="D498" s="12" t="str">
        <f t="shared" si="15"/>
        <v>1497,'111784','TC0503_5'</v>
      </c>
      <c r="E498" s="12" t="str">
        <f t="shared" si="14"/>
        <v>INSERT INTO grupos (id,matricula,grupo) values (1497,'111784','TC0503_5');</v>
      </c>
    </row>
    <row r="499" spans="1:5" ht="43.5" x14ac:dyDescent="0.35">
      <c r="A499">
        <v>1498</v>
      </c>
      <c r="B499" t="s">
        <v>2531</v>
      </c>
      <c r="C499" t="s">
        <v>1757</v>
      </c>
      <c r="D499" s="12" t="str">
        <f t="shared" si="15"/>
        <v>1498,'111785','ANIM 5°'</v>
      </c>
      <c r="E499" s="12" t="str">
        <f t="shared" si="14"/>
        <v>INSERT INTO grupos (id,matricula,grupo) values (1498,'111785','ANIM 5°');</v>
      </c>
    </row>
    <row r="500" spans="1:5" ht="43.5" x14ac:dyDescent="0.35">
      <c r="A500">
        <v>1499</v>
      </c>
      <c r="B500" t="s">
        <v>2532</v>
      </c>
      <c r="C500" t="s">
        <v>1770</v>
      </c>
      <c r="D500" s="12" t="str">
        <f t="shared" si="15"/>
        <v>1499,'111787','AUTO 5°'</v>
      </c>
      <c r="E500" s="12" t="str">
        <f t="shared" si="14"/>
        <v>INSERT INTO grupos (id,matricula,grupo) values (1499,'111787','AUTO 5°');</v>
      </c>
    </row>
    <row r="501" spans="1:5" ht="43.5" x14ac:dyDescent="0.35">
      <c r="A501">
        <v>1500</v>
      </c>
      <c r="B501" t="s">
        <v>2532</v>
      </c>
      <c r="C501" t="s">
        <v>1813</v>
      </c>
      <c r="D501" s="12" t="str">
        <f t="shared" si="15"/>
        <v>1500,'111787','TC0503_5'</v>
      </c>
      <c r="E501" s="12" t="str">
        <f t="shared" si="14"/>
        <v>INSERT INTO grupos (id,matricula,grupo) values (1500,'111787','TC0503_5');</v>
      </c>
    </row>
    <row r="502" spans="1:5" ht="43.5" x14ac:dyDescent="0.35">
      <c r="A502">
        <v>1501</v>
      </c>
      <c r="B502" t="s">
        <v>2533</v>
      </c>
      <c r="C502" t="s">
        <v>1749</v>
      </c>
      <c r="D502" s="12" t="str">
        <f t="shared" si="15"/>
        <v>1501,'111788','PSI 5°'</v>
      </c>
      <c r="E502" s="12" t="str">
        <f t="shared" si="14"/>
        <v>INSERT INTO grupos (id,matricula,grupo) values (1501,'111788','PSI 5°');</v>
      </c>
    </row>
    <row r="503" spans="1:5" ht="43.5" x14ac:dyDescent="0.35">
      <c r="A503">
        <v>1502</v>
      </c>
      <c r="B503" t="s">
        <v>2533</v>
      </c>
      <c r="C503" t="s">
        <v>1823</v>
      </c>
      <c r="D503" s="12" t="str">
        <f t="shared" si="15"/>
        <v>1502,'111788','TC0501_6'</v>
      </c>
      <c r="E503" s="12" t="str">
        <f t="shared" si="14"/>
        <v>INSERT INTO grupos (id,matricula,grupo) values (1502,'111788','TC0501_6');</v>
      </c>
    </row>
    <row r="504" spans="1:5" ht="43.5" x14ac:dyDescent="0.35">
      <c r="A504">
        <v>1503</v>
      </c>
      <c r="B504" t="s">
        <v>2534</v>
      </c>
      <c r="C504" t="s">
        <v>1757</v>
      </c>
      <c r="D504" s="12" t="str">
        <f t="shared" si="15"/>
        <v>1503,'111791','ANIM 5°'</v>
      </c>
      <c r="E504" s="12" t="str">
        <f t="shared" si="14"/>
        <v>INSERT INTO grupos (id,matricula,grupo) values (1503,'111791','ANIM 5°');</v>
      </c>
    </row>
    <row r="505" spans="1:5" ht="43.5" x14ac:dyDescent="0.35">
      <c r="A505">
        <v>1504</v>
      </c>
      <c r="B505" t="s">
        <v>2534</v>
      </c>
      <c r="C505" t="s">
        <v>1823</v>
      </c>
      <c r="D505" s="12" t="str">
        <f t="shared" si="15"/>
        <v>1504,'111791','TC0501_6'</v>
      </c>
      <c r="E505" s="12" t="str">
        <f t="shared" si="14"/>
        <v>INSERT INTO grupos (id,matricula,grupo) values (1504,'111791','TC0501_6');</v>
      </c>
    </row>
    <row r="506" spans="1:5" ht="43.5" x14ac:dyDescent="0.35">
      <c r="A506">
        <v>1505</v>
      </c>
      <c r="B506" t="s">
        <v>2535</v>
      </c>
      <c r="C506" t="s">
        <v>1758</v>
      </c>
      <c r="D506" s="12" t="str">
        <f t="shared" si="15"/>
        <v>1505,'111792','ARQ 5°'</v>
      </c>
      <c r="E506" s="12" t="str">
        <f t="shared" si="14"/>
        <v>INSERT INTO grupos (id,matricula,grupo) values (1505,'111792','ARQ 5°');</v>
      </c>
    </row>
    <row r="507" spans="1:5" ht="43.5" x14ac:dyDescent="0.35">
      <c r="A507">
        <v>1506</v>
      </c>
      <c r="B507" t="s">
        <v>2536</v>
      </c>
      <c r="C507" t="s">
        <v>1749</v>
      </c>
      <c r="D507" s="12" t="str">
        <f t="shared" si="15"/>
        <v>1506,'111793','PSI 5°'</v>
      </c>
      <c r="E507" s="12" t="str">
        <f t="shared" si="14"/>
        <v>INSERT INTO grupos (id,matricula,grupo) values (1506,'111793','PSI 5°');</v>
      </c>
    </row>
    <row r="508" spans="1:5" ht="43.5" x14ac:dyDescent="0.35">
      <c r="A508">
        <v>1507</v>
      </c>
      <c r="B508" t="s">
        <v>2537</v>
      </c>
      <c r="C508" t="s">
        <v>1775</v>
      </c>
      <c r="D508" s="12" t="str">
        <f t="shared" si="15"/>
        <v>1507,'111794','AERO 3°B'</v>
      </c>
      <c r="E508" s="12" t="str">
        <f t="shared" si="14"/>
        <v>INSERT INTO grupos (id,matricula,grupo) values (1507,'111794','AERO 3°B');</v>
      </c>
    </row>
    <row r="509" spans="1:5" ht="43.5" x14ac:dyDescent="0.35">
      <c r="A509">
        <v>1508</v>
      </c>
      <c r="B509" t="s">
        <v>2537</v>
      </c>
      <c r="C509" t="s">
        <v>1836</v>
      </c>
      <c r="D509" s="12" t="str">
        <f t="shared" si="15"/>
        <v>1508,'111794','TC0302_1'</v>
      </c>
      <c r="E509" s="12" t="str">
        <f t="shared" si="14"/>
        <v>INSERT INTO grupos (id,matricula,grupo) values (1508,'111794','TC0302_1');</v>
      </c>
    </row>
    <row r="510" spans="1:5" ht="43.5" x14ac:dyDescent="0.35">
      <c r="A510">
        <v>1509</v>
      </c>
      <c r="B510" t="s">
        <v>2537</v>
      </c>
      <c r="C510" t="s">
        <v>1844</v>
      </c>
      <c r="D510" s="12" t="str">
        <f t="shared" si="15"/>
        <v>1509,'111794','TC0303_1'</v>
      </c>
      <c r="E510" s="12" t="str">
        <f t="shared" si="14"/>
        <v>INSERT INTO grupos (id,matricula,grupo) values (1509,'111794','TC0303_1');</v>
      </c>
    </row>
    <row r="511" spans="1:5" ht="43.5" x14ac:dyDescent="0.35">
      <c r="A511">
        <v>1510</v>
      </c>
      <c r="B511" t="s">
        <v>2538</v>
      </c>
      <c r="C511" t="s">
        <v>1749</v>
      </c>
      <c r="D511" s="12" t="str">
        <f t="shared" si="15"/>
        <v>1510,'111795','PSI 5°'</v>
      </c>
      <c r="E511" s="12" t="str">
        <f t="shared" si="14"/>
        <v>INSERT INTO grupos (id,matricula,grupo) values (1510,'111795','PSI 5°');</v>
      </c>
    </row>
    <row r="512" spans="1:5" ht="43.5" x14ac:dyDescent="0.35">
      <c r="A512">
        <v>1511</v>
      </c>
      <c r="B512" t="s">
        <v>2539</v>
      </c>
      <c r="C512" t="s">
        <v>1758</v>
      </c>
      <c r="D512" s="12" t="str">
        <f t="shared" si="15"/>
        <v>1511,'111796','ARQ 5°'</v>
      </c>
      <c r="E512" s="12" t="str">
        <f t="shared" si="14"/>
        <v>INSERT INTO grupos (id,matricula,grupo) values (1511,'111796','ARQ 5°');</v>
      </c>
    </row>
    <row r="513" spans="1:5" ht="43.5" x14ac:dyDescent="0.35">
      <c r="A513">
        <v>1512</v>
      </c>
      <c r="B513" t="s">
        <v>2540</v>
      </c>
      <c r="C513" t="s">
        <v>1770</v>
      </c>
      <c r="D513" s="12" t="str">
        <f t="shared" si="15"/>
        <v>1512,'111797','AUTO 5°'</v>
      </c>
      <c r="E513" s="12" t="str">
        <f t="shared" si="14"/>
        <v>INSERT INTO grupos (id,matricula,grupo) values (1512,'111797','AUTO 5°');</v>
      </c>
    </row>
    <row r="514" spans="1:5" ht="43.5" x14ac:dyDescent="0.35">
      <c r="A514">
        <v>1513</v>
      </c>
      <c r="B514" t="s">
        <v>2540</v>
      </c>
      <c r="C514" t="s">
        <v>1813</v>
      </c>
      <c r="D514" s="12" t="str">
        <f t="shared" si="15"/>
        <v>1513,'111797','TC0503_5'</v>
      </c>
      <c r="E514" s="12" t="str">
        <f t="shared" ref="E514:E577" si="16">CONCATENATE($D$1,D514,");")</f>
        <v>INSERT INTO grupos (id,matricula,grupo) values (1513,'111797','TC0503_5');</v>
      </c>
    </row>
    <row r="515" spans="1:5" ht="43.5" x14ac:dyDescent="0.35">
      <c r="A515">
        <v>1514</v>
      </c>
      <c r="B515" t="s">
        <v>2541</v>
      </c>
      <c r="C515" t="s">
        <v>1758</v>
      </c>
      <c r="D515" s="12" t="str">
        <f t="shared" ref="D515:D578" si="17">CONCATENATE(A515,",'",TRIM(B515),"','",C515,"'")</f>
        <v>1514,'111798','ARQ 5°'</v>
      </c>
      <c r="E515" s="12" t="str">
        <f t="shared" si="16"/>
        <v>INSERT INTO grupos (id,matricula,grupo) values (1514,'111798','ARQ 5°');</v>
      </c>
    </row>
    <row r="516" spans="1:5" ht="43.5" x14ac:dyDescent="0.35">
      <c r="A516">
        <v>1515</v>
      </c>
      <c r="B516" t="s">
        <v>2542</v>
      </c>
      <c r="C516" t="s">
        <v>1770</v>
      </c>
      <c r="D516" s="12" t="str">
        <f t="shared" si="17"/>
        <v>1515,'111800','AUTO 5°'</v>
      </c>
      <c r="E516" s="12" t="str">
        <f t="shared" si="16"/>
        <v>INSERT INTO grupos (id,matricula,grupo) values (1515,'111800','AUTO 5°');</v>
      </c>
    </row>
    <row r="517" spans="1:5" ht="43.5" x14ac:dyDescent="0.35">
      <c r="A517">
        <v>1516</v>
      </c>
      <c r="B517" t="s">
        <v>2542</v>
      </c>
      <c r="C517" t="s">
        <v>1823</v>
      </c>
      <c r="D517" s="12" t="str">
        <f t="shared" si="17"/>
        <v>1516,'111800','TC0501_6'</v>
      </c>
      <c r="E517" s="12" t="str">
        <f t="shared" si="16"/>
        <v>INSERT INTO grupos (id,matricula,grupo) values (1516,'111800','TC0501_6');</v>
      </c>
    </row>
    <row r="518" spans="1:5" ht="43.5" x14ac:dyDescent="0.35">
      <c r="A518">
        <v>1517</v>
      </c>
      <c r="B518" t="s">
        <v>2543</v>
      </c>
      <c r="C518" t="s">
        <v>1770</v>
      </c>
      <c r="D518" s="12" t="str">
        <f t="shared" si="17"/>
        <v>1517,'111802','AUTO 5°'</v>
      </c>
      <c r="E518" s="12" t="str">
        <f t="shared" si="16"/>
        <v>INSERT INTO grupos (id,matricula,grupo) values (1517,'111802','AUTO 5°');</v>
      </c>
    </row>
    <row r="519" spans="1:5" ht="43.5" x14ac:dyDescent="0.35">
      <c r="A519">
        <v>1518</v>
      </c>
      <c r="B519" t="s">
        <v>2543</v>
      </c>
      <c r="C519" t="s">
        <v>1813</v>
      </c>
      <c r="D519" s="12" t="str">
        <f t="shared" si="17"/>
        <v>1518,'111802','TC0503_5'</v>
      </c>
      <c r="E519" s="12" t="str">
        <f t="shared" si="16"/>
        <v>INSERT INTO grupos (id,matricula,grupo) values (1518,'111802','TC0503_5');</v>
      </c>
    </row>
    <row r="520" spans="1:5" ht="43.5" x14ac:dyDescent="0.35">
      <c r="A520">
        <v>1519</v>
      </c>
      <c r="B520" t="s">
        <v>2544</v>
      </c>
      <c r="C520" t="s">
        <v>1756</v>
      </c>
      <c r="D520" s="12" t="str">
        <f t="shared" si="17"/>
        <v>1519,'111804','NUT 5°'</v>
      </c>
      <c r="E520" s="12" t="str">
        <f t="shared" si="16"/>
        <v>INSERT INTO grupos (id,matricula,grupo) values (1519,'111804','NUT 5°');</v>
      </c>
    </row>
    <row r="521" spans="1:5" ht="43.5" x14ac:dyDescent="0.35">
      <c r="A521">
        <v>1520</v>
      </c>
      <c r="B521" t="s">
        <v>2545</v>
      </c>
      <c r="C521" t="s">
        <v>1749</v>
      </c>
      <c r="D521" s="12" t="str">
        <f t="shared" si="17"/>
        <v>1520,'111805','PSI 5°'</v>
      </c>
      <c r="E521" s="12" t="str">
        <f t="shared" si="16"/>
        <v>INSERT INTO grupos (id,matricula,grupo) values (1520,'111805','PSI 5°');</v>
      </c>
    </row>
    <row r="522" spans="1:5" ht="43.5" x14ac:dyDescent="0.35">
      <c r="A522">
        <v>1521</v>
      </c>
      <c r="B522" t="s">
        <v>2546</v>
      </c>
      <c r="C522" t="s">
        <v>1758</v>
      </c>
      <c r="D522" s="12" t="str">
        <f t="shared" si="17"/>
        <v>1521,'111806','ARQ 5°'</v>
      </c>
      <c r="E522" s="12" t="str">
        <f t="shared" si="16"/>
        <v>INSERT INTO grupos (id,matricula,grupo) values (1521,'111806','ARQ 5°');</v>
      </c>
    </row>
    <row r="523" spans="1:5" ht="43.5" x14ac:dyDescent="0.35">
      <c r="A523">
        <v>1522</v>
      </c>
      <c r="B523" t="s">
        <v>2546</v>
      </c>
      <c r="C523" t="s">
        <v>1818</v>
      </c>
      <c r="D523" s="12" t="str">
        <f t="shared" si="17"/>
        <v>1522,'111806','TC0501_1'</v>
      </c>
      <c r="E523" s="12" t="str">
        <f t="shared" si="16"/>
        <v>INSERT INTO grupos (id,matricula,grupo) values (1522,'111806','TC0501_1');</v>
      </c>
    </row>
    <row r="524" spans="1:5" ht="43.5" x14ac:dyDescent="0.35">
      <c r="A524">
        <v>1523</v>
      </c>
      <c r="B524" t="s">
        <v>2546</v>
      </c>
      <c r="C524" t="s">
        <v>1809</v>
      </c>
      <c r="D524" s="12" t="str">
        <f t="shared" si="17"/>
        <v>1523,'111806','TC0503_1'</v>
      </c>
      <c r="E524" s="12" t="str">
        <f t="shared" si="16"/>
        <v>INSERT INTO grupos (id,matricula,grupo) values (1523,'111806','TC0503_1');</v>
      </c>
    </row>
    <row r="525" spans="1:5" ht="43.5" x14ac:dyDescent="0.35">
      <c r="A525">
        <v>1524</v>
      </c>
      <c r="B525" t="s">
        <v>2547</v>
      </c>
      <c r="C525" t="s">
        <v>1756</v>
      </c>
      <c r="D525" s="12" t="str">
        <f t="shared" si="17"/>
        <v>1524,'111807','NUT 5°'</v>
      </c>
      <c r="E525" s="12" t="str">
        <f t="shared" si="16"/>
        <v>INSERT INTO grupos (id,matricula,grupo) values (1524,'111807','NUT 5°');</v>
      </c>
    </row>
    <row r="526" spans="1:5" ht="43.5" x14ac:dyDescent="0.35">
      <c r="A526">
        <v>1525</v>
      </c>
      <c r="B526" t="s">
        <v>2547</v>
      </c>
      <c r="C526" t="s">
        <v>1818</v>
      </c>
      <c r="D526" s="12" t="str">
        <f t="shared" si="17"/>
        <v>1525,'111807','TC0501_1'</v>
      </c>
      <c r="E526" s="12" t="str">
        <f t="shared" si="16"/>
        <v>INSERT INTO grupos (id,matricula,grupo) values (1525,'111807','TC0501_1');</v>
      </c>
    </row>
    <row r="527" spans="1:5" ht="43.5" x14ac:dyDescent="0.35">
      <c r="A527">
        <v>1526</v>
      </c>
      <c r="B527" t="s">
        <v>2547</v>
      </c>
      <c r="C527" t="s">
        <v>1809</v>
      </c>
      <c r="D527" s="12" t="str">
        <f t="shared" si="17"/>
        <v>1526,'111807','TC0503_1'</v>
      </c>
      <c r="E527" s="12" t="str">
        <f t="shared" si="16"/>
        <v>INSERT INTO grupos (id,matricula,grupo) values (1526,'111807','TC0503_1');</v>
      </c>
    </row>
    <row r="528" spans="1:5" ht="43.5" x14ac:dyDescent="0.35">
      <c r="A528">
        <v>1527</v>
      </c>
      <c r="B528" t="s">
        <v>2548</v>
      </c>
      <c r="C528" t="s">
        <v>1769</v>
      </c>
      <c r="D528" s="12" t="str">
        <f t="shared" si="17"/>
        <v>1527,'111808','AERO 5°B'</v>
      </c>
      <c r="E528" s="12" t="str">
        <f t="shared" si="16"/>
        <v>INSERT INTO grupos (id,matricula,grupo) values (1527,'111808','AERO 5°B');</v>
      </c>
    </row>
    <row r="529" spans="1:5" ht="43.5" x14ac:dyDescent="0.35">
      <c r="A529">
        <v>1528</v>
      </c>
      <c r="B529" t="s">
        <v>2549</v>
      </c>
      <c r="C529" t="s">
        <v>1770</v>
      </c>
      <c r="D529" s="12" t="str">
        <f t="shared" si="17"/>
        <v>1528,'111809','AUTO 5°'</v>
      </c>
      <c r="E529" s="12" t="str">
        <f t="shared" si="16"/>
        <v>INSERT INTO grupos (id,matricula,grupo) values (1528,'111809','AUTO 5°');</v>
      </c>
    </row>
    <row r="530" spans="1:5" ht="43.5" x14ac:dyDescent="0.35">
      <c r="A530">
        <v>1529</v>
      </c>
      <c r="B530" t="s">
        <v>2549</v>
      </c>
      <c r="C530" t="s">
        <v>1823</v>
      </c>
      <c r="D530" s="12" t="str">
        <f t="shared" si="17"/>
        <v>1529,'111809','TC0501_6'</v>
      </c>
      <c r="E530" s="12" t="str">
        <f t="shared" si="16"/>
        <v>INSERT INTO grupos (id,matricula,grupo) values (1529,'111809','TC0501_6');</v>
      </c>
    </row>
    <row r="531" spans="1:5" ht="43.5" x14ac:dyDescent="0.35">
      <c r="A531">
        <v>1530</v>
      </c>
      <c r="B531" t="s">
        <v>2550</v>
      </c>
      <c r="C531" t="s">
        <v>1768</v>
      </c>
      <c r="D531" s="12" t="str">
        <f t="shared" si="17"/>
        <v>1530,'111811','ADMON 5°'</v>
      </c>
      <c r="E531" s="12" t="str">
        <f t="shared" si="16"/>
        <v>INSERT INTO grupos (id,matricula,grupo) values (1530,'111811','ADMON 5°');</v>
      </c>
    </row>
    <row r="532" spans="1:5" ht="43.5" x14ac:dyDescent="0.35">
      <c r="A532">
        <v>1531</v>
      </c>
      <c r="B532" t="s">
        <v>2551</v>
      </c>
      <c r="C532" t="s">
        <v>1770</v>
      </c>
      <c r="D532" s="12" t="str">
        <f t="shared" si="17"/>
        <v>1531,'111812','AUTO 5°'</v>
      </c>
      <c r="E532" s="12" t="str">
        <f t="shared" si="16"/>
        <v>INSERT INTO grupos (id,matricula,grupo) values (1531,'111812','AUTO 5°');</v>
      </c>
    </row>
    <row r="533" spans="1:5" ht="43.5" x14ac:dyDescent="0.35">
      <c r="A533">
        <v>1532</v>
      </c>
      <c r="B533" t="s">
        <v>2551</v>
      </c>
      <c r="C533" t="s">
        <v>1823</v>
      </c>
      <c r="D533" s="12" t="str">
        <f t="shared" si="17"/>
        <v>1532,'111812','TC0501_6'</v>
      </c>
      <c r="E533" s="12" t="str">
        <f t="shared" si="16"/>
        <v>INSERT INTO grupos (id,matricula,grupo) values (1532,'111812','TC0501_6');</v>
      </c>
    </row>
    <row r="534" spans="1:5" ht="43.5" x14ac:dyDescent="0.35">
      <c r="A534">
        <v>1533</v>
      </c>
      <c r="B534" t="s">
        <v>2552</v>
      </c>
      <c r="C534" t="s">
        <v>1749</v>
      </c>
      <c r="D534" s="12" t="str">
        <f t="shared" si="17"/>
        <v>1533,'111815','PSI 5°'</v>
      </c>
      <c r="E534" s="12" t="str">
        <f t="shared" si="16"/>
        <v>INSERT INTO grupos (id,matricula,grupo) values (1533,'111815','PSI 5°');</v>
      </c>
    </row>
    <row r="535" spans="1:5" ht="43.5" x14ac:dyDescent="0.35">
      <c r="A535">
        <v>1534</v>
      </c>
      <c r="B535" t="s">
        <v>2552</v>
      </c>
      <c r="C535" t="s">
        <v>1813</v>
      </c>
      <c r="D535" s="12" t="str">
        <f t="shared" si="17"/>
        <v>1534,'111815','TC0503_5'</v>
      </c>
      <c r="E535" s="12" t="str">
        <f t="shared" si="16"/>
        <v>INSERT INTO grupos (id,matricula,grupo) values (1534,'111815','TC0503_5');</v>
      </c>
    </row>
    <row r="536" spans="1:5" ht="43.5" x14ac:dyDescent="0.35">
      <c r="A536">
        <v>1535</v>
      </c>
      <c r="B536" t="s">
        <v>2553</v>
      </c>
      <c r="C536" t="s">
        <v>1768</v>
      </c>
      <c r="D536" s="12" t="str">
        <f t="shared" si="17"/>
        <v>1535,'111816','ADMON 5°'</v>
      </c>
      <c r="E536" s="12" t="str">
        <f t="shared" si="16"/>
        <v>INSERT INTO grupos (id,matricula,grupo) values (1535,'111816','ADMON 5°');</v>
      </c>
    </row>
    <row r="537" spans="1:5" ht="43.5" x14ac:dyDescent="0.35">
      <c r="A537">
        <v>1536</v>
      </c>
      <c r="B537" t="s">
        <v>2554</v>
      </c>
      <c r="C537" t="s">
        <v>1757</v>
      </c>
      <c r="D537" s="12" t="str">
        <f t="shared" si="17"/>
        <v>1536,'111817','ANIM 5°'</v>
      </c>
      <c r="E537" s="12" t="str">
        <f t="shared" si="16"/>
        <v>INSERT INTO grupos (id,matricula,grupo) values (1536,'111817','ANIM 5°');</v>
      </c>
    </row>
    <row r="538" spans="1:5" ht="43.5" x14ac:dyDescent="0.35">
      <c r="A538">
        <v>1537</v>
      </c>
      <c r="B538" t="s">
        <v>2554</v>
      </c>
      <c r="C538" t="s">
        <v>1823</v>
      </c>
      <c r="D538" s="12" t="str">
        <f t="shared" si="17"/>
        <v>1537,'111817','TC0501_6'</v>
      </c>
      <c r="E538" s="12" t="str">
        <f t="shared" si="16"/>
        <v>INSERT INTO grupos (id,matricula,grupo) values (1537,'111817','TC0501_6');</v>
      </c>
    </row>
    <row r="539" spans="1:5" ht="43.5" x14ac:dyDescent="0.35">
      <c r="A539">
        <v>1538</v>
      </c>
      <c r="B539" t="s">
        <v>2555</v>
      </c>
      <c r="C539" t="s">
        <v>1749</v>
      </c>
      <c r="D539" s="12" t="str">
        <f t="shared" si="17"/>
        <v>1538,'111819','PSI 5°'</v>
      </c>
      <c r="E539" s="12" t="str">
        <f t="shared" si="16"/>
        <v>INSERT INTO grupos (id,matricula,grupo) values (1538,'111819','PSI 5°');</v>
      </c>
    </row>
    <row r="540" spans="1:5" ht="43.5" x14ac:dyDescent="0.35">
      <c r="A540">
        <v>1539</v>
      </c>
      <c r="B540" t="s">
        <v>2556</v>
      </c>
      <c r="C540" t="s">
        <v>1749</v>
      </c>
      <c r="D540" s="12" t="str">
        <f t="shared" si="17"/>
        <v>1539,'111820','PSI 5°'</v>
      </c>
      <c r="E540" s="12" t="str">
        <f t="shared" si="16"/>
        <v>INSERT INTO grupos (id,matricula,grupo) values (1539,'111820','PSI 5°');</v>
      </c>
    </row>
    <row r="541" spans="1:5" ht="43.5" x14ac:dyDescent="0.35">
      <c r="A541">
        <v>1540</v>
      </c>
      <c r="B541" t="s">
        <v>2556</v>
      </c>
      <c r="C541" t="s">
        <v>1813</v>
      </c>
      <c r="D541" s="12" t="str">
        <f t="shared" si="17"/>
        <v>1540,'111820','TC0503_5'</v>
      </c>
      <c r="E541" s="12" t="str">
        <f t="shared" si="16"/>
        <v>INSERT INTO grupos (id,matricula,grupo) values (1540,'111820','TC0503_5');</v>
      </c>
    </row>
    <row r="542" spans="1:5" ht="43.5" x14ac:dyDescent="0.35">
      <c r="A542">
        <v>1541</v>
      </c>
      <c r="B542" t="s">
        <v>2557</v>
      </c>
      <c r="C542" t="s">
        <v>1770</v>
      </c>
      <c r="D542" s="12" t="str">
        <f t="shared" si="17"/>
        <v>1541,'111822','AUTO 5°'</v>
      </c>
      <c r="E542" s="12" t="str">
        <f t="shared" si="16"/>
        <v>INSERT INTO grupos (id,matricula,grupo) values (1541,'111822','AUTO 5°');</v>
      </c>
    </row>
    <row r="543" spans="1:5" ht="43.5" x14ac:dyDescent="0.35">
      <c r="A543">
        <v>1542</v>
      </c>
      <c r="B543" t="s">
        <v>2557</v>
      </c>
      <c r="C543" t="s">
        <v>1823</v>
      </c>
      <c r="D543" s="12" t="str">
        <f t="shared" si="17"/>
        <v>1542,'111822','TC0501_6'</v>
      </c>
      <c r="E543" s="12" t="str">
        <f t="shared" si="16"/>
        <v>INSERT INTO grupos (id,matricula,grupo) values (1542,'111822','TC0501_6');</v>
      </c>
    </row>
    <row r="544" spans="1:5" ht="43.5" x14ac:dyDescent="0.35">
      <c r="A544">
        <v>1543</v>
      </c>
      <c r="B544" t="s">
        <v>2558</v>
      </c>
      <c r="C544" t="s">
        <v>1756</v>
      </c>
      <c r="D544" s="12" t="str">
        <f t="shared" si="17"/>
        <v>1543,'111824','NUT 5°'</v>
      </c>
      <c r="E544" s="12" t="str">
        <f t="shared" si="16"/>
        <v>INSERT INTO grupos (id,matricula,grupo) values (1543,'111824','NUT 5°');</v>
      </c>
    </row>
    <row r="545" spans="1:5" ht="43.5" x14ac:dyDescent="0.35">
      <c r="A545">
        <v>1544</v>
      </c>
      <c r="B545" t="s">
        <v>2559</v>
      </c>
      <c r="C545" t="s">
        <v>1768</v>
      </c>
      <c r="D545" s="12" t="str">
        <f t="shared" si="17"/>
        <v>1544,'111827','ADMON 5°'</v>
      </c>
      <c r="E545" s="12" t="str">
        <f t="shared" si="16"/>
        <v>INSERT INTO grupos (id,matricula,grupo) values (1544,'111827','ADMON 5°');</v>
      </c>
    </row>
    <row r="546" spans="1:5" ht="43.5" x14ac:dyDescent="0.35">
      <c r="A546">
        <v>1545</v>
      </c>
      <c r="B546" t="s">
        <v>2560</v>
      </c>
      <c r="C546" t="s">
        <v>1770</v>
      </c>
      <c r="D546" s="12" t="str">
        <f t="shared" si="17"/>
        <v>1545,'111830','AUTO 5°'</v>
      </c>
      <c r="E546" s="12" t="str">
        <f t="shared" si="16"/>
        <v>INSERT INTO grupos (id,matricula,grupo) values (1545,'111830','AUTO 5°');</v>
      </c>
    </row>
    <row r="547" spans="1:5" ht="43.5" x14ac:dyDescent="0.35">
      <c r="A547">
        <v>1546</v>
      </c>
      <c r="B547" t="s">
        <v>2560</v>
      </c>
      <c r="C547" t="s">
        <v>1813</v>
      </c>
      <c r="D547" s="12" t="str">
        <f t="shared" si="17"/>
        <v>1546,'111830','TC0503_5'</v>
      </c>
      <c r="E547" s="12" t="str">
        <f t="shared" si="16"/>
        <v>INSERT INTO grupos (id,matricula,grupo) values (1546,'111830','TC0503_5');</v>
      </c>
    </row>
    <row r="548" spans="1:5" ht="43.5" x14ac:dyDescent="0.35">
      <c r="A548">
        <v>1547</v>
      </c>
      <c r="B548" t="s">
        <v>2561</v>
      </c>
      <c r="C548" t="s">
        <v>1758</v>
      </c>
      <c r="D548" s="12" t="str">
        <f t="shared" si="17"/>
        <v>1547,'111838','ARQ 5°'</v>
      </c>
      <c r="E548" s="12" t="str">
        <f t="shared" si="16"/>
        <v>INSERT INTO grupos (id,matricula,grupo) values (1547,'111838','ARQ 5°');</v>
      </c>
    </row>
    <row r="549" spans="1:5" ht="43.5" x14ac:dyDescent="0.35">
      <c r="A549">
        <v>1548</v>
      </c>
      <c r="B549" t="s">
        <v>2562</v>
      </c>
      <c r="C549" t="s">
        <v>1767</v>
      </c>
      <c r="D549" s="12" t="str">
        <f t="shared" si="17"/>
        <v>1548,'111839','AERO 5°A'</v>
      </c>
      <c r="E549" s="12" t="str">
        <f t="shared" si="16"/>
        <v>INSERT INTO grupos (id,matricula,grupo) values (1548,'111839','AERO 5°A');</v>
      </c>
    </row>
    <row r="550" spans="1:5" ht="43.5" x14ac:dyDescent="0.35">
      <c r="A550">
        <v>1549</v>
      </c>
      <c r="B550" t="s">
        <v>2563</v>
      </c>
      <c r="C550" t="s">
        <v>1768</v>
      </c>
      <c r="D550" s="12" t="str">
        <f t="shared" si="17"/>
        <v>1549,'111842','ADMON 5°'</v>
      </c>
      <c r="E550" s="12" t="str">
        <f t="shared" si="16"/>
        <v>INSERT INTO grupos (id,matricula,grupo) values (1549,'111842','ADMON 5°');</v>
      </c>
    </row>
    <row r="551" spans="1:5" ht="43.5" x14ac:dyDescent="0.35">
      <c r="A551">
        <v>1550</v>
      </c>
      <c r="B551" t="s">
        <v>2564</v>
      </c>
      <c r="C551" t="s">
        <v>1768</v>
      </c>
      <c r="D551" s="12" t="str">
        <f t="shared" si="17"/>
        <v>1550,'111845','ADMON 5°'</v>
      </c>
      <c r="E551" s="12" t="str">
        <f t="shared" si="16"/>
        <v>INSERT INTO grupos (id,matricula,grupo) values (1550,'111845','ADMON 5°');</v>
      </c>
    </row>
    <row r="552" spans="1:5" ht="43.5" x14ac:dyDescent="0.35">
      <c r="A552">
        <v>1551</v>
      </c>
      <c r="B552" t="s">
        <v>2565</v>
      </c>
      <c r="C552" t="s">
        <v>1749</v>
      </c>
      <c r="D552" s="12" t="str">
        <f t="shared" si="17"/>
        <v>1551,'111853','PSI 5°'</v>
      </c>
      <c r="E552" s="12" t="str">
        <f t="shared" si="16"/>
        <v>INSERT INTO grupos (id,matricula,grupo) values (1551,'111853','PSI 5°');</v>
      </c>
    </row>
    <row r="553" spans="1:5" ht="43.5" x14ac:dyDescent="0.35">
      <c r="A553">
        <v>1552</v>
      </c>
      <c r="B553" t="s">
        <v>2566</v>
      </c>
      <c r="C553" t="s">
        <v>1757</v>
      </c>
      <c r="D553" s="12" t="str">
        <f t="shared" si="17"/>
        <v>1552,'111854','ANIM 5°'</v>
      </c>
      <c r="E553" s="12" t="str">
        <f t="shared" si="16"/>
        <v>INSERT INTO grupos (id,matricula,grupo) values (1552,'111854','ANIM 5°');</v>
      </c>
    </row>
    <row r="554" spans="1:5" ht="43.5" x14ac:dyDescent="0.35">
      <c r="A554">
        <v>1553</v>
      </c>
      <c r="B554" t="s">
        <v>2566</v>
      </c>
      <c r="C554" t="s">
        <v>1813</v>
      </c>
      <c r="D554" s="12" t="str">
        <f t="shared" si="17"/>
        <v>1553,'111854','TC0503_5'</v>
      </c>
      <c r="E554" s="12" t="str">
        <f t="shared" si="16"/>
        <v>INSERT INTO grupos (id,matricula,grupo) values (1553,'111854','TC0503_5');</v>
      </c>
    </row>
    <row r="555" spans="1:5" ht="43.5" x14ac:dyDescent="0.35">
      <c r="A555">
        <v>1554</v>
      </c>
      <c r="B555" t="s">
        <v>2567</v>
      </c>
      <c r="C555" t="s">
        <v>1749</v>
      </c>
      <c r="D555" s="12" t="str">
        <f t="shared" si="17"/>
        <v>1554,'112016','PSI 5°'</v>
      </c>
      <c r="E555" s="12" t="str">
        <f t="shared" si="16"/>
        <v>INSERT INTO grupos (id,matricula,grupo) values (1554,'112016','PSI 5°');</v>
      </c>
    </row>
    <row r="556" spans="1:5" ht="43.5" x14ac:dyDescent="0.35">
      <c r="A556">
        <v>1555</v>
      </c>
      <c r="B556" t="s">
        <v>2567</v>
      </c>
      <c r="C556" t="s">
        <v>1813</v>
      </c>
      <c r="D556" s="12" t="str">
        <f t="shared" si="17"/>
        <v>1555,'112016','TC0503_5'</v>
      </c>
      <c r="E556" s="12" t="str">
        <f t="shared" si="16"/>
        <v>INSERT INTO grupos (id,matricula,grupo) values (1555,'112016','TC0503_5');</v>
      </c>
    </row>
    <row r="557" spans="1:5" ht="43.5" x14ac:dyDescent="0.35">
      <c r="A557">
        <v>1556</v>
      </c>
      <c r="B557" t="s">
        <v>2568</v>
      </c>
      <c r="C557" t="s">
        <v>1776</v>
      </c>
      <c r="D557" s="12" t="str">
        <f t="shared" si="17"/>
        <v>1556,'112141','AERO 3°A'</v>
      </c>
      <c r="E557" s="12" t="str">
        <f t="shared" si="16"/>
        <v>INSERT INTO grupos (id,matricula,grupo) values (1556,'112141','AERO 3°A');</v>
      </c>
    </row>
    <row r="558" spans="1:5" ht="43.5" x14ac:dyDescent="0.35">
      <c r="A558">
        <v>1557</v>
      </c>
      <c r="B558" t="s">
        <v>2568</v>
      </c>
      <c r="C558" t="s">
        <v>1838</v>
      </c>
      <c r="D558" s="12" t="str">
        <f t="shared" si="17"/>
        <v>1557,'112141','TC0302_3'</v>
      </c>
      <c r="E558" s="12" t="str">
        <f t="shared" si="16"/>
        <v>INSERT INTO grupos (id,matricula,grupo) values (1557,'112141','TC0302_3');</v>
      </c>
    </row>
    <row r="559" spans="1:5" ht="43.5" x14ac:dyDescent="0.35">
      <c r="A559">
        <v>1558</v>
      </c>
      <c r="B559" t="s">
        <v>2568</v>
      </c>
      <c r="C559" t="s">
        <v>1846</v>
      </c>
      <c r="D559" s="12" t="str">
        <f t="shared" si="17"/>
        <v>1558,'112141','TC0303_3'</v>
      </c>
      <c r="E559" s="12" t="str">
        <f t="shared" si="16"/>
        <v>INSERT INTO grupos (id,matricula,grupo) values (1558,'112141','TC0303_3');</v>
      </c>
    </row>
    <row r="560" spans="1:5" ht="43.5" x14ac:dyDescent="0.35">
      <c r="A560">
        <v>1559</v>
      </c>
      <c r="B560" t="s">
        <v>2569</v>
      </c>
      <c r="C560" t="s">
        <v>1772</v>
      </c>
      <c r="D560" s="12" t="str">
        <f t="shared" si="17"/>
        <v>1559,'112143','NUT 3°'</v>
      </c>
      <c r="E560" s="12" t="str">
        <f t="shared" si="16"/>
        <v>INSERT INTO grupos (id,matricula,grupo) values (1559,'112143','NUT 3°');</v>
      </c>
    </row>
    <row r="561" spans="1:5" ht="43.5" x14ac:dyDescent="0.35">
      <c r="A561">
        <v>1560</v>
      </c>
      <c r="B561" t="s">
        <v>2569</v>
      </c>
      <c r="C561" t="s">
        <v>1838</v>
      </c>
      <c r="D561" s="12" t="str">
        <f t="shared" si="17"/>
        <v>1560,'112143','TC0302_3'</v>
      </c>
      <c r="E561" s="12" t="str">
        <f t="shared" si="16"/>
        <v>INSERT INTO grupos (id,matricula,grupo) values (1560,'112143','TC0302_3');</v>
      </c>
    </row>
    <row r="562" spans="1:5" ht="43.5" x14ac:dyDescent="0.35">
      <c r="A562">
        <v>1561</v>
      </c>
      <c r="B562" t="s">
        <v>2569</v>
      </c>
      <c r="C562" t="s">
        <v>1846</v>
      </c>
      <c r="D562" s="12" t="str">
        <f t="shared" si="17"/>
        <v>1561,'112143','TC0303_3'</v>
      </c>
      <c r="E562" s="12" t="str">
        <f t="shared" si="16"/>
        <v>INSERT INTO grupos (id,matricula,grupo) values (1561,'112143','TC0303_3');</v>
      </c>
    </row>
    <row r="563" spans="1:5" ht="43.5" x14ac:dyDescent="0.35">
      <c r="A563">
        <v>1562</v>
      </c>
      <c r="B563" t="s">
        <v>2570</v>
      </c>
      <c r="C563" t="s">
        <v>1777</v>
      </c>
      <c r="D563" s="12" t="str">
        <f t="shared" si="17"/>
        <v>1562,'112144','ANIM 3°'</v>
      </c>
      <c r="E563" s="12" t="str">
        <f t="shared" si="16"/>
        <v>INSERT INTO grupos (id,matricula,grupo) values (1562,'112144','ANIM 3°');</v>
      </c>
    </row>
    <row r="564" spans="1:5" ht="43.5" x14ac:dyDescent="0.35">
      <c r="A564">
        <v>1563</v>
      </c>
      <c r="B564" t="s">
        <v>2570</v>
      </c>
      <c r="C564" t="s">
        <v>1841</v>
      </c>
      <c r="D564" s="12" t="str">
        <f t="shared" si="17"/>
        <v>1563,'112144','TC0302_6'</v>
      </c>
      <c r="E564" s="12" t="str">
        <f t="shared" si="16"/>
        <v>INSERT INTO grupos (id,matricula,grupo) values (1563,'112144','TC0302_6');</v>
      </c>
    </row>
    <row r="565" spans="1:5" ht="43.5" x14ac:dyDescent="0.35">
      <c r="A565">
        <v>1564</v>
      </c>
      <c r="B565" t="s">
        <v>2570</v>
      </c>
      <c r="C565" t="s">
        <v>1849</v>
      </c>
      <c r="D565" s="12" t="str">
        <f t="shared" si="17"/>
        <v>1564,'112144','TC0303_6'</v>
      </c>
      <c r="E565" s="12" t="str">
        <f t="shared" si="16"/>
        <v>INSERT INTO grupos (id,matricula,grupo) values (1564,'112144','TC0303_6');</v>
      </c>
    </row>
    <row r="566" spans="1:5" ht="43.5" x14ac:dyDescent="0.35">
      <c r="A566">
        <v>1565</v>
      </c>
      <c r="B566" t="s">
        <v>2571</v>
      </c>
      <c r="C566" t="s">
        <v>1772</v>
      </c>
      <c r="D566" s="12" t="str">
        <f t="shared" si="17"/>
        <v>1565,'112145','NUT 3°'</v>
      </c>
      <c r="E566" s="12" t="str">
        <f t="shared" si="16"/>
        <v>INSERT INTO grupos (id,matricula,grupo) values (1565,'112145','NUT 3°');</v>
      </c>
    </row>
    <row r="567" spans="1:5" ht="43.5" x14ac:dyDescent="0.35">
      <c r="A567">
        <v>1566</v>
      </c>
      <c r="B567" t="s">
        <v>2572</v>
      </c>
      <c r="C567" t="s">
        <v>1778</v>
      </c>
      <c r="D567" s="12" t="str">
        <f t="shared" si="17"/>
        <v>1566,'112147','AUTO 3° B'</v>
      </c>
      <c r="E567" s="12" t="str">
        <f t="shared" si="16"/>
        <v>INSERT INTO grupos (id,matricula,grupo) values (1566,'112147','AUTO 3° B');</v>
      </c>
    </row>
    <row r="568" spans="1:5" ht="43.5" x14ac:dyDescent="0.35">
      <c r="A568">
        <v>1567</v>
      </c>
      <c r="B568" t="s">
        <v>2572</v>
      </c>
      <c r="C568" t="s">
        <v>1841</v>
      </c>
      <c r="D568" s="12" t="str">
        <f t="shared" si="17"/>
        <v>1567,'112147','TC0302_6'</v>
      </c>
      <c r="E568" s="12" t="str">
        <f t="shared" si="16"/>
        <v>INSERT INTO grupos (id,matricula,grupo) values (1567,'112147','TC0302_6');</v>
      </c>
    </row>
    <row r="569" spans="1:5" ht="43.5" x14ac:dyDescent="0.35">
      <c r="A569">
        <v>1568</v>
      </c>
      <c r="B569" t="s">
        <v>2572</v>
      </c>
      <c r="C569" t="s">
        <v>1849</v>
      </c>
      <c r="D569" s="12" t="str">
        <f t="shared" si="17"/>
        <v>1568,'112147','TC0303_6'</v>
      </c>
      <c r="E569" s="12" t="str">
        <f t="shared" si="16"/>
        <v>INSERT INTO grupos (id,matricula,grupo) values (1568,'112147','TC0303_6');</v>
      </c>
    </row>
    <row r="570" spans="1:5" ht="43.5" x14ac:dyDescent="0.35">
      <c r="A570">
        <v>1569</v>
      </c>
      <c r="B570" t="s">
        <v>2573</v>
      </c>
      <c r="C570" t="s">
        <v>1775</v>
      </c>
      <c r="D570" s="12" t="str">
        <f t="shared" si="17"/>
        <v>1569,'112148','AERO 3°B'</v>
      </c>
      <c r="E570" s="12" t="str">
        <f t="shared" si="16"/>
        <v>INSERT INTO grupos (id,matricula,grupo) values (1569,'112148','AERO 3°B');</v>
      </c>
    </row>
    <row r="571" spans="1:5" ht="43.5" x14ac:dyDescent="0.35">
      <c r="A571">
        <v>1570</v>
      </c>
      <c r="B571" t="s">
        <v>2573</v>
      </c>
      <c r="C571" t="s">
        <v>1836</v>
      </c>
      <c r="D571" s="12" t="str">
        <f t="shared" si="17"/>
        <v>1570,'112148','TC0302_1'</v>
      </c>
      <c r="E571" s="12" t="str">
        <f t="shared" si="16"/>
        <v>INSERT INTO grupos (id,matricula,grupo) values (1570,'112148','TC0302_1');</v>
      </c>
    </row>
    <row r="572" spans="1:5" ht="43.5" x14ac:dyDescent="0.35">
      <c r="A572">
        <v>1571</v>
      </c>
      <c r="B572" t="s">
        <v>2573</v>
      </c>
      <c r="C572" t="s">
        <v>1844</v>
      </c>
      <c r="D572" s="12" t="str">
        <f t="shared" si="17"/>
        <v>1571,'112148','TC0303_1'</v>
      </c>
      <c r="E572" s="12" t="str">
        <f t="shared" si="16"/>
        <v>INSERT INTO grupos (id,matricula,grupo) values (1571,'112148','TC0303_1');</v>
      </c>
    </row>
    <row r="573" spans="1:5" ht="43.5" x14ac:dyDescent="0.35">
      <c r="A573">
        <v>1572</v>
      </c>
      <c r="B573" t="s">
        <v>2574</v>
      </c>
      <c r="C573" t="s">
        <v>1776</v>
      </c>
      <c r="D573" s="12" t="str">
        <f t="shared" si="17"/>
        <v>1572,'112149','AERO 3°A'</v>
      </c>
      <c r="E573" s="12" t="str">
        <f t="shared" si="16"/>
        <v>INSERT INTO grupos (id,matricula,grupo) values (1572,'112149','AERO 3°A');</v>
      </c>
    </row>
    <row r="574" spans="1:5" ht="43.5" x14ac:dyDescent="0.35">
      <c r="A574">
        <v>1573</v>
      </c>
      <c r="B574" t="s">
        <v>2574</v>
      </c>
      <c r="C574" t="s">
        <v>1837</v>
      </c>
      <c r="D574" s="12" t="str">
        <f t="shared" si="17"/>
        <v>1573,'112149','TC0302_2'</v>
      </c>
      <c r="E574" s="12" t="str">
        <f t="shared" si="16"/>
        <v>INSERT INTO grupos (id,matricula,grupo) values (1573,'112149','TC0302_2');</v>
      </c>
    </row>
    <row r="575" spans="1:5" ht="43.5" x14ac:dyDescent="0.35">
      <c r="A575">
        <v>1574</v>
      </c>
      <c r="B575" t="s">
        <v>2575</v>
      </c>
      <c r="C575" t="s">
        <v>1777</v>
      </c>
      <c r="D575" s="12" t="str">
        <f t="shared" si="17"/>
        <v>1574,'112150','ANIM 3°'</v>
      </c>
      <c r="E575" s="12" t="str">
        <f t="shared" si="16"/>
        <v>INSERT INTO grupos (id,matricula,grupo) values (1574,'112150','ANIM 3°');</v>
      </c>
    </row>
    <row r="576" spans="1:5" ht="43.5" x14ac:dyDescent="0.35">
      <c r="A576">
        <v>1575</v>
      </c>
      <c r="B576" t="s">
        <v>2575</v>
      </c>
      <c r="C576" t="s">
        <v>1841</v>
      </c>
      <c r="D576" s="12" t="str">
        <f t="shared" si="17"/>
        <v>1575,'112150','TC0302_6'</v>
      </c>
      <c r="E576" s="12" t="str">
        <f t="shared" si="16"/>
        <v>INSERT INTO grupos (id,matricula,grupo) values (1575,'112150','TC0302_6');</v>
      </c>
    </row>
    <row r="577" spans="1:5" ht="43.5" x14ac:dyDescent="0.35">
      <c r="A577">
        <v>1576</v>
      </c>
      <c r="B577" t="s">
        <v>2575</v>
      </c>
      <c r="C577" t="s">
        <v>1849</v>
      </c>
      <c r="D577" s="12" t="str">
        <f t="shared" si="17"/>
        <v>1576,'112150','TC0303_6'</v>
      </c>
      <c r="E577" s="12" t="str">
        <f t="shared" si="16"/>
        <v>INSERT INTO grupos (id,matricula,grupo) values (1576,'112150','TC0303_6');</v>
      </c>
    </row>
    <row r="578" spans="1:5" ht="43.5" x14ac:dyDescent="0.35">
      <c r="A578">
        <v>1577</v>
      </c>
      <c r="B578" t="s">
        <v>2576</v>
      </c>
      <c r="C578" t="s">
        <v>1774</v>
      </c>
      <c r="D578" s="12" t="str">
        <f t="shared" si="17"/>
        <v>1577,'112151','AUTO 3° A'</v>
      </c>
      <c r="E578" s="12" t="str">
        <f t="shared" ref="E578:E641" si="18">CONCATENATE($D$1,D578,");")</f>
        <v>INSERT INTO grupos (id,matricula,grupo) values (1577,'112151','AUTO 3° A');</v>
      </c>
    </row>
    <row r="579" spans="1:5" ht="43.5" x14ac:dyDescent="0.35">
      <c r="A579">
        <v>1578</v>
      </c>
      <c r="B579" t="s">
        <v>2576</v>
      </c>
      <c r="C579" t="s">
        <v>1840</v>
      </c>
      <c r="D579" s="12" t="str">
        <f t="shared" ref="D579:D642" si="19">CONCATENATE(A579,",'",TRIM(B579),"','",C579,"'")</f>
        <v>1578,'112151','TC0302_5'</v>
      </c>
      <c r="E579" s="12" t="str">
        <f t="shared" si="18"/>
        <v>INSERT INTO grupos (id,matricula,grupo) values (1578,'112151','TC0302_5');</v>
      </c>
    </row>
    <row r="580" spans="1:5" ht="43.5" x14ac:dyDescent="0.35">
      <c r="A580">
        <v>1579</v>
      </c>
      <c r="B580" t="s">
        <v>2577</v>
      </c>
      <c r="C580" t="s">
        <v>1775</v>
      </c>
      <c r="D580" s="12" t="str">
        <f t="shared" si="19"/>
        <v>1579,'112152','AERO 3°B'</v>
      </c>
      <c r="E580" s="12" t="str">
        <f t="shared" si="18"/>
        <v>INSERT INTO grupos (id,matricula,grupo) values (1579,'112152','AERO 3°B');</v>
      </c>
    </row>
    <row r="581" spans="1:5" ht="43.5" x14ac:dyDescent="0.35">
      <c r="A581">
        <v>1580</v>
      </c>
      <c r="B581" t="s">
        <v>2577</v>
      </c>
      <c r="C581" t="s">
        <v>1838</v>
      </c>
      <c r="D581" s="12" t="str">
        <f t="shared" si="19"/>
        <v>1580,'112152','TC0302_3'</v>
      </c>
      <c r="E581" s="12" t="str">
        <f t="shared" si="18"/>
        <v>INSERT INTO grupos (id,matricula,grupo) values (1580,'112152','TC0302_3');</v>
      </c>
    </row>
    <row r="582" spans="1:5" ht="43.5" x14ac:dyDescent="0.35">
      <c r="A582">
        <v>1581</v>
      </c>
      <c r="B582" t="s">
        <v>2577</v>
      </c>
      <c r="C582" t="s">
        <v>1846</v>
      </c>
      <c r="D582" s="12" t="str">
        <f t="shared" si="19"/>
        <v>1581,'112152','TC0303_3'</v>
      </c>
      <c r="E582" s="12" t="str">
        <f t="shared" si="18"/>
        <v>INSERT INTO grupos (id,matricula,grupo) values (1581,'112152','TC0303_3');</v>
      </c>
    </row>
    <row r="583" spans="1:5" ht="43.5" x14ac:dyDescent="0.35">
      <c r="A583">
        <v>1582</v>
      </c>
      <c r="B583" t="s">
        <v>2578</v>
      </c>
      <c r="C583" t="s">
        <v>1772</v>
      </c>
      <c r="D583" s="12" t="str">
        <f t="shared" si="19"/>
        <v>1582,'112154','NUT 3°'</v>
      </c>
      <c r="E583" s="12" t="str">
        <f t="shared" si="18"/>
        <v>INSERT INTO grupos (id,matricula,grupo) values (1582,'112154','NUT 3°');</v>
      </c>
    </row>
    <row r="584" spans="1:5" ht="43.5" x14ac:dyDescent="0.35">
      <c r="A584">
        <v>1583</v>
      </c>
      <c r="B584" t="s">
        <v>2578</v>
      </c>
      <c r="C584" t="s">
        <v>1838</v>
      </c>
      <c r="D584" s="12" t="str">
        <f t="shared" si="19"/>
        <v>1583,'112154','TC0302_3'</v>
      </c>
      <c r="E584" s="12" t="str">
        <f t="shared" si="18"/>
        <v>INSERT INTO grupos (id,matricula,grupo) values (1583,'112154','TC0302_3');</v>
      </c>
    </row>
    <row r="585" spans="1:5" ht="43.5" x14ac:dyDescent="0.35">
      <c r="A585">
        <v>1584</v>
      </c>
      <c r="B585" t="s">
        <v>2578</v>
      </c>
      <c r="C585" t="s">
        <v>1846</v>
      </c>
      <c r="D585" s="12" t="str">
        <f t="shared" si="19"/>
        <v>1584,'112154','TC0303_3'</v>
      </c>
      <c r="E585" s="12" t="str">
        <f t="shared" si="18"/>
        <v>INSERT INTO grupos (id,matricula,grupo) values (1584,'112154','TC0303_3');</v>
      </c>
    </row>
    <row r="586" spans="1:5" ht="43.5" x14ac:dyDescent="0.35">
      <c r="A586">
        <v>1585</v>
      </c>
      <c r="B586" t="s">
        <v>2579</v>
      </c>
      <c r="C586" t="s">
        <v>1779</v>
      </c>
      <c r="D586" s="12" t="str">
        <f t="shared" si="19"/>
        <v>1585,'112156','PSI 3°'</v>
      </c>
      <c r="E586" s="12" t="str">
        <f t="shared" si="18"/>
        <v>INSERT INTO grupos (id,matricula,grupo) values (1585,'112156','PSI 3°');</v>
      </c>
    </row>
    <row r="587" spans="1:5" ht="43.5" x14ac:dyDescent="0.35">
      <c r="A587">
        <v>1586</v>
      </c>
      <c r="B587" t="s">
        <v>2579</v>
      </c>
      <c r="C587" t="s">
        <v>1839</v>
      </c>
      <c r="D587" s="12" t="str">
        <f t="shared" si="19"/>
        <v>1586,'112156','TC0302_4'</v>
      </c>
      <c r="E587" s="12" t="str">
        <f t="shared" si="18"/>
        <v>INSERT INTO grupos (id,matricula,grupo) values (1586,'112156','TC0302_4');</v>
      </c>
    </row>
    <row r="588" spans="1:5" ht="43.5" x14ac:dyDescent="0.35">
      <c r="A588">
        <v>1587</v>
      </c>
      <c r="B588" t="s">
        <v>2579</v>
      </c>
      <c r="C588" t="s">
        <v>1847</v>
      </c>
      <c r="D588" s="12" t="str">
        <f t="shared" si="19"/>
        <v>1587,'112156','TC0303_4'</v>
      </c>
      <c r="E588" s="12" t="str">
        <f t="shared" si="18"/>
        <v>INSERT INTO grupos (id,matricula,grupo) values (1587,'112156','TC0303_4');</v>
      </c>
    </row>
    <row r="589" spans="1:5" ht="43.5" x14ac:dyDescent="0.35">
      <c r="A589">
        <v>1588</v>
      </c>
      <c r="B589" t="s">
        <v>2580</v>
      </c>
      <c r="C589" t="s">
        <v>1772</v>
      </c>
      <c r="D589" s="12" t="str">
        <f t="shared" si="19"/>
        <v>1588,'112157','NUT 3°'</v>
      </c>
      <c r="E589" s="12" t="str">
        <f t="shared" si="18"/>
        <v>INSERT INTO grupos (id,matricula,grupo) values (1588,'112157','NUT 3°');</v>
      </c>
    </row>
    <row r="590" spans="1:5" ht="43.5" x14ac:dyDescent="0.35">
      <c r="A590">
        <v>1589</v>
      </c>
      <c r="B590" t="s">
        <v>2580</v>
      </c>
      <c r="C590" t="s">
        <v>1837</v>
      </c>
      <c r="D590" s="12" t="str">
        <f t="shared" si="19"/>
        <v>1589,'112157','TC0302_2'</v>
      </c>
      <c r="E590" s="12" t="str">
        <f t="shared" si="18"/>
        <v>INSERT INTO grupos (id,matricula,grupo) values (1589,'112157','TC0302_2');</v>
      </c>
    </row>
    <row r="591" spans="1:5" ht="43.5" x14ac:dyDescent="0.35">
      <c r="A591">
        <v>1590</v>
      </c>
      <c r="B591" t="s">
        <v>2581</v>
      </c>
      <c r="C591" t="s">
        <v>1777</v>
      </c>
      <c r="D591" s="12" t="str">
        <f t="shared" si="19"/>
        <v>1590,'112158','ANIM 3°'</v>
      </c>
      <c r="E591" s="12" t="str">
        <f t="shared" si="18"/>
        <v>INSERT INTO grupos (id,matricula,grupo) values (1590,'112158','ANIM 3°');</v>
      </c>
    </row>
    <row r="592" spans="1:5" ht="43.5" x14ac:dyDescent="0.35">
      <c r="A592">
        <v>1591</v>
      </c>
      <c r="B592" t="s">
        <v>2581</v>
      </c>
      <c r="C592" t="s">
        <v>1840</v>
      </c>
      <c r="D592" s="12" t="str">
        <f t="shared" si="19"/>
        <v>1591,'112158','TC0302_5'</v>
      </c>
      <c r="E592" s="12" t="str">
        <f t="shared" si="18"/>
        <v>INSERT INTO grupos (id,matricula,grupo) values (1591,'112158','TC0302_5');</v>
      </c>
    </row>
    <row r="593" spans="1:5" ht="43.5" x14ac:dyDescent="0.35">
      <c r="A593">
        <v>1592</v>
      </c>
      <c r="B593" t="s">
        <v>2582</v>
      </c>
      <c r="C593" t="s">
        <v>1780</v>
      </c>
      <c r="D593" s="12" t="str">
        <f t="shared" si="19"/>
        <v>1592,'112159','IA 3°'</v>
      </c>
      <c r="E593" s="12" t="str">
        <f t="shared" si="18"/>
        <v>INSERT INTO grupos (id,matricula,grupo) values (1592,'112159','IA 3°');</v>
      </c>
    </row>
    <row r="594" spans="1:5" ht="43.5" x14ac:dyDescent="0.35">
      <c r="A594">
        <v>1593</v>
      </c>
      <c r="B594" t="s">
        <v>2582</v>
      </c>
      <c r="C594" t="s">
        <v>1840</v>
      </c>
      <c r="D594" s="12" t="str">
        <f t="shared" si="19"/>
        <v>1593,'112159','TC0302_5'</v>
      </c>
      <c r="E594" s="12" t="str">
        <f t="shared" si="18"/>
        <v>INSERT INTO grupos (id,matricula,grupo) values (1593,'112159','TC0302_5');</v>
      </c>
    </row>
    <row r="595" spans="1:5" ht="43.5" x14ac:dyDescent="0.35">
      <c r="A595">
        <v>1594</v>
      </c>
      <c r="B595" t="s">
        <v>2583</v>
      </c>
      <c r="C595" t="s">
        <v>1780</v>
      </c>
      <c r="D595" s="12" t="str">
        <f t="shared" si="19"/>
        <v>1594,'112160','IA 3°'</v>
      </c>
      <c r="E595" s="12" t="str">
        <f t="shared" si="18"/>
        <v>INSERT INTO grupos (id,matricula,grupo) values (1594,'112160','IA 3°');</v>
      </c>
    </row>
    <row r="596" spans="1:5" ht="43.5" x14ac:dyDescent="0.35">
      <c r="A596">
        <v>1595</v>
      </c>
      <c r="B596" t="s">
        <v>2583</v>
      </c>
      <c r="C596" t="s">
        <v>1840</v>
      </c>
      <c r="D596" s="12" t="str">
        <f t="shared" si="19"/>
        <v>1595,'112160','TC0302_5'</v>
      </c>
      <c r="E596" s="12" t="str">
        <f t="shared" si="18"/>
        <v>INSERT INTO grupos (id,matricula,grupo) values (1595,'112160','TC0302_5');</v>
      </c>
    </row>
    <row r="597" spans="1:5" ht="43.5" x14ac:dyDescent="0.35">
      <c r="A597">
        <v>1596</v>
      </c>
      <c r="B597" t="s">
        <v>2584</v>
      </c>
      <c r="C597" t="s">
        <v>1780</v>
      </c>
      <c r="D597" s="12" t="str">
        <f t="shared" si="19"/>
        <v>1596,'112162','IA 3°'</v>
      </c>
      <c r="E597" s="12" t="str">
        <f t="shared" si="18"/>
        <v>INSERT INTO grupos (id,matricula,grupo) values (1596,'112162','IA 3°');</v>
      </c>
    </row>
    <row r="598" spans="1:5" ht="43.5" x14ac:dyDescent="0.35">
      <c r="A598">
        <v>1597</v>
      </c>
      <c r="B598" t="s">
        <v>2584</v>
      </c>
      <c r="C598" t="s">
        <v>1841</v>
      </c>
      <c r="D598" s="12" t="str">
        <f t="shared" si="19"/>
        <v>1597,'112162','TC0302_6'</v>
      </c>
      <c r="E598" s="12" t="str">
        <f t="shared" si="18"/>
        <v>INSERT INTO grupos (id,matricula,grupo) values (1597,'112162','TC0302_6');</v>
      </c>
    </row>
    <row r="599" spans="1:5" ht="43.5" x14ac:dyDescent="0.35">
      <c r="A599">
        <v>1598</v>
      </c>
      <c r="B599" t="s">
        <v>2584</v>
      </c>
      <c r="C599" t="s">
        <v>1849</v>
      </c>
      <c r="D599" s="12" t="str">
        <f t="shared" si="19"/>
        <v>1598,'112162','TC0303_6'</v>
      </c>
      <c r="E599" s="12" t="str">
        <f t="shared" si="18"/>
        <v>INSERT INTO grupos (id,matricula,grupo) values (1598,'112162','TC0303_6');</v>
      </c>
    </row>
    <row r="600" spans="1:5" ht="43.5" x14ac:dyDescent="0.35">
      <c r="A600">
        <v>1599</v>
      </c>
      <c r="B600" t="s">
        <v>2585</v>
      </c>
      <c r="C600" t="s">
        <v>1780</v>
      </c>
      <c r="D600" s="12" t="str">
        <f t="shared" si="19"/>
        <v>1599,'112163','IA 3°'</v>
      </c>
      <c r="E600" s="12" t="str">
        <f t="shared" si="18"/>
        <v>INSERT INTO grupos (id,matricula,grupo) values (1599,'112163','IA 3°');</v>
      </c>
    </row>
    <row r="601" spans="1:5" ht="43.5" x14ac:dyDescent="0.35">
      <c r="A601">
        <v>1600</v>
      </c>
      <c r="B601" t="s">
        <v>2585</v>
      </c>
      <c r="C601" t="s">
        <v>1841</v>
      </c>
      <c r="D601" s="12" t="str">
        <f t="shared" si="19"/>
        <v>1600,'112163','TC0302_6'</v>
      </c>
      <c r="E601" s="12" t="str">
        <f t="shared" si="18"/>
        <v>INSERT INTO grupos (id,matricula,grupo) values (1600,'112163','TC0302_6');</v>
      </c>
    </row>
    <row r="602" spans="1:5" ht="43.5" x14ac:dyDescent="0.35">
      <c r="A602">
        <v>1601</v>
      </c>
      <c r="B602" t="s">
        <v>2585</v>
      </c>
      <c r="C602" t="s">
        <v>1849</v>
      </c>
      <c r="D602" s="12" t="str">
        <f t="shared" si="19"/>
        <v>1601,'112163','TC0303_6'</v>
      </c>
      <c r="E602" s="12" t="str">
        <f t="shared" si="18"/>
        <v>INSERT INTO grupos (id,matricula,grupo) values (1601,'112163','TC0303_6');</v>
      </c>
    </row>
    <row r="603" spans="1:5" ht="43.5" x14ac:dyDescent="0.35">
      <c r="A603">
        <v>1602</v>
      </c>
      <c r="B603" t="s">
        <v>2586</v>
      </c>
      <c r="C603" t="s">
        <v>1780</v>
      </c>
      <c r="D603" s="12" t="str">
        <f t="shared" si="19"/>
        <v>1602,'112164','IA 3°'</v>
      </c>
      <c r="E603" s="12" t="str">
        <f t="shared" si="18"/>
        <v>INSERT INTO grupos (id,matricula,grupo) values (1602,'112164','IA 3°');</v>
      </c>
    </row>
    <row r="604" spans="1:5" ht="43.5" x14ac:dyDescent="0.35">
      <c r="A604">
        <v>1603</v>
      </c>
      <c r="B604" t="s">
        <v>2586</v>
      </c>
      <c r="C604" t="s">
        <v>1841</v>
      </c>
      <c r="D604" s="12" t="str">
        <f t="shared" si="19"/>
        <v>1603,'112164','TC0302_6'</v>
      </c>
      <c r="E604" s="12" t="str">
        <f t="shared" si="18"/>
        <v>INSERT INTO grupos (id,matricula,grupo) values (1603,'112164','TC0302_6');</v>
      </c>
    </row>
    <row r="605" spans="1:5" ht="43.5" x14ac:dyDescent="0.35">
      <c r="A605">
        <v>1604</v>
      </c>
      <c r="B605" t="s">
        <v>2586</v>
      </c>
      <c r="C605" t="s">
        <v>1849</v>
      </c>
      <c r="D605" s="12" t="str">
        <f t="shared" si="19"/>
        <v>1604,'112164','TC0303_6'</v>
      </c>
      <c r="E605" s="12" t="str">
        <f t="shared" si="18"/>
        <v>INSERT INTO grupos (id,matricula,grupo) values (1604,'112164','TC0303_6');</v>
      </c>
    </row>
    <row r="606" spans="1:5" ht="43.5" x14ac:dyDescent="0.35">
      <c r="A606">
        <v>1605</v>
      </c>
      <c r="B606" t="s">
        <v>2587</v>
      </c>
      <c r="C606" t="s">
        <v>1759</v>
      </c>
      <c r="D606" s="12" t="str">
        <f t="shared" si="19"/>
        <v>1605,'112165','ARQ 3°'</v>
      </c>
      <c r="E606" s="12" t="str">
        <f t="shared" si="18"/>
        <v>INSERT INTO grupos (id,matricula,grupo) values (1605,'112165','ARQ 3°');</v>
      </c>
    </row>
    <row r="607" spans="1:5" ht="43.5" x14ac:dyDescent="0.35">
      <c r="A607">
        <v>1606</v>
      </c>
      <c r="B607" t="s">
        <v>2587</v>
      </c>
      <c r="C607" t="s">
        <v>1837</v>
      </c>
      <c r="D607" s="12" t="str">
        <f t="shared" si="19"/>
        <v>1606,'112165','TC0302_2'</v>
      </c>
      <c r="E607" s="12" t="str">
        <f t="shared" si="18"/>
        <v>INSERT INTO grupos (id,matricula,grupo) values (1606,'112165','TC0302_2');</v>
      </c>
    </row>
    <row r="608" spans="1:5" ht="43.5" x14ac:dyDescent="0.35">
      <c r="A608">
        <v>1607</v>
      </c>
      <c r="B608" t="s">
        <v>2588</v>
      </c>
      <c r="C608" t="s">
        <v>1774</v>
      </c>
      <c r="D608" s="12" t="str">
        <f t="shared" si="19"/>
        <v>1607,'112166','AUTO 3° A'</v>
      </c>
      <c r="E608" s="12" t="str">
        <f t="shared" si="18"/>
        <v>INSERT INTO grupos (id,matricula,grupo) values (1607,'112166','AUTO 3° A');</v>
      </c>
    </row>
    <row r="609" spans="1:5" ht="43.5" x14ac:dyDescent="0.35">
      <c r="A609">
        <v>1608</v>
      </c>
      <c r="B609" t="s">
        <v>2588</v>
      </c>
      <c r="C609" t="s">
        <v>1840</v>
      </c>
      <c r="D609" s="12" t="str">
        <f t="shared" si="19"/>
        <v>1608,'112166','TC0302_5'</v>
      </c>
      <c r="E609" s="12" t="str">
        <f t="shared" si="18"/>
        <v>INSERT INTO grupos (id,matricula,grupo) values (1608,'112166','TC0302_5');</v>
      </c>
    </row>
    <row r="610" spans="1:5" ht="43.5" x14ac:dyDescent="0.35">
      <c r="A610">
        <v>1609</v>
      </c>
      <c r="B610" t="s">
        <v>2589</v>
      </c>
      <c r="C610" t="s">
        <v>1759</v>
      </c>
      <c r="D610" s="12" t="str">
        <f t="shared" si="19"/>
        <v>1609,'112167','ARQ 3°'</v>
      </c>
      <c r="E610" s="12" t="str">
        <f t="shared" si="18"/>
        <v>INSERT INTO grupos (id,matricula,grupo) values (1609,'112167','ARQ 3°');</v>
      </c>
    </row>
    <row r="611" spans="1:5" ht="43.5" x14ac:dyDescent="0.35">
      <c r="A611">
        <v>1610</v>
      </c>
      <c r="B611" t="s">
        <v>2589</v>
      </c>
      <c r="C611" t="s">
        <v>1837</v>
      </c>
      <c r="D611" s="12" t="str">
        <f t="shared" si="19"/>
        <v>1610,'112167','TC0302_2'</v>
      </c>
      <c r="E611" s="12" t="str">
        <f t="shared" si="18"/>
        <v>INSERT INTO grupos (id,matricula,grupo) values (1610,'112167','TC0302_2');</v>
      </c>
    </row>
    <row r="612" spans="1:5" ht="43.5" x14ac:dyDescent="0.35">
      <c r="A612">
        <v>1611</v>
      </c>
      <c r="B612" t="s">
        <v>2590</v>
      </c>
      <c r="C612" t="s">
        <v>1759</v>
      </c>
      <c r="D612" s="12" t="str">
        <f t="shared" si="19"/>
        <v>1611,'112168','ARQ 3°'</v>
      </c>
      <c r="E612" s="12" t="str">
        <f t="shared" si="18"/>
        <v>INSERT INTO grupos (id,matricula,grupo) values (1611,'112168','ARQ 3°');</v>
      </c>
    </row>
    <row r="613" spans="1:5" ht="43.5" x14ac:dyDescent="0.35">
      <c r="A613">
        <v>1612</v>
      </c>
      <c r="B613" t="s">
        <v>2590</v>
      </c>
      <c r="C613" t="s">
        <v>1838</v>
      </c>
      <c r="D613" s="12" t="str">
        <f t="shared" si="19"/>
        <v>1612,'112168','TC0302_3'</v>
      </c>
      <c r="E613" s="12" t="str">
        <f t="shared" si="18"/>
        <v>INSERT INTO grupos (id,matricula,grupo) values (1612,'112168','TC0302_3');</v>
      </c>
    </row>
    <row r="614" spans="1:5" ht="43.5" x14ac:dyDescent="0.35">
      <c r="A614">
        <v>1613</v>
      </c>
      <c r="B614" t="s">
        <v>2590</v>
      </c>
      <c r="C614" t="s">
        <v>1846</v>
      </c>
      <c r="D614" s="12" t="str">
        <f t="shared" si="19"/>
        <v>1613,'112168','TC0303_3'</v>
      </c>
      <c r="E614" s="12" t="str">
        <f t="shared" si="18"/>
        <v>INSERT INTO grupos (id,matricula,grupo) values (1613,'112168','TC0303_3');</v>
      </c>
    </row>
    <row r="615" spans="1:5" ht="43.5" x14ac:dyDescent="0.35">
      <c r="A615">
        <v>1614</v>
      </c>
      <c r="B615" t="s">
        <v>2591</v>
      </c>
      <c r="C615" t="s">
        <v>1759</v>
      </c>
      <c r="D615" s="12" t="str">
        <f t="shared" si="19"/>
        <v>1614,'112169','ARQ 3°'</v>
      </c>
      <c r="E615" s="12" t="str">
        <f t="shared" si="18"/>
        <v>INSERT INTO grupos (id,matricula,grupo) values (1614,'112169','ARQ 3°');</v>
      </c>
    </row>
    <row r="616" spans="1:5" ht="43.5" x14ac:dyDescent="0.35">
      <c r="A616">
        <v>1615</v>
      </c>
      <c r="B616" t="s">
        <v>2591</v>
      </c>
      <c r="C616" t="s">
        <v>1836</v>
      </c>
      <c r="D616" s="12" t="str">
        <f t="shared" si="19"/>
        <v>1615,'112169','TC0302_1'</v>
      </c>
      <c r="E616" s="12" t="str">
        <f t="shared" si="18"/>
        <v>INSERT INTO grupos (id,matricula,grupo) values (1615,'112169','TC0302_1');</v>
      </c>
    </row>
    <row r="617" spans="1:5" ht="43.5" x14ac:dyDescent="0.35">
      <c r="A617">
        <v>1616</v>
      </c>
      <c r="B617" t="s">
        <v>2591</v>
      </c>
      <c r="C617" t="s">
        <v>1844</v>
      </c>
      <c r="D617" s="12" t="str">
        <f t="shared" si="19"/>
        <v>1616,'112169','TC0303_1'</v>
      </c>
      <c r="E617" s="12" t="str">
        <f t="shared" si="18"/>
        <v>INSERT INTO grupos (id,matricula,grupo) values (1616,'112169','TC0303_1');</v>
      </c>
    </row>
    <row r="618" spans="1:5" ht="43.5" x14ac:dyDescent="0.35">
      <c r="A618">
        <v>1617</v>
      </c>
      <c r="B618" t="s">
        <v>2592</v>
      </c>
      <c r="C618" t="s">
        <v>1779</v>
      </c>
      <c r="D618" s="12" t="str">
        <f t="shared" si="19"/>
        <v>1617,'112170','PSI 3°'</v>
      </c>
      <c r="E618" s="12" t="str">
        <f t="shared" si="18"/>
        <v>INSERT INTO grupos (id,matricula,grupo) values (1617,'112170','PSI 3°');</v>
      </c>
    </row>
    <row r="619" spans="1:5" ht="43.5" x14ac:dyDescent="0.35">
      <c r="A619">
        <v>1618</v>
      </c>
      <c r="B619" t="s">
        <v>2592</v>
      </c>
      <c r="C619" t="s">
        <v>1841</v>
      </c>
      <c r="D619" s="12" t="str">
        <f t="shared" si="19"/>
        <v>1618,'112170','TC0302_6'</v>
      </c>
      <c r="E619" s="12" t="str">
        <f t="shared" si="18"/>
        <v>INSERT INTO grupos (id,matricula,grupo) values (1618,'112170','TC0302_6');</v>
      </c>
    </row>
    <row r="620" spans="1:5" ht="43.5" x14ac:dyDescent="0.35">
      <c r="A620">
        <v>1619</v>
      </c>
      <c r="B620" t="s">
        <v>2592</v>
      </c>
      <c r="C620" t="s">
        <v>1849</v>
      </c>
      <c r="D620" s="12" t="str">
        <f t="shared" si="19"/>
        <v>1619,'112170','TC0303_6'</v>
      </c>
      <c r="E620" s="12" t="str">
        <f t="shared" si="18"/>
        <v>INSERT INTO grupos (id,matricula,grupo) values (1619,'112170','TC0303_6');</v>
      </c>
    </row>
    <row r="621" spans="1:5" ht="43.5" x14ac:dyDescent="0.35">
      <c r="A621">
        <v>1620</v>
      </c>
      <c r="B621" t="s">
        <v>2593</v>
      </c>
      <c r="C621" t="s">
        <v>1779</v>
      </c>
      <c r="D621" s="12" t="str">
        <f t="shared" si="19"/>
        <v>1620,'112171','PSI 3°'</v>
      </c>
      <c r="E621" s="12" t="str">
        <f t="shared" si="18"/>
        <v>INSERT INTO grupos (id,matricula,grupo) values (1620,'112171','PSI 3°');</v>
      </c>
    </row>
    <row r="622" spans="1:5" ht="43.5" x14ac:dyDescent="0.35">
      <c r="A622">
        <v>1621</v>
      </c>
      <c r="B622" t="s">
        <v>2593</v>
      </c>
      <c r="C622" t="s">
        <v>1840</v>
      </c>
      <c r="D622" s="12" t="str">
        <f t="shared" si="19"/>
        <v>1621,'112171','TC0302_5'</v>
      </c>
      <c r="E622" s="12" t="str">
        <f t="shared" si="18"/>
        <v>INSERT INTO grupos (id,matricula,grupo) values (1621,'112171','TC0302_5');</v>
      </c>
    </row>
    <row r="623" spans="1:5" ht="43.5" x14ac:dyDescent="0.35">
      <c r="A623">
        <v>1622</v>
      </c>
      <c r="B623" t="s">
        <v>2594</v>
      </c>
      <c r="C623" t="s">
        <v>1779</v>
      </c>
      <c r="D623" s="12" t="str">
        <f t="shared" si="19"/>
        <v>1622,'112172','PSI 3°'</v>
      </c>
      <c r="E623" s="12" t="str">
        <f t="shared" si="18"/>
        <v>INSERT INTO grupos (id,matricula,grupo) values (1622,'112172','PSI 3°');</v>
      </c>
    </row>
    <row r="624" spans="1:5" ht="43.5" x14ac:dyDescent="0.35">
      <c r="A624">
        <v>1623</v>
      </c>
      <c r="B624" t="s">
        <v>2594</v>
      </c>
      <c r="C624" t="s">
        <v>1840</v>
      </c>
      <c r="D624" s="12" t="str">
        <f t="shared" si="19"/>
        <v>1623,'112172','TC0302_5'</v>
      </c>
      <c r="E624" s="12" t="str">
        <f t="shared" si="18"/>
        <v>INSERT INTO grupos (id,matricula,grupo) values (1623,'112172','TC0302_5');</v>
      </c>
    </row>
    <row r="625" spans="1:5" ht="43.5" x14ac:dyDescent="0.35">
      <c r="A625">
        <v>1624</v>
      </c>
      <c r="B625" t="s">
        <v>2595</v>
      </c>
      <c r="C625" t="s">
        <v>1779</v>
      </c>
      <c r="D625" s="12" t="str">
        <f t="shared" si="19"/>
        <v>1624,'112173','PSI 3°'</v>
      </c>
      <c r="E625" s="12" t="str">
        <f t="shared" si="18"/>
        <v>INSERT INTO grupos (id,matricula,grupo) values (1624,'112173','PSI 3°');</v>
      </c>
    </row>
    <row r="626" spans="1:5" ht="43.5" x14ac:dyDescent="0.35">
      <c r="A626">
        <v>1625</v>
      </c>
      <c r="B626" t="s">
        <v>2595</v>
      </c>
      <c r="C626" t="s">
        <v>1840</v>
      </c>
      <c r="D626" s="12" t="str">
        <f t="shared" si="19"/>
        <v>1625,'112173','TC0302_5'</v>
      </c>
      <c r="E626" s="12" t="str">
        <f t="shared" si="18"/>
        <v>INSERT INTO grupos (id,matricula,grupo) values (1625,'112173','TC0302_5');</v>
      </c>
    </row>
    <row r="627" spans="1:5" ht="43.5" x14ac:dyDescent="0.35">
      <c r="A627">
        <v>1626</v>
      </c>
      <c r="B627" t="s">
        <v>2596</v>
      </c>
      <c r="C627" t="s">
        <v>1778</v>
      </c>
      <c r="D627" s="12" t="str">
        <f t="shared" si="19"/>
        <v>1626,'112174','AUTO 3° B'</v>
      </c>
      <c r="E627" s="12" t="str">
        <f t="shared" si="18"/>
        <v>INSERT INTO grupos (id,matricula,grupo) values (1626,'112174','AUTO 3° B');</v>
      </c>
    </row>
    <row r="628" spans="1:5" ht="43.5" x14ac:dyDescent="0.35">
      <c r="A628">
        <v>1627</v>
      </c>
      <c r="B628" t="s">
        <v>2596</v>
      </c>
      <c r="C628" t="s">
        <v>1840</v>
      </c>
      <c r="D628" s="12" t="str">
        <f t="shared" si="19"/>
        <v>1627,'112174','TC0302_5'</v>
      </c>
      <c r="E628" s="12" t="str">
        <f t="shared" si="18"/>
        <v>INSERT INTO grupos (id,matricula,grupo) values (1627,'112174','TC0302_5');</v>
      </c>
    </row>
    <row r="629" spans="1:5" ht="43.5" x14ac:dyDescent="0.35">
      <c r="A629">
        <v>1628</v>
      </c>
      <c r="B629" t="s">
        <v>2597</v>
      </c>
      <c r="C629" t="s">
        <v>1774</v>
      </c>
      <c r="D629" s="12" t="str">
        <f t="shared" si="19"/>
        <v>1628,'112175','AUTO 3° A'</v>
      </c>
      <c r="E629" s="12" t="str">
        <f t="shared" si="18"/>
        <v>INSERT INTO grupos (id,matricula,grupo) values (1628,'112175','AUTO 3° A');</v>
      </c>
    </row>
    <row r="630" spans="1:5" ht="43.5" x14ac:dyDescent="0.35">
      <c r="A630">
        <v>1629</v>
      </c>
      <c r="B630" t="s">
        <v>2597</v>
      </c>
      <c r="C630" t="s">
        <v>1839</v>
      </c>
      <c r="D630" s="12" t="str">
        <f t="shared" si="19"/>
        <v>1629,'112175','TC0302_4'</v>
      </c>
      <c r="E630" s="12" t="str">
        <f t="shared" si="18"/>
        <v>INSERT INTO grupos (id,matricula,grupo) values (1629,'112175','TC0302_4');</v>
      </c>
    </row>
    <row r="631" spans="1:5" ht="43.5" x14ac:dyDescent="0.35">
      <c r="A631">
        <v>1630</v>
      </c>
      <c r="B631" t="s">
        <v>2597</v>
      </c>
      <c r="C631" t="s">
        <v>1847</v>
      </c>
      <c r="D631" s="12" t="str">
        <f t="shared" si="19"/>
        <v>1630,'112175','TC0303_4'</v>
      </c>
      <c r="E631" s="12" t="str">
        <f t="shared" si="18"/>
        <v>INSERT INTO grupos (id,matricula,grupo) values (1630,'112175','TC0303_4');</v>
      </c>
    </row>
    <row r="632" spans="1:5" ht="43.5" x14ac:dyDescent="0.35">
      <c r="A632">
        <v>1631</v>
      </c>
      <c r="B632" t="s">
        <v>2598</v>
      </c>
      <c r="C632" t="s">
        <v>1775</v>
      </c>
      <c r="D632" s="12" t="str">
        <f t="shared" si="19"/>
        <v>1631,'112176','AERO 3°B'</v>
      </c>
      <c r="E632" s="12" t="str">
        <f t="shared" si="18"/>
        <v>INSERT INTO grupos (id,matricula,grupo) values (1631,'112176','AERO 3°B');</v>
      </c>
    </row>
    <row r="633" spans="1:5" ht="43.5" x14ac:dyDescent="0.35">
      <c r="A633">
        <v>1632</v>
      </c>
      <c r="B633" t="s">
        <v>2598</v>
      </c>
      <c r="C633" t="s">
        <v>1838</v>
      </c>
      <c r="D633" s="12" t="str">
        <f t="shared" si="19"/>
        <v>1632,'112176','TC0302_3'</v>
      </c>
      <c r="E633" s="12" t="str">
        <f t="shared" si="18"/>
        <v>INSERT INTO grupos (id,matricula,grupo) values (1632,'112176','TC0302_3');</v>
      </c>
    </row>
    <row r="634" spans="1:5" ht="43.5" x14ac:dyDescent="0.35">
      <c r="A634">
        <v>1633</v>
      </c>
      <c r="B634" t="s">
        <v>2598</v>
      </c>
      <c r="C634" t="s">
        <v>1846</v>
      </c>
      <c r="D634" s="12" t="str">
        <f t="shared" si="19"/>
        <v>1633,'112176','TC0303_3'</v>
      </c>
      <c r="E634" s="12" t="str">
        <f t="shared" si="18"/>
        <v>INSERT INTO grupos (id,matricula,grupo) values (1633,'112176','TC0303_3');</v>
      </c>
    </row>
    <row r="635" spans="1:5" ht="43.5" x14ac:dyDescent="0.35">
      <c r="A635">
        <v>1634</v>
      </c>
      <c r="B635" t="s">
        <v>2599</v>
      </c>
      <c r="C635" t="s">
        <v>1776</v>
      </c>
      <c r="D635" s="12" t="str">
        <f t="shared" si="19"/>
        <v>1634,'112177','AERO 3°A'</v>
      </c>
      <c r="E635" s="12" t="str">
        <f t="shared" si="18"/>
        <v>INSERT INTO grupos (id,matricula,grupo) values (1634,'112177','AERO 3°A');</v>
      </c>
    </row>
    <row r="636" spans="1:5" ht="43.5" x14ac:dyDescent="0.35">
      <c r="A636">
        <v>1635</v>
      </c>
      <c r="B636" t="s">
        <v>2599</v>
      </c>
      <c r="C636" t="s">
        <v>1838</v>
      </c>
      <c r="D636" s="12" t="str">
        <f t="shared" si="19"/>
        <v>1635,'112177','TC0302_3'</v>
      </c>
      <c r="E636" s="12" t="str">
        <f t="shared" si="18"/>
        <v>INSERT INTO grupos (id,matricula,grupo) values (1635,'112177','TC0302_3');</v>
      </c>
    </row>
    <row r="637" spans="1:5" ht="43.5" x14ac:dyDescent="0.35">
      <c r="A637">
        <v>1636</v>
      </c>
      <c r="B637" t="s">
        <v>2599</v>
      </c>
      <c r="C637" t="s">
        <v>1846</v>
      </c>
      <c r="D637" s="12" t="str">
        <f t="shared" si="19"/>
        <v>1636,'112177','TC0303_3'</v>
      </c>
      <c r="E637" s="12" t="str">
        <f t="shared" si="18"/>
        <v>INSERT INTO grupos (id,matricula,grupo) values (1636,'112177','TC0303_3');</v>
      </c>
    </row>
    <row r="638" spans="1:5" ht="43.5" x14ac:dyDescent="0.35">
      <c r="A638">
        <v>1637</v>
      </c>
      <c r="B638" t="s">
        <v>2600</v>
      </c>
      <c r="C638" t="s">
        <v>1775</v>
      </c>
      <c r="D638" s="12" t="str">
        <f t="shared" si="19"/>
        <v>1637,'112178','AERO 3°B'</v>
      </c>
      <c r="E638" s="12" t="str">
        <f t="shared" si="18"/>
        <v>INSERT INTO grupos (id,matricula,grupo) values (1637,'112178','AERO 3°B');</v>
      </c>
    </row>
    <row r="639" spans="1:5" ht="43.5" x14ac:dyDescent="0.35">
      <c r="A639">
        <v>1638</v>
      </c>
      <c r="B639" t="s">
        <v>2600</v>
      </c>
      <c r="C639" t="s">
        <v>1836</v>
      </c>
      <c r="D639" s="12" t="str">
        <f t="shared" si="19"/>
        <v>1638,'112178','TC0302_1'</v>
      </c>
      <c r="E639" s="12" t="str">
        <f t="shared" si="18"/>
        <v>INSERT INTO grupos (id,matricula,grupo) values (1638,'112178','TC0302_1');</v>
      </c>
    </row>
    <row r="640" spans="1:5" ht="43.5" x14ac:dyDescent="0.35">
      <c r="A640">
        <v>1639</v>
      </c>
      <c r="B640" t="s">
        <v>2600</v>
      </c>
      <c r="C640" t="s">
        <v>1844</v>
      </c>
      <c r="D640" s="12" t="str">
        <f t="shared" si="19"/>
        <v>1639,'112178','TC0303_1'</v>
      </c>
      <c r="E640" s="12" t="str">
        <f t="shared" si="18"/>
        <v>INSERT INTO grupos (id,matricula,grupo) values (1639,'112178','TC0303_1');</v>
      </c>
    </row>
    <row r="641" spans="1:5" ht="43.5" x14ac:dyDescent="0.35">
      <c r="A641">
        <v>1640</v>
      </c>
      <c r="B641" t="s">
        <v>2601</v>
      </c>
      <c r="C641" t="s">
        <v>1776</v>
      </c>
      <c r="D641" s="12" t="str">
        <f t="shared" si="19"/>
        <v>1640,'112179','AERO 3°A'</v>
      </c>
      <c r="E641" s="12" t="str">
        <f t="shared" si="18"/>
        <v>INSERT INTO grupos (id,matricula,grupo) values (1640,'112179','AERO 3°A');</v>
      </c>
    </row>
    <row r="642" spans="1:5" ht="43.5" x14ac:dyDescent="0.35">
      <c r="A642">
        <v>1641</v>
      </c>
      <c r="B642" t="s">
        <v>2601</v>
      </c>
      <c r="C642" t="s">
        <v>1837</v>
      </c>
      <c r="D642" s="12" t="str">
        <f t="shared" si="19"/>
        <v>1641,'112179','TC0302_2'</v>
      </c>
      <c r="E642" s="12" t="str">
        <f t="shared" ref="E642:E705" si="20">CONCATENATE($D$1,D642,");")</f>
        <v>INSERT INTO grupos (id,matricula,grupo) values (1641,'112179','TC0302_2');</v>
      </c>
    </row>
    <row r="643" spans="1:5" ht="43.5" x14ac:dyDescent="0.35">
      <c r="A643">
        <v>1642</v>
      </c>
      <c r="B643" t="s">
        <v>2602</v>
      </c>
      <c r="C643" t="s">
        <v>1776</v>
      </c>
      <c r="D643" s="12" t="str">
        <f t="shared" ref="D643:D706" si="21">CONCATENATE(A643,",'",TRIM(B643),"','",C643,"'")</f>
        <v>1642,'112180','AERO 3°A'</v>
      </c>
      <c r="E643" s="12" t="str">
        <f t="shared" si="20"/>
        <v>INSERT INTO grupos (id,matricula,grupo) values (1642,'112180','AERO 3°A');</v>
      </c>
    </row>
    <row r="644" spans="1:5" ht="43.5" x14ac:dyDescent="0.35">
      <c r="A644">
        <v>1643</v>
      </c>
      <c r="B644" t="s">
        <v>2602</v>
      </c>
      <c r="C644" t="s">
        <v>1838</v>
      </c>
      <c r="D644" s="12" t="str">
        <f t="shared" si="21"/>
        <v>1643,'112180','TC0302_3'</v>
      </c>
      <c r="E644" s="12" t="str">
        <f t="shared" si="20"/>
        <v>INSERT INTO grupos (id,matricula,grupo) values (1643,'112180','TC0302_3');</v>
      </c>
    </row>
    <row r="645" spans="1:5" ht="43.5" x14ac:dyDescent="0.35">
      <c r="A645">
        <v>1644</v>
      </c>
      <c r="B645" t="s">
        <v>2602</v>
      </c>
      <c r="C645" t="s">
        <v>1846</v>
      </c>
      <c r="D645" s="12" t="str">
        <f t="shared" si="21"/>
        <v>1644,'112180','TC0303_3'</v>
      </c>
      <c r="E645" s="12" t="str">
        <f t="shared" si="20"/>
        <v>INSERT INTO grupos (id,matricula,grupo) values (1644,'112180','TC0303_3');</v>
      </c>
    </row>
    <row r="646" spans="1:5" ht="43.5" x14ac:dyDescent="0.35">
      <c r="A646">
        <v>1645</v>
      </c>
      <c r="B646" t="s">
        <v>2603</v>
      </c>
      <c r="C646" t="s">
        <v>1776</v>
      </c>
      <c r="D646" s="12" t="str">
        <f t="shared" si="21"/>
        <v>1645,'112181','AERO 3°A'</v>
      </c>
      <c r="E646" s="12" t="str">
        <f t="shared" si="20"/>
        <v>INSERT INTO grupos (id,matricula,grupo) values (1645,'112181','AERO 3°A');</v>
      </c>
    </row>
    <row r="647" spans="1:5" ht="43.5" x14ac:dyDescent="0.35">
      <c r="A647">
        <v>1646</v>
      </c>
      <c r="B647" t="s">
        <v>2603</v>
      </c>
      <c r="C647" t="s">
        <v>1837</v>
      </c>
      <c r="D647" s="12" t="str">
        <f t="shared" si="21"/>
        <v>1646,'112181','TC0302_2'</v>
      </c>
      <c r="E647" s="12" t="str">
        <f t="shared" si="20"/>
        <v>INSERT INTO grupos (id,matricula,grupo) values (1646,'112181','TC0302_2');</v>
      </c>
    </row>
    <row r="648" spans="1:5" ht="43.5" x14ac:dyDescent="0.35">
      <c r="A648">
        <v>1647</v>
      </c>
      <c r="B648" t="s">
        <v>2604</v>
      </c>
      <c r="C648" t="s">
        <v>1781</v>
      </c>
      <c r="D648" s="12" t="str">
        <f t="shared" si="21"/>
        <v>1647,'112182','ADMON 3°'</v>
      </c>
      <c r="E648" s="12" t="str">
        <f t="shared" si="20"/>
        <v>INSERT INTO grupos (id,matricula,grupo) values (1647,'112182','ADMON 3°');</v>
      </c>
    </row>
    <row r="649" spans="1:5" ht="43.5" x14ac:dyDescent="0.35">
      <c r="A649">
        <v>1648</v>
      </c>
      <c r="B649" t="s">
        <v>2604</v>
      </c>
      <c r="C649" t="s">
        <v>1837</v>
      </c>
      <c r="D649" s="12" t="str">
        <f t="shared" si="21"/>
        <v>1648,'112182','TC0302_2'</v>
      </c>
      <c r="E649" s="12" t="str">
        <f t="shared" si="20"/>
        <v>INSERT INTO grupos (id,matricula,grupo) values (1648,'112182','TC0302_2');</v>
      </c>
    </row>
    <row r="650" spans="1:5" ht="43.5" x14ac:dyDescent="0.35">
      <c r="A650">
        <v>1649</v>
      </c>
      <c r="B650" t="s">
        <v>2605</v>
      </c>
      <c r="C650" t="s">
        <v>1776</v>
      </c>
      <c r="D650" s="12" t="str">
        <f t="shared" si="21"/>
        <v>1649,'112183','AERO 3°A'</v>
      </c>
      <c r="E650" s="12" t="str">
        <f t="shared" si="20"/>
        <v>INSERT INTO grupos (id,matricula,grupo) values (1649,'112183','AERO 3°A');</v>
      </c>
    </row>
    <row r="651" spans="1:5" ht="43.5" x14ac:dyDescent="0.35">
      <c r="A651">
        <v>1650</v>
      </c>
      <c r="B651" t="s">
        <v>2605</v>
      </c>
      <c r="C651" t="s">
        <v>1836</v>
      </c>
      <c r="D651" s="12" t="str">
        <f t="shared" si="21"/>
        <v>1650,'112183','TC0302_1'</v>
      </c>
      <c r="E651" s="12" t="str">
        <f t="shared" si="20"/>
        <v>INSERT INTO grupos (id,matricula,grupo) values (1650,'112183','TC0302_1');</v>
      </c>
    </row>
    <row r="652" spans="1:5" ht="43.5" x14ac:dyDescent="0.35">
      <c r="A652">
        <v>1651</v>
      </c>
      <c r="B652" t="s">
        <v>2605</v>
      </c>
      <c r="C652" t="s">
        <v>1844</v>
      </c>
      <c r="D652" s="12" t="str">
        <f t="shared" si="21"/>
        <v>1651,'112183','TC0303_1'</v>
      </c>
      <c r="E652" s="12" t="str">
        <f t="shared" si="20"/>
        <v>INSERT INTO grupos (id,matricula,grupo) values (1651,'112183','TC0303_1');</v>
      </c>
    </row>
    <row r="653" spans="1:5" ht="43.5" x14ac:dyDescent="0.35">
      <c r="A653">
        <v>1652</v>
      </c>
      <c r="B653" t="s">
        <v>2606</v>
      </c>
      <c r="C653" t="s">
        <v>1776</v>
      </c>
      <c r="D653" s="12" t="str">
        <f t="shared" si="21"/>
        <v>1652,'112184','AERO 3°A'</v>
      </c>
      <c r="E653" s="12" t="str">
        <f t="shared" si="20"/>
        <v>INSERT INTO grupos (id,matricula,grupo) values (1652,'112184','AERO 3°A');</v>
      </c>
    </row>
    <row r="654" spans="1:5" ht="43.5" x14ac:dyDescent="0.35">
      <c r="A654">
        <v>1653</v>
      </c>
      <c r="B654" t="s">
        <v>2606</v>
      </c>
      <c r="C654" t="s">
        <v>1838</v>
      </c>
      <c r="D654" s="12" t="str">
        <f t="shared" si="21"/>
        <v>1653,'112184','TC0302_3'</v>
      </c>
      <c r="E654" s="12" t="str">
        <f t="shared" si="20"/>
        <v>INSERT INTO grupos (id,matricula,grupo) values (1653,'112184','TC0302_3');</v>
      </c>
    </row>
    <row r="655" spans="1:5" ht="43.5" x14ac:dyDescent="0.35">
      <c r="A655">
        <v>1654</v>
      </c>
      <c r="B655" t="s">
        <v>2606</v>
      </c>
      <c r="C655" t="s">
        <v>1846</v>
      </c>
      <c r="D655" s="12" t="str">
        <f t="shared" si="21"/>
        <v>1654,'112184','TC0303_3'</v>
      </c>
      <c r="E655" s="12" t="str">
        <f t="shared" si="20"/>
        <v>INSERT INTO grupos (id,matricula,grupo) values (1654,'112184','TC0303_3');</v>
      </c>
    </row>
    <row r="656" spans="1:5" ht="43.5" x14ac:dyDescent="0.35">
      <c r="A656">
        <v>1655</v>
      </c>
      <c r="B656" t="s">
        <v>2607</v>
      </c>
      <c r="C656" t="s">
        <v>1775</v>
      </c>
      <c r="D656" s="12" t="str">
        <f t="shared" si="21"/>
        <v>1655,'112185','AERO 3°B'</v>
      </c>
      <c r="E656" s="12" t="str">
        <f t="shared" si="20"/>
        <v>INSERT INTO grupos (id,matricula,grupo) values (1655,'112185','AERO 3°B');</v>
      </c>
    </row>
    <row r="657" spans="1:5" ht="43.5" x14ac:dyDescent="0.35">
      <c r="A657">
        <v>1656</v>
      </c>
      <c r="B657" t="s">
        <v>2607</v>
      </c>
      <c r="C657" t="s">
        <v>1836</v>
      </c>
      <c r="D657" s="12" t="str">
        <f t="shared" si="21"/>
        <v>1656,'112185','TC0302_1'</v>
      </c>
      <c r="E657" s="12" t="str">
        <f t="shared" si="20"/>
        <v>INSERT INTO grupos (id,matricula,grupo) values (1656,'112185','TC0302_1');</v>
      </c>
    </row>
    <row r="658" spans="1:5" ht="43.5" x14ac:dyDescent="0.35">
      <c r="A658">
        <v>1657</v>
      </c>
      <c r="B658" t="s">
        <v>2607</v>
      </c>
      <c r="C658" t="s">
        <v>1844</v>
      </c>
      <c r="D658" s="12" t="str">
        <f t="shared" si="21"/>
        <v>1657,'112185','TC0303_1'</v>
      </c>
      <c r="E658" s="12" t="str">
        <f t="shared" si="20"/>
        <v>INSERT INTO grupos (id,matricula,grupo) values (1657,'112185','TC0303_1');</v>
      </c>
    </row>
    <row r="659" spans="1:5" ht="43.5" x14ac:dyDescent="0.35">
      <c r="A659">
        <v>1658</v>
      </c>
      <c r="B659" t="s">
        <v>2608</v>
      </c>
      <c r="C659" t="s">
        <v>1772</v>
      </c>
      <c r="D659" s="12" t="str">
        <f t="shared" si="21"/>
        <v>1658,'112186','NUT 3°'</v>
      </c>
      <c r="E659" s="12" t="str">
        <f t="shared" si="20"/>
        <v>INSERT INTO grupos (id,matricula,grupo) values (1658,'112186','NUT 3°');</v>
      </c>
    </row>
    <row r="660" spans="1:5" ht="43.5" x14ac:dyDescent="0.35">
      <c r="A660">
        <v>1659</v>
      </c>
      <c r="B660" t="s">
        <v>2608</v>
      </c>
      <c r="C660" t="s">
        <v>1836</v>
      </c>
      <c r="D660" s="12" t="str">
        <f t="shared" si="21"/>
        <v>1659,'112186','TC0302_1'</v>
      </c>
      <c r="E660" s="12" t="str">
        <f t="shared" si="20"/>
        <v>INSERT INTO grupos (id,matricula,grupo) values (1659,'112186','TC0302_1');</v>
      </c>
    </row>
    <row r="661" spans="1:5" ht="43.5" x14ac:dyDescent="0.35">
      <c r="A661">
        <v>1660</v>
      </c>
      <c r="B661" t="s">
        <v>2608</v>
      </c>
      <c r="C661" t="s">
        <v>1844</v>
      </c>
      <c r="D661" s="12" t="str">
        <f t="shared" si="21"/>
        <v>1660,'112186','TC0303_1'</v>
      </c>
      <c r="E661" s="12" t="str">
        <f t="shared" si="20"/>
        <v>INSERT INTO grupos (id,matricula,grupo) values (1660,'112186','TC0303_1');</v>
      </c>
    </row>
    <row r="662" spans="1:5" ht="43.5" x14ac:dyDescent="0.35">
      <c r="A662">
        <v>1661</v>
      </c>
      <c r="B662" t="s">
        <v>2609</v>
      </c>
      <c r="C662" t="s">
        <v>1775</v>
      </c>
      <c r="D662" s="12" t="str">
        <f t="shared" si="21"/>
        <v>1661,'112187','AERO 3°B'</v>
      </c>
      <c r="E662" s="12" t="str">
        <f t="shared" si="20"/>
        <v>INSERT INTO grupos (id,matricula,grupo) values (1661,'112187','AERO 3°B');</v>
      </c>
    </row>
    <row r="663" spans="1:5" ht="43.5" x14ac:dyDescent="0.35">
      <c r="A663">
        <v>1662</v>
      </c>
      <c r="B663" t="s">
        <v>2609</v>
      </c>
      <c r="C663" t="s">
        <v>1836</v>
      </c>
      <c r="D663" s="12" t="str">
        <f t="shared" si="21"/>
        <v>1662,'112187','TC0302_1'</v>
      </c>
      <c r="E663" s="12" t="str">
        <f t="shared" si="20"/>
        <v>INSERT INTO grupos (id,matricula,grupo) values (1662,'112187','TC0302_1');</v>
      </c>
    </row>
    <row r="664" spans="1:5" ht="43.5" x14ac:dyDescent="0.35">
      <c r="A664">
        <v>1663</v>
      </c>
      <c r="B664" t="s">
        <v>2609</v>
      </c>
      <c r="C664" t="s">
        <v>1844</v>
      </c>
      <c r="D664" s="12" t="str">
        <f t="shared" si="21"/>
        <v>1663,'112187','TC0303_1'</v>
      </c>
      <c r="E664" s="12" t="str">
        <f t="shared" si="20"/>
        <v>INSERT INTO grupos (id,matricula,grupo) values (1663,'112187','TC0303_1');</v>
      </c>
    </row>
    <row r="665" spans="1:5" ht="43.5" x14ac:dyDescent="0.35">
      <c r="A665">
        <v>1664</v>
      </c>
      <c r="B665" t="s">
        <v>2610</v>
      </c>
      <c r="C665" t="s">
        <v>1776</v>
      </c>
      <c r="D665" s="12" t="str">
        <f t="shared" si="21"/>
        <v>1664,'112188','AERO 3°A'</v>
      </c>
      <c r="E665" s="12" t="str">
        <f t="shared" si="20"/>
        <v>INSERT INTO grupos (id,matricula,grupo) values (1664,'112188','AERO 3°A');</v>
      </c>
    </row>
    <row r="666" spans="1:5" ht="43.5" x14ac:dyDescent="0.35">
      <c r="A666">
        <v>1665</v>
      </c>
      <c r="B666" t="s">
        <v>2610</v>
      </c>
      <c r="C666" t="s">
        <v>1836</v>
      </c>
      <c r="D666" s="12" t="str">
        <f t="shared" si="21"/>
        <v>1665,'112188','TC0302_1'</v>
      </c>
      <c r="E666" s="12" t="str">
        <f t="shared" si="20"/>
        <v>INSERT INTO grupos (id,matricula,grupo) values (1665,'112188','TC0302_1');</v>
      </c>
    </row>
    <row r="667" spans="1:5" ht="43.5" x14ac:dyDescent="0.35">
      <c r="A667">
        <v>1666</v>
      </c>
      <c r="B667" t="s">
        <v>2610</v>
      </c>
      <c r="C667" t="s">
        <v>1844</v>
      </c>
      <c r="D667" s="12" t="str">
        <f t="shared" si="21"/>
        <v>1666,'112188','TC0303_1'</v>
      </c>
      <c r="E667" s="12" t="str">
        <f t="shared" si="20"/>
        <v>INSERT INTO grupos (id,matricula,grupo) values (1666,'112188','TC0303_1');</v>
      </c>
    </row>
    <row r="668" spans="1:5" ht="43.5" x14ac:dyDescent="0.35">
      <c r="A668">
        <v>1667</v>
      </c>
      <c r="B668" t="s">
        <v>2611</v>
      </c>
      <c r="C668" t="s">
        <v>1778</v>
      </c>
      <c r="D668" s="12" t="str">
        <f t="shared" si="21"/>
        <v>1667,'112189','AUTO 3° B'</v>
      </c>
      <c r="E668" s="12" t="str">
        <f t="shared" si="20"/>
        <v>INSERT INTO grupos (id,matricula,grupo) values (1667,'112189','AUTO 3° B');</v>
      </c>
    </row>
    <row r="669" spans="1:5" ht="43.5" x14ac:dyDescent="0.35">
      <c r="A669">
        <v>1668</v>
      </c>
      <c r="B669" t="s">
        <v>2611</v>
      </c>
      <c r="C669" t="s">
        <v>1841</v>
      </c>
      <c r="D669" s="12" t="str">
        <f t="shared" si="21"/>
        <v>1668,'112189','TC0302_6'</v>
      </c>
      <c r="E669" s="12" t="str">
        <f t="shared" si="20"/>
        <v>INSERT INTO grupos (id,matricula,grupo) values (1668,'112189','TC0302_6');</v>
      </c>
    </row>
    <row r="670" spans="1:5" ht="43.5" x14ac:dyDescent="0.35">
      <c r="A670">
        <v>1669</v>
      </c>
      <c r="B670" t="s">
        <v>2611</v>
      </c>
      <c r="C670" t="s">
        <v>1849</v>
      </c>
      <c r="D670" s="12" t="str">
        <f t="shared" si="21"/>
        <v>1669,'112189','TC0303_6'</v>
      </c>
      <c r="E670" s="12" t="str">
        <f t="shared" si="20"/>
        <v>INSERT INTO grupos (id,matricula,grupo) values (1669,'112189','TC0303_6');</v>
      </c>
    </row>
    <row r="671" spans="1:5" ht="43.5" x14ac:dyDescent="0.35">
      <c r="A671">
        <v>1670</v>
      </c>
      <c r="B671" t="s">
        <v>2612</v>
      </c>
      <c r="C671" t="s">
        <v>1774</v>
      </c>
      <c r="D671" s="12" t="str">
        <f t="shared" si="21"/>
        <v>1670,'112190','AUTO 3° A'</v>
      </c>
      <c r="E671" s="12" t="str">
        <f t="shared" si="20"/>
        <v>INSERT INTO grupos (id,matricula,grupo) values (1670,'112190','AUTO 3° A');</v>
      </c>
    </row>
    <row r="672" spans="1:5" ht="43.5" x14ac:dyDescent="0.35">
      <c r="A672">
        <v>1671</v>
      </c>
      <c r="B672" t="s">
        <v>2612</v>
      </c>
      <c r="C672" t="s">
        <v>1840</v>
      </c>
      <c r="D672" s="12" t="str">
        <f t="shared" si="21"/>
        <v>1671,'112190','TC0302_5'</v>
      </c>
      <c r="E672" s="12" t="str">
        <f t="shared" si="20"/>
        <v>INSERT INTO grupos (id,matricula,grupo) values (1671,'112190','TC0302_5');</v>
      </c>
    </row>
    <row r="673" spans="1:5" ht="43.5" x14ac:dyDescent="0.35">
      <c r="A673">
        <v>1672</v>
      </c>
      <c r="B673" t="s">
        <v>2613</v>
      </c>
      <c r="C673" t="s">
        <v>1778</v>
      </c>
      <c r="D673" s="12" t="str">
        <f t="shared" si="21"/>
        <v>1672,'112191','AUTO 3° B'</v>
      </c>
      <c r="E673" s="12" t="str">
        <f t="shared" si="20"/>
        <v>INSERT INTO grupos (id,matricula,grupo) values (1672,'112191','AUTO 3° B');</v>
      </c>
    </row>
    <row r="674" spans="1:5" ht="43.5" x14ac:dyDescent="0.35">
      <c r="A674">
        <v>1673</v>
      </c>
      <c r="B674" t="s">
        <v>2613</v>
      </c>
      <c r="C674" t="s">
        <v>1841</v>
      </c>
      <c r="D674" s="12" t="str">
        <f t="shared" si="21"/>
        <v>1673,'112191','TC0302_6'</v>
      </c>
      <c r="E674" s="12" t="str">
        <f t="shared" si="20"/>
        <v>INSERT INTO grupos (id,matricula,grupo) values (1673,'112191','TC0302_6');</v>
      </c>
    </row>
    <row r="675" spans="1:5" ht="43.5" x14ac:dyDescent="0.35">
      <c r="A675">
        <v>1674</v>
      </c>
      <c r="B675" t="s">
        <v>2613</v>
      </c>
      <c r="C675" t="s">
        <v>1849</v>
      </c>
      <c r="D675" s="12" t="str">
        <f t="shared" si="21"/>
        <v>1674,'112191','TC0303_6'</v>
      </c>
      <c r="E675" s="12" t="str">
        <f t="shared" si="20"/>
        <v>INSERT INTO grupos (id,matricula,grupo) values (1674,'112191','TC0303_6');</v>
      </c>
    </row>
    <row r="676" spans="1:5" ht="43.5" x14ac:dyDescent="0.35">
      <c r="A676">
        <v>1675</v>
      </c>
      <c r="B676" t="s">
        <v>2614</v>
      </c>
      <c r="C676" t="s">
        <v>1778</v>
      </c>
      <c r="D676" s="12" t="str">
        <f t="shared" si="21"/>
        <v>1675,'112192','AUTO 3° B'</v>
      </c>
      <c r="E676" s="12" t="str">
        <f t="shared" si="20"/>
        <v>INSERT INTO grupos (id,matricula,grupo) values (1675,'112192','AUTO 3° B');</v>
      </c>
    </row>
    <row r="677" spans="1:5" ht="43.5" x14ac:dyDescent="0.35">
      <c r="A677">
        <v>1676</v>
      </c>
      <c r="B677" t="s">
        <v>2614</v>
      </c>
      <c r="C677" t="s">
        <v>1839</v>
      </c>
      <c r="D677" s="12" t="str">
        <f t="shared" si="21"/>
        <v>1676,'112192','TC0302_4'</v>
      </c>
      <c r="E677" s="12" t="str">
        <f t="shared" si="20"/>
        <v>INSERT INTO grupos (id,matricula,grupo) values (1676,'112192','TC0302_4');</v>
      </c>
    </row>
    <row r="678" spans="1:5" ht="43.5" x14ac:dyDescent="0.35">
      <c r="A678">
        <v>1677</v>
      </c>
      <c r="B678" t="s">
        <v>2614</v>
      </c>
      <c r="C678" t="s">
        <v>1847</v>
      </c>
      <c r="D678" s="12" t="str">
        <f t="shared" si="21"/>
        <v>1677,'112192','TC0303_4'</v>
      </c>
      <c r="E678" s="12" t="str">
        <f t="shared" si="20"/>
        <v>INSERT INTO grupos (id,matricula,grupo) values (1677,'112192','TC0303_4');</v>
      </c>
    </row>
    <row r="679" spans="1:5" ht="43.5" x14ac:dyDescent="0.35">
      <c r="A679">
        <v>1678</v>
      </c>
      <c r="B679" t="s">
        <v>2615</v>
      </c>
      <c r="C679" t="s">
        <v>1778</v>
      </c>
      <c r="D679" s="12" t="str">
        <f t="shared" si="21"/>
        <v>1678,'112193','AUTO 3° B'</v>
      </c>
      <c r="E679" s="12" t="str">
        <f t="shared" si="20"/>
        <v>INSERT INTO grupos (id,matricula,grupo) values (1678,'112193','AUTO 3° B');</v>
      </c>
    </row>
    <row r="680" spans="1:5" ht="43.5" x14ac:dyDescent="0.35">
      <c r="A680">
        <v>1679</v>
      </c>
      <c r="B680" t="s">
        <v>2615</v>
      </c>
      <c r="C680" t="s">
        <v>1841</v>
      </c>
      <c r="D680" s="12" t="str">
        <f t="shared" si="21"/>
        <v>1679,'112193','TC0302_6'</v>
      </c>
      <c r="E680" s="12" t="str">
        <f t="shared" si="20"/>
        <v>INSERT INTO grupos (id,matricula,grupo) values (1679,'112193','TC0302_6');</v>
      </c>
    </row>
    <row r="681" spans="1:5" ht="43.5" x14ac:dyDescent="0.35">
      <c r="A681">
        <v>1680</v>
      </c>
      <c r="B681" t="s">
        <v>2615</v>
      </c>
      <c r="C681" t="s">
        <v>1849</v>
      </c>
      <c r="D681" s="12" t="str">
        <f t="shared" si="21"/>
        <v>1680,'112193','TC0303_6'</v>
      </c>
      <c r="E681" s="12" t="str">
        <f t="shared" si="20"/>
        <v>INSERT INTO grupos (id,matricula,grupo) values (1680,'112193','TC0303_6');</v>
      </c>
    </row>
    <row r="682" spans="1:5" ht="43.5" x14ac:dyDescent="0.35">
      <c r="A682">
        <v>1681</v>
      </c>
      <c r="B682" t="s">
        <v>2616</v>
      </c>
      <c r="C682" t="s">
        <v>1774</v>
      </c>
      <c r="D682" s="12" t="str">
        <f t="shared" si="21"/>
        <v>1681,'112194','AUTO 3° A'</v>
      </c>
      <c r="E682" s="12" t="str">
        <f t="shared" si="20"/>
        <v>INSERT INTO grupos (id,matricula,grupo) values (1681,'112194','AUTO 3° A');</v>
      </c>
    </row>
    <row r="683" spans="1:5" ht="43.5" x14ac:dyDescent="0.35">
      <c r="A683">
        <v>1682</v>
      </c>
      <c r="B683" t="s">
        <v>2616</v>
      </c>
      <c r="C683" t="s">
        <v>1840</v>
      </c>
      <c r="D683" s="12" t="str">
        <f t="shared" si="21"/>
        <v>1682,'112194','TC0302_5'</v>
      </c>
      <c r="E683" s="12" t="str">
        <f t="shared" si="20"/>
        <v>INSERT INTO grupos (id,matricula,grupo) values (1682,'112194','TC0302_5');</v>
      </c>
    </row>
    <row r="684" spans="1:5" ht="43.5" x14ac:dyDescent="0.35">
      <c r="A684">
        <v>1683</v>
      </c>
      <c r="B684" t="s">
        <v>2617</v>
      </c>
      <c r="C684" t="s">
        <v>1778</v>
      </c>
      <c r="D684" s="12" t="str">
        <f t="shared" si="21"/>
        <v>1683,'112195','AUTO 3° B'</v>
      </c>
      <c r="E684" s="12" t="str">
        <f t="shared" si="20"/>
        <v>INSERT INTO grupos (id,matricula,grupo) values (1683,'112195','AUTO 3° B');</v>
      </c>
    </row>
    <row r="685" spans="1:5" ht="43.5" x14ac:dyDescent="0.35">
      <c r="A685">
        <v>1684</v>
      </c>
      <c r="B685" t="s">
        <v>2617</v>
      </c>
      <c r="C685" t="s">
        <v>1840</v>
      </c>
      <c r="D685" s="12" t="str">
        <f t="shared" si="21"/>
        <v>1684,'112195','TC0302_5'</v>
      </c>
      <c r="E685" s="12" t="str">
        <f t="shared" si="20"/>
        <v>INSERT INTO grupos (id,matricula,grupo) values (1684,'112195','TC0302_5');</v>
      </c>
    </row>
    <row r="686" spans="1:5" ht="43.5" x14ac:dyDescent="0.35">
      <c r="A686">
        <v>1685</v>
      </c>
      <c r="B686" t="s">
        <v>2618</v>
      </c>
      <c r="C686" t="s">
        <v>1778</v>
      </c>
      <c r="D686" s="12" t="str">
        <f t="shared" si="21"/>
        <v>1685,'112196','AUTO 3° B'</v>
      </c>
      <c r="E686" s="12" t="str">
        <f t="shared" si="20"/>
        <v>INSERT INTO grupos (id,matricula,grupo) values (1685,'112196','AUTO 3° B');</v>
      </c>
    </row>
    <row r="687" spans="1:5" ht="43.5" x14ac:dyDescent="0.35">
      <c r="A687">
        <v>1686</v>
      </c>
      <c r="B687" t="s">
        <v>2618</v>
      </c>
      <c r="C687" t="s">
        <v>1841</v>
      </c>
      <c r="D687" s="12" t="str">
        <f t="shared" si="21"/>
        <v>1686,'112196','TC0302_6'</v>
      </c>
      <c r="E687" s="12" t="str">
        <f t="shared" si="20"/>
        <v>INSERT INTO grupos (id,matricula,grupo) values (1686,'112196','TC0302_6');</v>
      </c>
    </row>
    <row r="688" spans="1:5" ht="43.5" x14ac:dyDescent="0.35">
      <c r="A688">
        <v>1687</v>
      </c>
      <c r="B688" t="s">
        <v>2618</v>
      </c>
      <c r="C688" t="s">
        <v>1849</v>
      </c>
      <c r="D688" s="12" t="str">
        <f t="shared" si="21"/>
        <v>1687,'112196','TC0303_6'</v>
      </c>
      <c r="E688" s="12" t="str">
        <f t="shared" si="20"/>
        <v>INSERT INTO grupos (id,matricula,grupo) values (1687,'112196','TC0303_6');</v>
      </c>
    </row>
    <row r="689" spans="1:5" ht="43.5" x14ac:dyDescent="0.35">
      <c r="A689">
        <v>1688</v>
      </c>
      <c r="B689" t="s">
        <v>2619</v>
      </c>
      <c r="C689" t="s">
        <v>1778</v>
      </c>
      <c r="D689" s="12" t="str">
        <f t="shared" si="21"/>
        <v>1688,'112197','AUTO 3° B'</v>
      </c>
      <c r="E689" s="12" t="str">
        <f t="shared" si="20"/>
        <v>INSERT INTO grupos (id,matricula,grupo) values (1688,'112197','AUTO 3° B');</v>
      </c>
    </row>
    <row r="690" spans="1:5" ht="43.5" x14ac:dyDescent="0.35">
      <c r="A690">
        <v>1689</v>
      </c>
      <c r="B690" t="s">
        <v>2619</v>
      </c>
      <c r="C690" t="s">
        <v>1839</v>
      </c>
      <c r="D690" s="12" t="str">
        <f t="shared" si="21"/>
        <v>1689,'112197','TC0302_4'</v>
      </c>
      <c r="E690" s="12" t="str">
        <f t="shared" si="20"/>
        <v>INSERT INTO grupos (id,matricula,grupo) values (1689,'112197','TC0302_4');</v>
      </c>
    </row>
    <row r="691" spans="1:5" ht="43.5" x14ac:dyDescent="0.35">
      <c r="A691">
        <v>1690</v>
      </c>
      <c r="B691" t="s">
        <v>2619</v>
      </c>
      <c r="C691" t="s">
        <v>1847</v>
      </c>
      <c r="D691" s="12" t="str">
        <f t="shared" si="21"/>
        <v>1690,'112197','TC0303_4'</v>
      </c>
      <c r="E691" s="12" t="str">
        <f t="shared" si="20"/>
        <v>INSERT INTO grupos (id,matricula,grupo) values (1690,'112197','TC0303_4');</v>
      </c>
    </row>
    <row r="692" spans="1:5" ht="43.5" x14ac:dyDescent="0.35">
      <c r="A692">
        <v>1691</v>
      </c>
      <c r="B692" t="s">
        <v>2620</v>
      </c>
      <c r="C692" t="s">
        <v>1774</v>
      </c>
      <c r="D692" s="12" t="str">
        <f t="shared" si="21"/>
        <v>1691,'112198','AUTO 3° A'</v>
      </c>
      <c r="E692" s="12" t="str">
        <f t="shared" si="20"/>
        <v>INSERT INTO grupos (id,matricula,grupo) values (1691,'112198','AUTO 3° A');</v>
      </c>
    </row>
    <row r="693" spans="1:5" ht="43.5" x14ac:dyDescent="0.35">
      <c r="A693">
        <v>1692</v>
      </c>
      <c r="B693" t="s">
        <v>2620</v>
      </c>
      <c r="C693" t="s">
        <v>1839</v>
      </c>
      <c r="D693" s="12" t="str">
        <f t="shared" si="21"/>
        <v>1692,'112198','TC0302_4'</v>
      </c>
      <c r="E693" s="12" t="str">
        <f t="shared" si="20"/>
        <v>INSERT INTO grupos (id,matricula,grupo) values (1692,'112198','TC0302_4');</v>
      </c>
    </row>
    <row r="694" spans="1:5" ht="43.5" x14ac:dyDescent="0.35">
      <c r="A694">
        <v>1693</v>
      </c>
      <c r="B694" t="s">
        <v>2620</v>
      </c>
      <c r="C694" t="s">
        <v>1847</v>
      </c>
      <c r="D694" s="12" t="str">
        <f t="shared" si="21"/>
        <v>1693,'112198','TC0303_4'</v>
      </c>
      <c r="E694" s="12" t="str">
        <f t="shared" si="20"/>
        <v>INSERT INTO grupos (id,matricula,grupo) values (1693,'112198','TC0303_4');</v>
      </c>
    </row>
    <row r="695" spans="1:5" ht="43.5" x14ac:dyDescent="0.35">
      <c r="A695">
        <v>1694</v>
      </c>
      <c r="B695" t="s">
        <v>2621</v>
      </c>
      <c r="C695" t="s">
        <v>1774</v>
      </c>
      <c r="D695" s="12" t="str">
        <f t="shared" si="21"/>
        <v>1694,'112200','AUTO 3° A'</v>
      </c>
      <c r="E695" s="12" t="str">
        <f t="shared" si="20"/>
        <v>INSERT INTO grupos (id,matricula,grupo) values (1694,'112200','AUTO 3° A');</v>
      </c>
    </row>
    <row r="696" spans="1:5" ht="43.5" x14ac:dyDescent="0.35">
      <c r="A696">
        <v>1695</v>
      </c>
      <c r="B696" t="s">
        <v>2621</v>
      </c>
      <c r="C696" t="s">
        <v>1839</v>
      </c>
      <c r="D696" s="12" t="str">
        <f t="shared" si="21"/>
        <v>1695,'112200','TC0302_4'</v>
      </c>
      <c r="E696" s="12" t="str">
        <f t="shared" si="20"/>
        <v>INSERT INTO grupos (id,matricula,grupo) values (1695,'112200','TC0302_4');</v>
      </c>
    </row>
    <row r="697" spans="1:5" ht="43.5" x14ac:dyDescent="0.35">
      <c r="A697">
        <v>1696</v>
      </c>
      <c r="B697" t="s">
        <v>2621</v>
      </c>
      <c r="C697" t="s">
        <v>1847</v>
      </c>
      <c r="D697" s="12" t="str">
        <f t="shared" si="21"/>
        <v>1696,'112200','TC0303_4'</v>
      </c>
      <c r="E697" s="12" t="str">
        <f t="shared" si="20"/>
        <v>INSERT INTO grupos (id,matricula,grupo) values (1696,'112200','TC0303_4');</v>
      </c>
    </row>
    <row r="698" spans="1:5" ht="43.5" x14ac:dyDescent="0.35">
      <c r="A698">
        <v>1697</v>
      </c>
      <c r="B698" t="s">
        <v>2622</v>
      </c>
      <c r="C698" t="s">
        <v>1778</v>
      </c>
      <c r="D698" s="12" t="str">
        <f t="shared" si="21"/>
        <v>1697,'112201','AUTO 3° B'</v>
      </c>
      <c r="E698" s="12" t="str">
        <f t="shared" si="20"/>
        <v>INSERT INTO grupos (id,matricula,grupo) values (1697,'112201','AUTO 3° B');</v>
      </c>
    </row>
    <row r="699" spans="1:5" ht="43.5" x14ac:dyDescent="0.35">
      <c r="A699">
        <v>1698</v>
      </c>
      <c r="B699" t="s">
        <v>2622</v>
      </c>
      <c r="C699" t="s">
        <v>1840</v>
      </c>
      <c r="D699" s="12" t="str">
        <f t="shared" si="21"/>
        <v>1698,'112201','TC0302_5'</v>
      </c>
      <c r="E699" s="12" t="str">
        <f t="shared" si="20"/>
        <v>INSERT INTO grupos (id,matricula,grupo) values (1698,'112201','TC0302_5');</v>
      </c>
    </row>
    <row r="700" spans="1:5" ht="43.5" x14ac:dyDescent="0.35">
      <c r="A700">
        <v>1699</v>
      </c>
      <c r="B700" t="s">
        <v>2623</v>
      </c>
      <c r="C700" t="s">
        <v>1778</v>
      </c>
      <c r="D700" s="12" t="str">
        <f t="shared" si="21"/>
        <v>1699,'112202','AUTO 3° B'</v>
      </c>
      <c r="E700" s="12" t="str">
        <f t="shared" si="20"/>
        <v>INSERT INTO grupos (id,matricula,grupo) values (1699,'112202','AUTO 3° B');</v>
      </c>
    </row>
    <row r="701" spans="1:5" ht="43.5" x14ac:dyDescent="0.35">
      <c r="A701">
        <v>1700</v>
      </c>
      <c r="B701" t="s">
        <v>2623</v>
      </c>
      <c r="C701" t="s">
        <v>1841</v>
      </c>
      <c r="D701" s="12" t="str">
        <f t="shared" si="21"/>
        <v>1700,'112202','TC0302_6'</v>
      </c>
      <c r="E701" s="12" t="str">
        <f t="shared" si="20"/>
        <v>INSERT INTO grupos (id,matricula,grupo) values (1700,'112202','TC0302_6');</v>
      </c>
    </row>
    <row r="702" spans="1:5" ht="43.5" x14ac:dyDescent="0.35">
      <c r="A702">
        <v>1701</v>
      </c>
      <c r="B702" t="s">
        <v>2623</v>
      </c>
      <c r="C702" t="s">
        <v>1849</v>
      </c>
      <c r="D702" s="12" t="str">
        <f t="shared" si="21"/>
        <v>1701,'112202','TC0303_6'</v>
      </c>
      <c r="E702" s="12" t="str">
        <f t="shared" si="20"/>
        <v>INSERT INTO grupos (id,matricula,grupo) values (1701,'112202','TC0303_6');</v>
      </c>
    </row>
    <row r="703" spans="1:5" ht="43.5" x14ac:dyDescent="0.35">
      <c r="A703">
        <v>1702</v>
      </c>
      <c r="B703" t="s">
        <v>2624</v>
      </c>
      <c r="C703" t="s">
        <v>1778</v>
      </c>
      <c r="D703" s="12" t="str">
        <f t="shared" si="21"/>
        <v>1702,'112204','AUTO 3° B'</v>
      </c>
      <c r="E703" s="12" t="str">
        <f t="shared" si="20"/>
        <v>INSERT INTO grupos (id,matricula,grupo) values (1702,'112204','AUTO 3° B');</v>
      </c>
    </row>
    <row r="704" spans="1:5" ht="43.5" x14ac:dyDescent="0.35">
      <c r="A704">
        <v>1703</v>
      </c>
      <c r="B704" t="s">
        <v>2624</v>
      </c>
      <c r="C704" t="s">
        <v>1839</v>
      </c>
      <c r="D704" s="12" t="str">
        <f t="shared" si="21"/>
        <v>1703,'112204','TC0302_4'</v>
      </c>
      <c r="E704" s="12" t="str">
        <f t="shared" si="20"/>
        <v>INSERT INTO grupos (id,matricula,grupo) values (1703,'112204','TC0302_4');</v>
      </c>
    </row>
    <row r="705" spans="1:5" ht="43.5" x14ac:dyDescent="0.35">
      <c r="A705">
        <v>1704</v>
      </c>
      <c r="B705" t="s">
        <v>2624</v>
      </c>
      <c r="C705" t="s">
        <v>1847</v>
      </c>
      <c r="D705" s="12" t="str">
        <f t="shared" si="21"/>
        <v>1704,'112204','TC0303_4'</v>
      </c>
      <c r="E705" s="12" t="str">
        <f t="shared" si="20"/>
        <v>INSERT INTO grupos (id,matricula,grupo) values (1704,'112204','TC0303_4');</v>
      </c>
    </row>
    <row r="706" spans="1:5" ht="43.5" x14ac:dyDescent="0.35">
      <c r="A706">
        <v>1705</v>
      </c>
      <c r="B706" t="s">
        <v>2625</v>
      </c>
      <c r="C706" t="s">
        <v>1778</v>
      </c>
      <c r="D706" s="12" t="str">
        <f t="shared" si="21"/>
        <v>1705,'112206','AUTO 3° B'</v>
      </c>
      <c r="E706" s="12" t="str">
        <f t="shared" ref="E706:E769" si="22">CONCATENATE($D$1,D706,");")</f>
        <v>INSERT INTO grupos (id,matricula,grupo) values (1705,'112206','AUTO 3° B');</v>
      </c>
    </row>
    <row r="707" spans="1:5" ht="43.5" x14ac:dyDescent="0.35">
      <c r="A707">
        <v>1706</v>
      </c>
      <c r="B707" t="s">
        <v>2625</v>
      </c>
      <c r="C707" t="s">
        <v>1840</v>
      </c>
      <c r="D707" s="12" t="str">
        <f t="shared" ref="D707:D770" si="23">CONCATENATE(A707,",'",TRIM(B707),"','",C707,"'")</f>
        <v>1706,'112206','TC0302_5'</v>
      </c>
      <c r="E707" s="12" t="str">
        <f t="shared" si="22"/>
        <v>INSERT INTO grupos (id,matricula,grupo) values (1706,'112206','TC0302_5');</v>
      </c>
    </row>
    <row r="708" spans="1:5" ht="43.5" x14ac:dyDescent="0.35">
      <c r="A708">
        <v>1707</v>
      </c>
      <c r="B708" t="s">
        <v>2626</v>
      </c>
      <c r="C708" t="s">
        <v>1781</v>
      </c>
      <c r="D708" s="12" t="str">
        <f t="shared" si="23"/>
        <v>1707,'112210','ADMON 3°'</v>
      </c>
      <c r="E708" s="12" t="str">
        <f t="shared" si="22"/>
        <v>INSERT INTO grupos (id,matricula,grupo) values (1707,'112210','ADMON 3°');</v>
      </c>
    </row>
    <row r="709" spans="1:5" ht="43.5" x14ac:dyDescent="0.35">
      <c r="A709">
        <v>1708</v>
      </c>
      <c r="B709" t="s">
        <v>2626</v>
      </c>
      <c r="C709" t="s">
        <v>1837</v>
      </c>
      <c r="D709" s="12" t="str">
        <f t="shared" si="23"/>
        <v>1708,'112210','TC0302_2'</v>
      </c>
      <c r="E709" s="12" t="str">
        <f t="shared" si="22"/>
        <v>INSERT INTO grupos (id,matricula,grupo) values (1708,'112210','TC0302_2');</v>
      </c>
    </row>
    <row r="710" spans="1:5" ht="43.5" x14ac:dyDescent="0.35">
      <c r="A710">
        <v>1709</v>
      </c>
      <c r="B710" t="s">
        <v>2627</v>
      </c>
      <c r="C710" t="s">
        <v>1775</v>
      </c>
      <c r="D710" s="12" t="str">
        <f t="shared" si="23"/>
        <v>1709,'112211','AERO 3°B'</v>
      </c>
      <c r="E710" s="12" t="str">
        <f t="shared" si="22"/>
        <v>INSERT INTO grupos (id,matricula,grupo) values (1709,'112211','AERO 3°B');</v>
      </c>
    </row>
    <row r="711" spans="1:5" ht="43.5" x14ac:dyDescent="0.35">
      <c r="A711">
        <v>1710</v>
      </c>
      <c r="B711" t="s">
        <v>2627</v>
      </c>
      <c r="C711" t="s">
        <v>1836</v>
      </c>
      <c r="D711" s="12" t="str">
        <f t="shared" si="23"/>
        <v>1710,'112211','TC0302_1'</v>
      </c>
      <c r="E711" s="12" t="str">
        <f t="shared" si="22"/>
        <v>INSERT INTO grupos (id,matricula,grupo) values (1710,'112211','TC0302_1');</v>
      </c>
    </row>
    <row r="712" spans="1:5" ht="43.5" x14ac:dyDescent="0.35">
      <c r="A712">
        <v>1711</v>
      </c>
      <c r="B712" t="s">
        <v>2627</v>
      </c>
      <c r="C712" t="s">
        <v>1844</v>
      </c>
      <c r="D712" s="12" t="str">
        <f t="shared" si="23"/>
        <v>1711,'112211','TC0303_1'</v>
      </c>
      <c r="E712" s="12" t="str">
        <f t="shared" si="22"/>
        <v>INSERT INTO grupos (id,matricula,grupo) values (1711,'112211','TC0303_1');</v>
      </c>
    </row>
    <row r="713" spans="1:5" ht="43.5" x14ac:dyDescent="0.35">
      <c r="A713">
        <v>1712</v>
      </c>
      <c r="B713" t="s">
        <v>2628</v>
      </c>
      <c r="C713" t="s">
        <v>1781</v>
      </c>
      <c r="D713" s="12" t="str">
        <f t="shared" si="23"/>
        <v>1712,'112213','ADMON 3°'</v>
      </c>
      <c r="E713" s="12" t="str">
        <f t="shared" si="22"/>
        <v>INSERT INTO grupos (id,matricula,grupo) values (1712,'112213','ADMON 3°');</v>
      </c>
    </row>
    <row r="714" spans="1:5" ht="43.5" x14ac:dyDescent="0.35">
      <c r="A714">
        <v>1713</v>
      </c>
      <c r="B714" t="s">
        <v>2628</v>
      </c>
      <c r="C714" t="s">
        <v>1837</v>
      </c>
      <c r="D714" s="12" t="str">
        <f t="shared" si="23"/>
        <v>1713,'112213','TC0302_2'</v>
      </c>
      <c r="E714" s="12" t="str">
        <f t="shared" si="22"/>
        <v>INSERT INTO grupos (id,matricula,grupo) values (1713,'112213','TC0302_2');</v>
      </c>
    </row>
    <row r="715" spans="1:5" ht="43.5" x14ac:dyDescent="0.35">
      <c r="A715">
        <v>1714</v>
      </c>
      <c r="B715" t="s">
        <v>2629</v>
      </c>
      <c r="C715" t="s">
        <v>1776</v>
      </c>
      <c r="D715" s="12" t="str">
        <f t="shared" si="23"/>
        <v>1714,'112215','AERO 3°A'</v>
      </c>
      <c r="E715" s="12" t="str">
        <f t="shared" si="22"/>
        <v>INSERT INTO grupos (id,matricula,grupo) values (1714,'112215','AERO 3°A');</v>
      </c>
    </row>
    <row r="716" spans="1:5" ht="43.5" x14ac:dyDescent="0.35">
      <c r="A716">
        <v>1715</v>
      </c>
      <c r="B716" t="s">
        <v>2629</v>
      </c>
      <c r="C716" t="s">
        <v>1836</v>
      </c>
      <c r="D716" s="12" t="str">
        <f t="shared" si="23"/>
        <v>1715,'112215','TC0302_1'</v>
      </c>
      <c r="E716" s="12" t="str">
        <f t="shared" si="22"/>
        <v>INSERT INTO grupos (id,matricula,grupo) values (1715,'112215','TC0302_1');</v>
      </c>
    </row>
    <row r="717" spans="1:5" ht="43.5" x14ac:dyDescent="0.35">
      <c r="A717">
        <v>1716</v>
      </c>
      <c r="B717" t="s">
        <v>2629</v>
      </c>
      <c r="C717" t="s">
        <v>1844</v>
      </c>
      <c r="D717" s="12" t="str">
        <f t="shared" si="23"/>
        <v>1716,'112215','TC0303_1'</v>
      </c>
      <c r="E717" s="12" t="str">
        <f t="shared" si="22"/>
        <v>INSERT INTO grupos (id,matricula,grupo) values (1716,'112215','TC0303_1');</v>
      </c>
    </row>
    <row r="718" spans="1:5" ht="43.5" x14ac:dyDescent="0.35">
      <c r="A718">
        <v>1717</v>
      </c>
      <c r="B718" t="s">
        <v>2630</v>
      </c>
      <c r="C718" t="s">
        <v>1774</v>
      </c>
      <c r="D718" s="12" t="str">
        <f t="shared" si="23"/>
        <v>1717,'112216','AUTO 3° A'</v>
      </c>
      <c r="E718" s="12" t="str">
        <f t="shared" si="22"/>
        <v>INSERT INTO grupos (id,matricula,grupo) values (1717,'112216','AUTO 3° A');</v>
      </c>
    </row>
    <row r="719" spans="1:5" ht="43.5" x14ac:dyDescent="0.35">
      <c r="A719">
        <v>1718</v>
      </c>
      <c r="B719" t="s">
        <v>2630</v>
      </c>
      <c r="C719" t="s">
        <v>1839</v>
      </c>
      <c r="D719" s="12" t="str">
        <f t="shared" si="23"/>
        <v>1718,'112216','TC0302_4'</v>
      </c>
      <c r="E719" s="12" t="str">
        <f t="shared" si="22"/>
        <v>INSERT INTO grupos (id,matricula,grupo) values (1718,'112216','TC0302_4');</v>
      </c>
    </row>
    <row r="720" spans="1:5" ht="43.5" x14ac:dyDescent="0.35">
      <c r="A720">
        <v>1719</v>
      </c>
      <c r="B720" t="s">
        <v>2630</v>
      </c>
      <c r="C720" t="s">
        <v>1847</v>
      </c>
      <c r="D720" s="12" t="str">
        <f t="shared" si="23"/>
        <v>1719,'112216','TC0303_4'</v>
      </c>
      <c r="E720" s="12" t="str">
        <f t="shared" si="22"/>
        <v>INSERT INTO grupos (id,matricula,grupo) values (1719,'112216','TC0303_4');</v>
      </c>
    </row>
    <row r="721" spans="1:5" ht="43.5" x14ac:dyDescent="0.35">
      <c r="A721">
        <v>1720</v>
      </c>
      <c r="B721" t="s">
        <v>2631</v>
      </c>
      <c r="C721" t="s">
        <v>1775</v>
      </c>
      <c r="D721" s="12" t="str">
        <f t="shared" si="23"/>
        <v>1720,'112217','AERO 3°B'</v>
      </c>
      <c r="E721" s="12" t="str">
        <f t="shared" si="22"/>
        <v>INSERT INTO grupos (id,matricula,grupo) values (1720,'112217','AERO 3°B');</v>
      </c>
    </row>
    <row r="722" spans="1:5" ht="43.5" x14ac:dyDescent="0.35">
      <c r="A722">
        <v>1721</v>
      </c>
      <c r="B722" t="s">
        <v>2631</v>
      </c>
      <c r="C722" t="s">
        <v>1837</v>
      </c>
      <c r="D722" s="12" t="str">
        <f t="shared" si="23"/>
        <v>1721,'112217','TC0302_2'</v>
      </c>
      <c r="E722" s="12" t="str">
        <f t="shared" si="22"/>
        <v>INSERT INTO grupos (id,matricula,grupo) values (1721,'112217','TC0302_2');</v>
      </c>
    </row>
    <row r="723" spans="1:5" ht="43.5" x14ac:dyDescent="0.35">
      <c r="A723">
        <v>1722</v>
      </c>
      <c r="B723" t="s">
        <v>2632</v>
      </c>
      <c r="C723" t="s">
        <v>1779</v>
      </c>
      <c r="D723" s="12" t="str">
        <f t="shared" si="23"/>
        <v>1722,'112218','PSI 3°'</v>
      </c>
      <c r="E723" s="12" t="str">
        <f t="shared" si="22"/>
        <v>INSERT INTO grupos (id,matricula,grupo) values (1722,'112218','PSI 3°');</v>
      </c>
    </row>
    <row r="724" spans="1:5" ht="43.5" x14ac:dyDescent="0.35">
      <c r="A724">
        <v>1723</v>
      </c>
      <c r="B724" t="s">
        <v>2632</v>
      </c>
      <c r="C724" t="s">
        <v>1839</v>
      </c>
      <c r="D724" s="12" t="str">
        <f t="shared" si="23"/>
        <v>1723,'112218','TC0302_4'</v>
      </c>
      <c r="E724" s="12" t="str">
        <f t="shared" si="22"/>
        <v>INSERT INTO grupos (id,matricula,grupo) values (1723,'112218','TC0302_4');</v>
      </c>
    </row>
    <row r="725" spans="1:5" ht="43.5" x14ac:dyDescent="0.35">
      <c r="A725">
        <v>1724</v>
      </c>
      <c r="B725" t="s">
        <v>2632</v>
      </c>
      <c r="C725" t="s">
        <v>1847</v>
      </c>
      <c r="D725" s="12" t="str">
        <f t="shared" si="23"/>
        <v>1724,'112218','TC0303_4'</v>
      </c>
      <c r="E725" s="12" t="str">
        <f t="shared" si="22"/>
        <v>INSERT INTO grupos (id,matricula,grupo) values (1724,'112218','TC0303_4');</v>
      </c>
    </row>
    <row r="726" spans="1:5" ht="43.5" x14ac:dyDescent="0.35">
      <c r="A726">
        <v>1725</v>
      </c>
      <c r="B726" t="s">
        <v>2633</v>
      </c>
      <c r="C726" t="s">
        <v>1776</v>
      </c>
      <c r="D726" s="12" t="str">
        <f t="shared" si="23"/>
        <v>1725,'112219','AERO 3°A'</v>
      </c>
      <c r="E726" s="12" t="str">
        <f t="shared" si="22"/>
        <v>INSERT INTO grupos (id,matricula,grupo) values (1725,'112219','AERO 3°A');</v>
      </c>
    </row>
    <row r="727" spans="1:5" ht="43.5" x14ac:dyDescent="0.35">
      <c r="A727">
        <v>1726</v>
      </c>
      <c r="B727" t="s">
        <v>2633</v>
      </c>
      <c r="C727" t="s">
        <v>1837</v>
      </c>
      <c r="D727" s="12" t="str">
        <f t="shared" si="23"/>
        <v>1726,'112219','TC0302_2'</v>
      </c>
      <c r="E727" s="12" t="str">
        <f t="shared" si="22"/>
        <v>INSERT INTO grupos (id,matricula,grupo) values (1726,'112219','TC0302_2');</v>
      </c>
    </row>
    <row r="728" spans="1:5" ht="43.5" x14ac:dyDescent="0.35">
      <c r="A728">
        <v>1727</v>
      </c>
      <c r="B728" t="s">
        <v>2634</v>
      </c>
      <c r="C728" t="s">
        <v>1776</v>
      </c>
      <c r="D728" s="12" t="str">
        <f t="shared" si="23"/>
        <v>1727,'112221','AERO 3°A'</v>
      </c>
      <c r="E728" s="12" t="str">
        <f t="shared" si="22"/>
        <v>INSERT INTO grupos (id,matricula,grupo) values (1727,'112221','AERO 3°A');</v>
      </c>
    </row>
    <row r="729" spans="1:5" ht="43.5" x14ac:dyDescent="0.35">
      <c r="A729">
        <v>1728</v>
      </c>
      <c r="B729" t="s">
        <v>2634</v>
      </c>
      <c r="C729" t="s">
        <v>1837</v>
      </c>
      <c r="D729" s="12" t="str">
        <f t="shared" si="23"/>
        <v>1728,'112221','TC0302_2'</v>
      </c>
      <c r="E729" s="12" t="str">
        <f t="shared" si="22"/>
        <v>INSERT INTO grupos (id,matricula,grupo) values (1728,'112221','TC0302_2');</v>
      </c>
    </row>
    <row r="730" spans="1:5" ht="43.5" x14ac:dyDescent="0.35">
      <c r="A730">
        <v>1729</v>
      </c>
      <c r="B730" t="s">
        <v>2635</v>
      </c>
      <c r="C730" t="s">
        <v>1782</v>
      </c>
      <c r="D730" s="12" t="str">
        <f t="shared" si="23"/>
        <v>1729,'112222','AUTO 1° A'</v>
      </c>
      <c r="E730" s="12" t="str">
        <f t="shared" si="22"/>
        <v>INSERT INTO grupos (id,matricula,grupo) values (1729,'112222','AUTO 1° A');</v>
      </c>
    </row>
    <row r="731" spans="1:5" ht="43.5" x14ac:dyDescent="0.35">
      <c r="A731">
        <v>1730</v>
      </c>
      <c r="B731" t="s">
        <v>2635</v>
      </c>
      <c r="C731" t="s">
        <v>2498</v>
      </c>
      <c r="D731" s="12" t="str">
        <f t="shared" si="23"/>
        <v>1730,'112222','TC0102_4'</v>
      </c>
      <c r="E731" s="12" t="str">
        <f t="shared" si="22"/>
        <v>INSERT INTO grupos (id,matricula,grupo) values (1730,'112222','TC0102_4');</v>
      </c>
    </row>
    <row r="732" spans="1:5" ht="43.5" x14ac:dyDescent="0.35">
      <c r="A732">
        <v>1731</v>
      </c>
      <c r="B732" t="s">
        <v>2635</v>
      </c>
      <c r="C732" t="s">
        <v>1808</v>
      </c>
      <c r="D732" s="12" t="str">
        <f t="shared" si="23"/>
        <v>1731,'112222','TC0103_2'</v>
      </c>
      <c r="E732" s="12" t="str">
        <f t="shared" si="22"/>
        <v>INSERT INTO grupos (id,matricula,grupo) values (1731,'112222','TC0103_2');</v>
      </c>
    </row>
    <row r="733" spans="1:5" ht="43.5" x14ac:dyDescent="0.35">
      <c r="A733">
        <v>1732</v>
      </c>
      <c r="B733" t="s">
        <v>2636</v>
      </c>
      <c r="C733" t="s">
        <v>1776</v>
      </c>
      <c r="D733" s="12" t="str">
        <f t="shared" si="23"/>
        <v>1732,'112223','AERO 3°A'</v>
      </c>
      <c r="E733" s="12" t="str">
        <f t="shared" si="22"/>
        <v>INSERT INTO grupos (id,matricula,grupo) values (1732,'112223','AERO 3°A');</v>
      </c>
    </row>
    <row r="734" spans="1:5" ht="43.5" x14ac:dyDescent="0.35">
      <c r="A734">
        <v>1733</v>
      </c>
      <c r="B734" t="s">
        <v>2636</v>
      </c>
      <c r="C734" t="s">
        <v>1837</v>
      </c>
      <c r="D734" s="12" t="str">
        <f t="shared" si="23"/>
        <v>1733,'112223','TC0302_2'</v>
      </c>
      <c r="E734" s="12" t="str">
        <f t="shared" si="22"/>
        <v>INSERT INTO grupos (id,matricula,grupo) values (1733,'112223','TC0302_2');</v>
      </c>
    </row>
    <row r="735" spans="1:5" ht="43.5" x14ac:dyDescent="0.35">
      <c r="A735">
        <v>1734</v>
      </c>
      <c r="B735" t="s">
        <v>2637</v>
      </c>
      <c r="C735" t="s">
        <v>1775</v>
      </c>
      <c r="D735" s="12" t="str">
        <f t="shared" si="23"/>
        <v>1734,'112224','AERO 3°B'</v>
      </c>
      <c r="E735" s="12" t="str">
        <f t="shared" si="22"/>
        <v>INSERT INTO grupos (id,matricula,grupo) values (1734,'112224','AERO 3°B');</v>
      </c>
    </row>
    <row r="736" spans="1:5" ht="43.5" x14ac:dyDescent="0.35">
      <c r="A736">
        <v>1735</v>
      </c>
      <c r="B736" t="s">
        <v>2637</v>
      </c>
      <c r="C736" t="s">
        <v>1836</v>
      </c>
      <c r="D736" s="12" t="str">
        <f t="shared" si="23"/>
        <v>1735,'112224','TC0302_1'</v>
      </c>
      <c r="E736" s="12" t="str">
        <f t="shared" si="22"/>
        <v>INSERT INTO grupos (id,matricula,grupo) values (1735,'112224','TC0302_1');</v>
      </c>
    </row>
    <row r="737" spans="1:5" ht="43.5" x14ac:dyDescent="0.35">
      <c r="A737">
        <v>1736</v>
      </c>
      <c r="B737" t="s">
        <v>2637</v>
      </c>
      <c r="C737" t="s">
        <v>1844</v>
      </c>
      <c r="D737" s="12" t="str">
        <f t="shared" si="23"/>
        <v>1736,'112224','TC0303_1'</v>
      </c>
      <c r="E737" s="12" t="str">
        <f t="shared" si="22"/>
        <v>INSERT INTO grupos (id,matricula,grupo) values (1736,'112224','TC0303_1');</v>
      </c>
    </row>
    <row r="738" spans="1:5" ht="43.5" x14ac:dyDescent="0.35">
      <c r="A738">
        <v>1737</v>
      </c>
      <c r="B738" t="s">
        <v>2638</v>
      </c>
      <c r="C738" t="s">
        <v>1775</v>
      </c>
      <c r="D738" s="12" t="str">
        <f t="shared" si="23"/>
        <v>1737,'112225','AERO 3°B'</v>
      </c>
      <c r="E738" s="12" t="str">
        <f t="shared" si="22"/>
        <v>INSERT INTO grupos (id,matricula,grupo) values (1737,'112225','AERO 3°B');</v>
      </c>
    </row>
    <row r="739" spans="1:5" ht="43.5" x14ac:dyDescent="0.35">
      <c r="A739">
        <v>1738</v>
      </c>
      <c r="B739" t="s">
        <v>2638</v>
      </c>
      <c r="C739" t="s">
        <v>1838</v>
      </c>
      <c r="D739" s="12" t="str">
        <f t="shared" si="23"/>
        <v>1738,'112225','TC0302_3'</v>
      </c>
      <c r="E739" s="12" t="str">
        <f t="shared" si="22"/>
        <v>INSERT INTO grupos (id,matricula,grupo) values (1738,'112225','TC0302_3');</v>
      </c>
    </row>
    <row r="740" spans="1:5" ht="43.5" x14ac:dyDescent="0.35">
      <c r="A740">
        <v>1739</v>
      </c>
      <c r="B740" t="s">
        <v>2638</v>
      </c>
      <c r="C740" t="s">
        <v>1846</v>
      </c>
      <c r="D740" s="12" t="str">
        <f t="shared" si="23"/>
        <v>1739,'112225','TC0303_3'</v>
      </c>
      <c r="E740" s="12" t="str">
        <f t="shared" si="22"/>
        <v>INSERT INTO grupos (id,matricula,grupo) values (1739,'112225','TC0303_3');</v>
      </c>
    </row>
    <row r="741" spans="1:5" ht="43.5" x14ac:dyDescent="0.35">
      <c r="A741">
        <v>1740</v>
      </c>
      <c r="B741" t="s">
        <v>2639</v>
      </c>
      <c r="C741" t="s">
        <v>1772</v>
      </c>
      <c r="D741" s="12" t="str">
        <f t="shared" si="23"/>
        <v>1740,'112226','NUT 3°'</v>
      </c>
      <c r="E741" s="12" t="str">
        <f t="shared" si="22"/>
        <v>INSERT INTO grupos (id,matricula,grupo) values (1740,'112226','NUT 3°');</v>
      </c>
    </row>
    <row r="742" spans="1:5" ht="43.5" x14ac:dyDescent="0.35">
      <c r="A742">
        <v>1741</v>
      </c>
      <c r="B742" t="s">
        <v>2639</v>
      </c>
      <c r="C742" t="s">
        <v>1837</v>
      </c>
      <c r="D742" s="12" t="str">
        <f t="shared" si="23"/>
        <v>1741,'112226','TC0302_2'</v>
      </c>
      <c r="E742" s="12" t="str">
        <f t="shared" si="22"/>
        <v>INSERT INTO grupos (id,matricula,grupo) values (1741,'112226','TC0302_2');</v>
      </c>
    </row>
    <row r="743" spans="1:5" ht="43.5" x14ac:dyDescent="0.35">
      <c r="A743">
        <v>1742</v>
      </c>
      <c r="B743" t="s">
        <v>2640</v>
      </c>
      <c r="C743" t="s">
        <v>1774</v>
      </c>
      <c r="D743" s="12" t="str">
        <f t="shared" si="23"/>
        <v>1742,'112227','AUTO 3° A'</v>
      </c>
      <c r="E743" s="12" t="str">
        <f t="shared" si="22"/>
        <v>INSERT INTO grupos (id,matricula,grupo) values (1742,'112227','AUTO 3° A');</v>
      </c>
    </row>
    <row r="744" spans="1:5" ht="43.5" x14ac:dyDescent="0.35">
      <c r="A744">
        <v>1743</v>
      </c>
      <c r="B744" t="s">
        <v>2640</v>
      </c>
      <c r="C744" t="s">
        <v>1839</v>
      </c>
      <c r="D744" s="12" t="str">
        <f t="shared" si="23"/>
        <v>1743,'112227','TC0302_4'</v>
      </c>
      <c r="E744" s="12" t="str">
        <f t="shared" si="22"/>
        <v>INSERT INTO grupos (id,matricula,grupo) values (1743,'112227','TC0302_4');</v>
      </c>
    </row>
    <row r="745" spans="1:5" ht="43.5" x14ac:dyDescent="0.35">
      <c r="A745">
        <v>1744</v>
      </c>
      <c r="B745" t="s">
        <v>2640</v>
      </c>
      <c r="C745" t="s">
        <v>1847</v>
      </c>
      <c r="D745" s="12" t="str">
        <f t="shared" si="23"/>
        <v>1744,'112227','TC0303_4'</v>
      </c>
      <c r="E745" s="12" t="str">
        <f t="shared" si="22"/>
        <v>INSERT INTO grupos (id,matricula,grupo) values (1744,'112227','TC0303_4');</v>
      </c>
    </row>
    <row r="746" spans="1:5" ht="43.5" x14ac:dyDescent="0.35">
      <c r="A746">
        <v>1745</v>
      </c>
      <c r="B746" t="s">
        <v>2641</v>
      </c>
      <c r="C746" t="s">
        <v>1781</v>
      </c>
      <c r="D746" s="12" t="str">
        <f t="shared" si="23"/>
        <v>1745,'112229','ADMON 3°'</v>
      </c>
      <c r="E746" s="12" t="str">
        <f t="shared" si="22"/>
        <v>INSERT INTO grupos (id,matricula,grupo) values (1745,'112229','ADMON 3°');</v>
      </c>
    </row>
    <row r="747" spans="1:5" ht="43.5" x14ac:dyDescent="0.35">
      <c r="A747">
        <v>1746</v>
      </c>
      <c r="B747" t="s">
        <v>2641</v>
      </c>
      <c r="C747" t="s">
        <v>1836</v>
      </c>
      <c r="D747" s="12" t="str">
        <f t="shared" si="23"/>
        <v>1746,'112229','TC0302_1'</v>
      </c>
      <c r="E747" s="12" t="str">
        <f t="shared" si="22"/>
        <v>INSERT INTO grupos (id,matricula,grupo) values (1746,'112229','TC0302_1');</v>
      </c>
    </row>
    <row r="748" spans="1:5" ht="43.5" x14ac:dyDescent="0.35">
      <c r="A748">
        <v>1747</v>
      </c>
      <c r="B748" t="s">
        <v>2641</v>
      </c>
      <c r="C748" t="s">
        <v>1844</v>
      </c>
      <c r="D748" s="12" t="str">
        <f t="shared" si="23"/>
        <v>1747,'112229','TC0303_1'</v>
      </c>
      <c r="E748" s="12" t="str">
        <f t="shared" si="22"/>
        <v>INSERT INTO grupos (id,matricula,grupo) values (1747,'112229','TC0303_1');</v>
      </c>
    </row>
    <row r="749" spans="1:5" ht="43.5" x14ac:dyDescent="0.35">
      <c r="A749">
        <v>1748</v>
      </c>
      <c r="B749" t="s">
        <v>2642</v>
      </c>
      <c r="C749" t="s">
        <v>1775</v>
      </c>
      <c r="D749" s="12" t="str">
        <f t="shared" si="23"/>
        <v>1748,'112230','AERO 3°B'</v>
      </c>
      <c r="E749" s="12" t="str">
        <f t="shared" si="22"/>
        <v>INSERT INTO grupos (id,matricula,grupo) values (1748,'112230','AERO 3°B');</v>
      </c>
    </row>
    <row r="750" spans="1:5" ht="43.5" x14ac:dyDescent="0.35">
      <c r="A750">
        <v>1749</v>
      </c>
      <c r="B750" t="s">
        <v>2642</v>
      </c>
      <c r="C750" t="s">
        <v>1838</v>
      </c>
      <c r="D750" s="12" t="str">
        <f t="shared" si="23"/>
        <v>1749,'112230','TC0302_3'</v>
      </c>
      <c r="E750" s="12" t="str">
        <f t="shared" si="22"/>
        <v>INSERT INTO grupos (id,matricula,grupo) values (1749,'112230','TC0302_3');</v>
      </c>
    </row>
    <row r="751" spans="1:5" ht="43.5" x14ac:dyDescent="0.35">
      <c r="A751">
        <v>1750</v>
      </c>
      <c r="B751" t="s">
        <v>2642</v>
      </c>
      <c r="C751" t="s">
        <v>1846</v>
      </c>
      <c r="D751" s="12" t="str">
        <f t="shared" si="23"/>
        <v>1750,'112230','TC0303_3'</v>
      </c>
      <c r="E751" s="12" t="str">
        <f t="shared" si="22"/>
        <v>INSERT INTO grupos (id,matricula,grupo) values (1750,'112230','TC0303_3');</v>
      </c>
    </row>
    <row r="752" spans="1:5" ht="43.5" x14ac:dyDescent="0.35">
      <c r="A752">
        <v>1751</v>
      </c>
      <c r="B752" t="s">
        <v>2643</v>
      </c>
      <c r="C752" t="s">
        <v>1774</v>
      </c>
      <c r="D752" s="12" t="str">
        <f t="shared" si="23"/>
        <v>1751,'112232','AUTO 3° A'</v>
      </c>
      <c r="E752" s="12" t="str">
        <f t="shared" si="22"/>
        <v>INSERT INTO grupos (id,matricula,grupo) values (1751,'112232','AUTO 3° A');</v>
      </c>
    </row>
    <row r="753" spans="1:5" ht="43.5" x14ac:dyDescent="0.35">
      <c r="A753">
        <v>1752</v>
      </c>
      <c r="B753" t="s">
        <v>2643</v>
      </c>
      <c r="C753" t="s">
        <v>1839</v>
      </c>
      <c r="D753" s="12" t="str">
        <f t="shared" si="23"/>
        <v>1752,'112232','TC0302_4'</v>
      </c>
      <c r="E753" s="12" t="str">
        <f t="shared" si="22"/>
        <v>INSERT INTO grupos (id,matricula,grupo) values (1752,'112232','TC0302_4');</v>
      </c>
    </row>
    <row r="754" spans="1:5" ht="43.5" x14ac:dyDescent="0.35">
      <c r="A754">
        <v>1753</v>
      </c>
      <c r="B754" t="s">
        <v>2643</v>
      </c>
      <c r="C754" t="s">
        <v>1847</v>
      </c>
      <c r="D754" s="12" t="str">
        <f t="shared" si="23"/>
        <v>1753,'112232','TC0303_4'</v>
      </c>
      <c r="E754" s="12" t="str">
        <f t="shared" si="22"/>
        <v>INSERT INTO grupos (id,matricula,grupo) values (1753,'112232','TC0303_4');</v>
      </c>
    </row>
    <row r="755" spans="1:5" ht="43.5" x14ac:dyDescent="0.35">
      <c r="A755">
        <v>1754</v>
      </c>
      <c r="B755" t="s">
        <v>2644</v>
      </c>
      <c r="C755" t="s">
        <v>1778</v>
      </c>
      <c r="D755" s="12" t="str">
        <f t="shared" si="23"/>
        <v>1754,'112233','AUTO 3° B'</v>
      </c>
      <c r="E755" s="12" t="str">
        <f t="shared" si="22"/>
        <v>INSERT INTO grupos (id,matricula,grupo) values (1754,'112233','AUTO 3° B');</v>
      </c>
    </row>
    <row r="756" spans="1:5" ht="43.5" x14ac:dyDescent="0.35">
      <c r="A756">
        <v>1755</v>
      </c>
      <c r="B756" t="s">
        <v>2644</v>
      </c>
      <c r="C756" t="s">
        <v>1841</v>
      </c>
      <c r="D756" s="12" t="str">
        <f t="shared" si="23"/>
        <v>1755,'112233','TC0302_6'</v>
      </c>
      <c r="E756" s="12" t="str">
        <f t="shared" si="22"/>
        <v>INSERT INTO grupos (id,matricula,grupo) values (1755,'112233','TC0302_6');</v>
      </c>
    </row>
    <row r="757" spans="1:5" ht="43.5" x14ac:dyDescent="0.35">
      <c r="A757">
        <v>1756</v>
      </c>
      <c r="B757" t="s">
        <v>2644</v>
      </c>
      <c r="C757" t="s">
        <v>1849</v>
      </c>
      <c r="D757" s="12" t="str">
        <f t="shared" si="23"/>
        <v>1756,'112233','TC0303_6'</v>
      </c>
      <c r="E757" s="12" t="str">
        <f t="shared" si="22"/>
        <v>INSERT INTO grupos (id,matricula,grupo) values (1756,'112233','TC0303_6');</v>
      </c>
    </row>
    <row r="758" spans="1:5" ht="43.5" x14ac:dyDescent="0.35">
      <c r="A758">
        <v>1757</v>
      </c>
      <c r="B758" t="s">
        <v>2645</v>
      </c>
      <c r="C758" t="s">
        <v>1775</v>
      </c>
      <c r="D758" s="12" t="str">
        <f t="shared" si="23"/>
        <v>1757,'112234','AERO 3°B'</v>
      </c>
      <c r="E758" s="12" t="str">
        <f t="shared" si="22"/>
        <v>INSERT INTO grupos (id,matricula,grupo) values (1757,'112234','AERO 3°B');</v>
      </c>
    </row>
    <row r="759" spans="1:5" ht="43.5" x14ac:dyDescent="0.35">
      <c r="A759">
        <v>1758</v>
      </c>
      <c r="B759" t="s">
        <v>2645</v>
      </c>
      <c r="C759" t="s">
        <v>1837</v>
      </c>
      <c r="D759" s="12" t="str">
        <f t="shared" si="23"/>
        <v>1758,'112234','TC0302_2'</v>
      </c>
      <c r="E759" s="12" t="str">
        <f t="shared" si="22"/>
        <v>INSERT INTO grupos (id,matricula,grupo) values (1758,'112234','TC0302_2');</v>
      </c>
    </row>
    <row r="760" spans="1:5" ht="43.5" x14ac:dyDescent="0.35">
      <c r="A760">
        <v>1759</v>
      </c>
      <c r="B760" t="s">
        <v>2646</v>
      </c>
      <c r="C760" t="s">
        <v>1776</v>
      </c>
      <c r="D760" s="12" t="str">
        <f t="shared" si="23"/>
        <v>1759,'112235','AERO 3°A'</v>
      </c>
      <c r="E760" s="12" t="str">
        <f t="shared" si="22"/>
        <v>INSERT INTO grupos (id,matricula,grupo) values (1759,'112235','AERO 3°A');</v>
      </c>
    </row>
    <row r="761" spans="1:5" ht="43.5" x14ac:dyDescent="0.35">
      <c r="A761">
        <v>1760</v>
      </c>
      <c r="B761" t="s">
        <v>2646</v>
      </c>
      <c r="C761" t="s">
        <v>1838</v>
      </c>
      <c r="D761" s="12" t="str">
        <f t="shared" si="23"/>
        <v>1760,'112235','TC0302_3'</v>
      </c>
      <c r="E761" s="12" t="str">
        <f t="shared" si="22"/>
        <v>INSERT INTO grupos (id,matricula,grupo) values (1760,'112235','TC0302_3');</v>
      </c>
    </row>
    <row r="762" spans="1:5" ht="43.5" x14ac:dyDescent="0.35">
      <c r="A762">
        <v>1761</v>
      </c>
      <c r="B762" t="s">
        <v>2646</v>
      </c>
      <c r="C762" t="s">
        <v>1846</v>
      </c>
      <c r="D762" s="12" t="str">
        <f t="shared" si="23"/>
        <v>1761,'112235','TC0303_3'</v>
      </c>
      <c r="E762" s="12" t="str">
        <f t="shared" si="22"/>
        <v>INSERT INTO grupos (id,matricula,grupo) values (1761,'112235','TC0303_3');</v>
      </c>
    </row>
    <row r="763" spans="1:5" ht="43.5" x14ac:dyDescent="0.35">
      <c r="A763">
        <v>1762</v>
      </c>
      <c r="B763" t="s">
        <v>2647</v>
      </c>
      <c r="C763" t="s">
        <v>1780</v>
      </c>
      <c r="D763" s="12" t="str">
        <f t="shared" si="23"/>
        <v>1762,'112236','IA 3°'</v>
      </c>
      <c r="E763" s="12" t="str">
        <f t="shared" si="22"/>
        <v>INSERT INTO grupos (id,matricula,grupo) values (1762,'112236','IA 3°');</v>
      </c>
    </row>
    <row r="764" spans="1:5" ht="43.5" x14ac:dyDescent="0.35">
      <c r="A764">
        <v>1763</v>
      </c>
      <c r="B764" t="s">
        <v>2647</v>
      </c>
      <c r="C764" t="s">
        <v>1841</v>
      </c>
      <c r="D764" s="12" t="str">
        <f t="shared" si="23"/>
        <v>1763,'112236','TC0302_6'</v>
      </c>
      <c r="E764" s="12" t="str">
        <f t="shared" si="22"/>
        <v>INSERT INTO grupos (id,matricula,grupo) values (1763,'112236','TC0302_6');</v>
      </c>
    </row>
    <row r="765" spans="1:5" ht="43.5" x14ac:dyDescent="0.35">
      <c r="A765">
        <v>1764</v>
      </c>
      <c r="B765" t="s">
        <v>2647</v>
      </c>
      <c r="C765" t="s">
        <v>1849</v>
      </c>
      <c r="D765" s="12" t="str">
        <f t="shared" si="23"/>
        <v>1764,'112236','TC0303_6'</v>
      </c>
      <c r="E765" s="12" t="str">
        <f t="shared" si="22"/>
        <v>INSERT INTO grupos (id,matricula,grupo) values (1764,'112236','TC0303_6');</v>
      </c>
    </row>
    <row r="766" spans="1:5" ht="43.5" x14ac:dyDescent="0.35">
      <c r="A766">
        <v>1765</v>
      </c>
      <c r="B766" t="s">
        <v>2648</v>
      </c>
      <c r="C766" t="s">
        <v>1774</v>
      </c>
      <c r="D766" s="12" t="str">
        <f t="shared" si="23"/>
        <v>1765,'112237','AUTO 3° A'</v>
      </c>
      <c r="E766" s="12" t="str">
        <f t="shared" si="22"/>
        <v>INSERT INTO grupos (id,matricula,grupo) values (1765,'112237','AUTO 3° A');</v>
      </c>
    </row>
    <row r="767" spans="1:5" ht="43.5" x14ac:dyDescent="0.35">
      <c r="A767">
        <v>1766</v>
      </c>
      <c r="B767" t="s">
        <v>2648</v>
      </c>
      <c r="C767" t="s">
        <v>1839</v>
      </c>
      <c r="D767" s="12" t="str">
        <f t="shared" si="23"/>
        <v>1766,'112237','TC0302_4'</v>
      </c>
      <c r="E767" s="12" t="str">
        <f t="shared" si="22"/>
        <v>INSERT INTO grupos (id,matricula,grupo) values (1766,'112237','TC0302_4');</v>
      </c>
    </row>
    <row r="768" spans="1:5" ht="43.5" x14ac:dyDescent="0.35">
      <c r="A768">
        <v>1767</v>
      </c>
      <c r="B768" t="s">
        <v>2648</v>
      </c>
      <c r="C768" t="s">
        <v>1847</v>
      </c>
      <c r="D768" s="12" t="str">
        <f t="shared" si="23"/>
        <v>1767,'112237','TC0303_4'</v>
      </c>
      <c r="E768" s="12" t="str">
        <f t="shared" si="22"/>
        <v>INSERT INTO grupos (id,matricula,grupo) values (1767,'112237','TC0303_4');</v>
      </c>
    </row>
    <row r="769" spans="1:5" ht="43.5" x14ac:dyDescent="0.35">
      <c r="A769">
        <v>1768</v>
      </c>
      <c r="B769" t="s">
        <v>2649</v>
      </c>
      <c r="C769" t="s">
        <v>1774</v>
      </c>
      <c r="D769" s="12" t="str">
        <f t="shared" si="23"/>
        <v>1768,'112238','AUTO 3° A'</v>
      </c>
      <c r="E769" s="12" t="str">
        <f t="shared" si="22"/>
        <v>INSERT INTO grupos (id,matricula,grupo) values (1768,'112238','AUTO 3° A');</v>
      </c>
    </row>
    <row r="770" spans="1:5" ht="43.5" x14ac:dyDescent="0.35">
      <c r="A770">
        <v>1769</v>
      </c>
      <c r="B770" t="s">
        <v>2649</v>
      </c>
      <c r="C770" t="s">
        <v>1841</v>
      </c>
      <c r="D770" s="12" t="str">
        <f t="shared" si="23"/>
        <v>1769,'112238','TC0302_6'</v>
      </c>
      <c r="E770" s="12" t="str">
        <f t="shared" ref="E770:E833" si="24">CONCATENATE($D$1,D770,");")</f>
        <v>INSERT INTO grupos (id,matricula,grupo) values (1769,'112238','TC0302_6');</v>
      </c>
    </row>
    <row r="771" spans="1:5" ht="43.5" x14ac:dyDescent="0.35">
      <c r="A771">
        <v>1770</v>
      </c>
      <c r="B771" t="s">
        <v>2649</v>
      </c>
      <c r="C771" t="s">
        <v>1849</v>
      </c>
      <c r="D771" s="12" t="str">
        <f t="shared" ref="D771:D834" si="25">CONCATENATE(A771,",'",TRIM(B771),"','",C771,"'")</f>
        <v>1770,'112238','TC0303_6'</v>
      </c>
      <c r="E771" s="12" t="str">
        <f t="shared" si="24"/>
        <v>INSERT INTO grupos (id,matricula,grupo) values (1770,'112238','TC0303_6');</v>
      </c>
    </row>
    <row r="772" spans="1:5" ht="43.5" x14ac:dyDescent="0.35">
      <c r="A772">
        <v>1771</v>
      </c>
      <c r="B772" t="s">
        <v>2650</v>
      </c>
      <c r="C772" t="s">
        <v>1776</v>
      </c>
      <c r="D772" s="12" t="str">
        <f t="shared" si="25"/>
        <v>1771,'112240','AERO 3°A'</v>
      </c>
      <c r="E772" s="12" t="str">
        <f t="shared" si="24"/>
        <v>INSERT INTO grupos (id,matricula,grupo) values (1771,'112240','AERO 3°A');</v>
      </c>
    </row>
    <row r="773" spans="1:5" ht="43.5" x14ac:dyDescent="0.35">
      <c r="A773">
        <v>1772</v>
      </c>
      <c r="B773" t="s">
        <v>2650</v>
      </c>
      <c r="C773" t="s">
        <v>1838</v>
      </c>
      <c r="D773" s="12" t="str">
        <f t="shared" si="25"/>
        <v>1772,'112240','TC0302_3'</v>
      </c>
      <c r="E773" s="12" t="str">
        <f t="shared" si="24"/>
        <v>INSERT INTO grupos (id,matricula,grupo) values (1772,'112240','TC0302_3');</v>
      </c>
    </row>
    <row r="774" spans="1:5" ht="43.5" x14ac:dyDescent="0.35">
      <c r="A774">
        <v>1773</v>
      </c>
      <c r="B774" t="s">
        <v>2650</v>
      </c>
      <c r="C774" t="s">
        <v>1846</v>
      </c>
      <c r="D774" s="12" t="str">
        <f t="shared" si="25"/>
        <v>1773,'112240','TC0303_3'</v>
      </c>
      <c r="E774" s="12" t="str">
        <f t="shared" si="24"/>
        <v>INSERT INTO grupos (id,matricula,grupo) values (1773,'112240','TC0303_3');</v>
      </c>
    </row>
    <row r="775" spans="1:5" ht="43.5" x14ac:dyDescent="0.35">
      <c r="A775">
        <v>1774</v>
      </c>
      <c r="B775" t="s">
        <v>2651</v>
      </c>
      <c r="C775" t="s">
        <v>1772</v>
      </c>
      <c r="D775" s="12" t="str">
        <f t="shared" si="25"/>
        <v>1774,'112241','NUT 3°'</v>
      </c>
      <c r="E775" s="12" t="str">
        <f t="shared" si="24"/>
        <v>INSERT INTO grupos (id,matricula,grupo) values (1774,'112241','NUT 3°');</v>
      </c>
    </row>
    <row r="776" spans="1:5" ht="43.5" x14ac:dyDescent="0.35">
      <c r="A776">
        <v>1775</v>
      </c>
      <c r="B776" t="s">
        <v>2651</v>
      </c>
      <c r="C776" t="s">
        <v>1838</v>
      </c>
      <c r="D776" s="12" t="str">
        <f t="shared" si="25"/>
        <v>1775,'112241','TC0302_3'</v>
      </c>
      <c r="E776" s="12" t="str">
        <f t="shared" si="24"/>
        <v>INSERT INTO grupos (id,matricula,grupo) values (1775,'112241','TC0302_3');</v>
      </c>
    </row>
    <row r="777" spans="1:5" ht="43.5" x14ac:dyDescent="0.35">
      <c r="A777">
        <v>1776</v>
      </c>
      <c r="B777" t="s">
        <v>2651</v>
      </c>
      <c r="C777" t="s">
        <v>1846</v>
      </c>
      <c r="D777" s="12" t="str">
        <f t="shared" si="25"/>
        <v>1776,'112241','TC0303_3'</v>
      </c>
      <c r="E777" s="12" t="str">
        <f t="shared" si="24"/>
        <v>INSERT INTO grupos (id,matricula,grupo) values (1776,'112241','TC0303_3');</v>
      </c>
    </row>
    <row r="778" spans="1:5" ht="43.5" x14ac:dyDescent="0.35">
      <c r="A778">
        <v>1777</v>
      </c>
      <c r="B778" t="s">
        <v>2652</v>
      </c>
      <c r="C778" t="s">
        <v>1774</v>
      </c>
      <c r="D778" s="12" t="str">
        <f t="shared" si="25"/>
        <v>1777,'112242','AUTO 3° A'</v>
      </c>
      <c r="E778" s="12" t="str">
        <f t="shared" si="24"/>
        <v>INSERT INTO grupos (id,matricula,grupo) values (1777,'112242','AUTO 3° A');</v>
      </c>
    </row>
    <row r="779" spans="1:5" ht="43.5" x14ac:dyDescent="0.35">
      <c r="A779">
        <v>1778</v>
      </c>
      <c r="B779" t="s">
        <v>2652</v>
      </c>
      <c r="C779" t="s">
        <v>1840</v>
      </c>
      <c r="D779" s="12" t="str">
        <f t="shared" si="25"/>
        <v>1778,'112242','TC0302_5'</v>
      </c>
      <c r="E779" s="12" t="str">
        <f t="shared" si="24"/>
        <v>INSERT INTO grupos (id,matricula,grupo) values (1778,'112242','TC0302_5');</v>
      </c>
    </row>
    <row r="780" spans="1:5" ht="43.5" x14ac:dyDescent="0.35">
      <c r="A780">
        <v>1779</v>
      </c>
      <c r="B780" t="s">
        <v>2653</v>
      </c>
      <c r="C780" t="s">
        <v>1778</v>
      </c>
      <c r="D780" s="12" t="str">
        <f t="shared" si="25"/>
        <v>1779,'112244','AUTO 3° B'</v>
      </c>
      <c r="E780" s="12" t="str">
        <f t="shared" si="24"/>
        <v>INSERT INTO grupos (id,matricula,grupo) values (1779,'112244','AUTO 3° B');</v>
      </c>
    </row>
    <row r="781" spans="1:5" ht="43.5" x14ac:dyDescent="0.35">
      <c r="A781">
        <v>1780</v>
      </c>
      <c r="B781" t="s">
        <v>2653</v>
      </c>
      <c r="C781" t="s">
        <v>1839</v>
      </c>
      <c r="D781" s="12" t="str">
        <f t="shared" si="25"/>
        <v>1780,'112244','TC0302_4'</v>
      </c>
      <c r="E781" s="12" t="str">
        <f t="shared" si="24"/>
        <v>INSERT INTO grupos (id,matricula,grupo) values (1780,'112244','TC0302_4');</v>
      </c>
    </row>
    <row r="782" spans="1:5" ht="43.5" x14ac:dyDescent="0.35">
      <c r="A782">
        <v>1781</v>
      </c>
      <c r="B782" t="s">
        <v>2653</v>
      </c>
      <c r="C782" t="s">
        <v>1847</v>
      </c>
      <c r="D782" s="12" t="str">
        <f t="shared" si="25"/>
        <v>1781,'112244','TC0303_4'</v>
      </c>
      <c r="E782" s="12" t="str">
        <f t="shared" si="24"/>
        <v>INSERT INTO grupos (id,matricula,grupo) values (1781,'112244','TC0303_4');</v>
      </c>
    </row>
    <row r="783" spans="1:5" ht="43.5" x14ac:dyDescent="0.35">
      <c r="A783">
        <v>1782</v>
      </c>
      <c r="B783" t="s">
        <v>2654</v>
      </c>
      <c r="C783" t="s">
        <v>1774</v>
      </c>
      <c r="D783" s="12" t="str">
        <f t="shared" si="25"/>
        <v>1782,'112245','AUTO 3° A'</v>
      </c>
      <c r="E783" s="12" t="str">
        <f t="shared" si="24"/>
        <v>INSERT INTO grupos (id,matricula,grupo) values (1782,'112245','AUTO 3° A');</v>
      </c>
    </row>
    <row r="784" spans="1:5" ht="43.5" x14ac:dyDescent="0.35">
      <c r="A784">
        <v>1783</v>
      </c>
      <c r="B784" t="s">
        <v>2654</v>
      </c>
      <c r="C784" t="s">
        <v>1840</v>
      </c>
      <c r="D784" s="12" t="str">
        <f t="shared" si="25"/>
        <v>1783,'112245','TC0302_5'</v>
      </c>
      <c r="E784" s="12" t="str">
        <f t="shared" si="24"/>
        <v>INSERT INTO grupos (id,matricula,grupo) values (1783,'112245','TC0302_5');</v>
      </c>
    </row>
    <row r="785" spans="1:5" ht="43.5" x14ac:dyDescent="0.35">
      <c r="A785">
        <v>1784</v>
      </c>
      <c r="B785" t="s">
        <v>2655</v>
      </c>
      <c r="C785" t="s">
        <v>1759</v>
      </c>
      <c r="D785" s="12" t="str">
        <f t="shared" si="25"/>
        <v>1784,'112246','ARQ 3°'</v>
      </c>
      <c r="E785" s="12" t="str">
        <f t="shared" si="24"/>
        <v>INSERT INTO grupos (id,matricula,grupo) values (1784,'112246','ARQ 3°');</v>
      </c>
    </row>
    <row r="786" spans="1:5" ht="43.5" x14ac:dyDescent="0.35">
      <c r="A786">
        <v>1785</v>
      </c>
      <c r="B786" t="s">
        <v>2655</v>
      </c>
      <c r="C786" t="s">
        <v>1838</v>
      </c>
      <c r="D786" s="12" t="str">
        <f t="shared" si="25"/>
        <v>1785,'112246','TC0302_3'</v>
      </c>
      <c r="E786" s="12" t="str">
        <f t="shared" si="24"/>
        <v>INSERT INTO grupos (id,matricula,grupo) values (1785,'112246','TC0302_3');</v>
      </c>
    </row>
    <row r="787" spans="1:5" ht="43.5" x14ac:dyDescent="0.35">
      <c r="A787">
        <v>1786</v>
      </c>
      <c r="B787" t="s">
        <v>2655</v>
      </c>
      <c r="C787" t="s">
        <v>1846</v>
      </c>
      <c r="D787" s="12" t="str">
        <f t="shared" si="25"/>
        <v>1786,'112246','TC0303_3'</v>
      </c>
      <c r="E787" s="12" t="str">
        <f t="shared" si="24"/>
        <v>INSERT INTO grupos (id,matricula,grupo) values (1786,'112246','TC0303_3');</v>
      </c>
    </row>
    <row r="788" spans="1:5" ht="43.5" x14ac:dyDescent="0.35">
      <c r="A788">
        <v>1787</v>
      </c>
      <c r="B788" t="s">
        <v>2656</v>
      </c>
      <c r="C788" t="s">
        <v>1775</v>
      </c>
      <c r="D788" s="12" t="str">
        <f t="shared" si="25"/>
        <v>1787,'112247','AERO 3°B'</v>
      </c>
      <c r="E788" s="12" t="str">
        <f t="shared" si="24"/>
        <v>INSERT INTO grupos (id,matricula,grupo) values (1787,'112247','AERO 3°B');</v>
      </c>
    </row>
    <row r="789" spans="1:5" ht="43.5" x14ac:dyDescent="0.35">
      <c r="A789">
        <v>1788</v>
      </c>
      <c r="B789" t="s">
        <v>2656</v>
      </c>
      <c r="C789" t="s">
        <v>1836</v>
      </c>
      <c r="D789" s="12" t="str">
        <f t="shared" si="25"/>
        <v>1788,'112247','TC0302_1'</v>
      </c>
      <c r="E789" s="12" t="str">
        <f t="shared" si="24"/>
        <v>INSERT INTO grupos (id,matricula,grupo) values (1788,'112247','TC0302_1');</v>
      </c>
    </row>
    <row r="790" spans="1:5" ht="43.5" x14ac:dyDescent="0.35">
      <c r="A790">
        <v>1789</v>
      </c>
      <c r="B790" t="s">
        <v>2656</v>
      </c>
      <c r="C790" t="s">
        <v>1844</v>
      </c>
      <c r="D790" s="12" t="str">
        <f t="shared" si="25"/>
        <v>1789,'112247','TC0303_1'</v>
      </c>
      <c r="E790" s="12" t="str">
        <f t="shared" si="24"/>
        <v>INSERT INTO grupos (id,matricula,grupo) values (1789,'112247','TC0303_1');</v>
      </c>
    </row>
    <row r="791" spans="1:5" ht="43.5" x14ac:dyDescent="0.35">
      <c r="A791">
        <v>1790</v>
      </c>
      <c r="B791" t="s">
        <v>2657</v>
      </c>
      <c r="C791" t="s">
        <v>1776</v>
      </c>
      <c r="D791" s="12" t="str">
        <f t="shared" si="25"/>
        <v>1790,'112248','AERO 3°A'</v>
      </c>
      <c r="E791" s="12" t="str">
        <f t="shared" si="24"/>
        <v>INSERT INTO grupos (id,matricula,grupo) values (1790,'112248','AERO 3°A');</v>
      </c>
    </row>
    <row r="792" spans="1:5" ht="43.5" x14ac:dyDescent="0.35">
      <c r="A792">
        <v>1791</v>
      </c>
      <c r="B792" t="s">
        <v>2657</v>
      </c>
      <c r="C792" t="s">
        <v>1838</v>
      </c>
      <c r="D792" s="12" t="str">
        <f t="shared" si="25"/>
        <v>1791,'112248','TC0302_3'</v>
      </c>
      <c r="E792" s="12" t="str">
        <f t="shared" si="24"/>
        <v>INSERT INTO grupos (id,matricula,grupo) values (1791,'112248','TC0302_3');</v>
      </c>
    </row>
    <row r="793" spans="1:5" ht="43.5" x14ac:dyDescent="0.35">
      <c r="A793">
        <v>1792</v>
      </c>
      <c r="B793" t="s">
        <v>2657</v>
      </c>
      <c r="C793" t="s">
        <v>1846</v>
      </c>
      <c r="D793" s="12" t="str">
        <f t="shared" si="25"/>
        <v>1792,'112248','TC0303_3'</v>
      </c>
      <c r="E793" s="12" t="str">
        <f t="shared" si="24"/>
        <v>INSERT INTO grupos (id,matricula,grupo) values (1792,'112248','TC0303_3');</v>
      </c>
    </row>
    <row r="794" spans="1:5" ht="43.5" x14ac:dyDescent="0.35">
      <c r="A794">
        <v>1793</v>
      </c>
      <c r="B794" t="s">
        <v>2658</v>
      </c>
      <c r="C794" t="s">
        <v>1779</v>
      </c>
      <c r="D794" s="12" t="str">
        <f t="shared" si="25"/>
        <v>1793,'112249','PSI 3°'</v>
      </c>
      <c r="E794" s="12" t="str">
        <f t="shared" si="24"/>
        <v>INSERT INTO grupos (id,matricula,grupo) values (1793,'112249','PSI 3°');</v>
      </c>
    </row>
    <row r="795" spans="1:5" ht="43.5" x14ac:dyDescent="0.35">
      <c r="A795">
        <v>1794</v>
      </c>
      <c r="B795" t="s">
        <v>2658</v>
      </c>
      <c r="C795" t="s">
        <v>1841</v>
      </c>
      <c r="D795" s="12" t="str">
        <f t="shared" si="25"/>
        <v>1794,'112249','TC0302_6'</v>
      </c>
      <c r="E795" s="12" t="str">
        <f t="shared" si="24"/>
        <v>INSERT INTO grupos (id,matricula,grupo) values (1794,'112249','TC0302_6');</v>
      </c>
    </row>
    <row r="796" spans="1:5" ht="43.5" x14ac:dyDescent="0.35">
      <c r="A796">
        <v>1795</v>
      </c>
      <c r="B796" t="s">
        <v>2658</v>
      </c>
      <c r="C796" t="s">
        <v>1849</v>
      </c>
      <c r="D796" s="12" t="str">
        <f t="shared" si="25"/>
        <v>1795,'112249','TC0303_6'</v>
      </c>
      <c r="E796" s="12" t="str">
        <f t="shared" si="24"/>
        <v>INSERT INTO grupos (id,matricula,grupo) values (1795,'112249','TC0303_6');</v>
      </c>
    </row>
    <row r="797" spans="1:5" ht="43.5" x14ac:dyDescent="0.35">
      <c r="A797">
        <v>1796</v>
      </c>
      <c r="B797" t="s">
        <v>2659</v>
      </c>
      <c r="C797" t="s">
        <v>1777</v>
      </c>
      <c r="D797" s="12" t="str">
        <f t="shared" si="25"/>
        <v>1796,'112251','ANIM 3°'</v>
      </c>
      <c r="E797" s="12" t="str">
        <f t="shared" si="24"/>
        <v>INSERT INTO grupos (id,matricula,grupo) values (1796,'112251','ANIM 3°');</v>
      </c>
    </row>
    <row r="798" spans="1:5" ht="43.5" x14ac:dyDescent="0.35">
      <c r="A798">
        <v>1797</v>
      </c>
      <c r="B798" t="s">
        <v>2659</v>
      </c>
      <c r="C798" t="s">
        <v>1841</v>
      </c>
      <c r="D798" s="12" t="str">
        <f t="shared" si="25"/>
        <v>1797,'112251','TC0302_6'</v>
      </c>
      <c r="E798" s="12" t="str">
        <f t="shared" si="24"/>
        <v>INSERT INTO grupos (id,matricula,grupo) values (1797,'112251','TC0302_6');</v>
      </c>
    </row>
    <row r="799" spans="1:5" ht="43.5" x14ac:dyDescent="0.35">
      <c r="A799">
        <v>1798</v>
      </c>
      <c r="B799" t="s">
        <v>2659</v>
      </c>
      <c r="C799" t="s">
        <v>1849</v>
      </c>
      <c r="D799" s="12" t="str">
        <f t="shared" si="25"/>
        <v>1798,'112251','TC0303_6'</v>
      </c>
      <c r="E799" s="12" t="str">
        <f t="shared" si="24"/>
        <v>INSERT INTO grupos (id,matricula,grupo) values (1798,'112251','TC0303_6');</v>
      </c>
    </row>
    <row r="800" spans="1:5" ht="43.5" x14ac:dyDescent="0.35">
      <c r="A800">
        <v>1799</v>
      </c>
      <c r="B800" t="s">
        <v>2660</v>
      </c>
      <c r="C800" t="s">
        <v>1775</v>
      </c>
      <c r="D800" s="12" t="str">
        <f t="shared" si="25"/>
        <v>1799,'112252','AERO 3°B'</v>
      </c>
      <c r="E800" s="12" t="str">
        <f t="shared" si="24"/>
        <v>INSERT INTO grupos (id,matricula,grupo) values (1799,'112252','AERO 3°B');</v>
      </c>
    </row>
    <row r="801" spans="1:5" ht="43.5" x14ac:dyDescent="0.35">
      <c r="A801">
        <v>1800</v>
      </c>
      <c r="B801" t="s">
        <v>2660</v>
      </c>
      <c r="C801" t="s">
        <v>1837</v>
      </c>
      <c r="D801" s="12" t="str">
        <f t="shared" si="25"/>
        <v>1800,'112252','TC0302_2'</v>
      </c>
      <c r="E801" s="12" t="str">
        <f t="shared" si="24"/>
        <v>INSERT INTO grupos (id,matricula,grupo) values (1800,'112252','TC0302_2');</v>
      </c>
    </row>
    <row r="802" spans="1:5" ht="43.5" x14ac:dyDescent="0.35">
      <c r="A802">
        <v>1801</v>
      </c>
      <c r="B802" t="s">
        <v>2661</v>
      </c>
      <c r="C802" t="s">
        <v>1776</v>
      </c>
      <c r="D802" s="12" t="str">
        <f t="shared" si="25"/>
        <v>1801,'112253','AERO 3°A'</v>
      </c>
      <c r="E802" s="12" t="str">
        <f t="shared" si="24"/>
        <v>INSERT INTO grupos (id,matricula,grupo) values (1801,'112253','AERO 3°A');</v>
      </c>
    </row>
    <row r="803" spans="1:5" ht="43.5" x14ac:dyDescent="0.35">
      <c r="A803">
        <v>1802</v>
      </c>
      <c r="B803" t="s">
        <v>2661</v>
      </c>
      <c r="C803" t="s">
        <v>1837</v>
      </c>
      <c r="D803" s="12" t="str">
        <f t="shared" si="25"/>
        <v>1802,'112253','TC0302_2'</v>
      </c>
      <c r="E803" s="12" t="str">
        <f t="shared" si="24"/>
        <v>INSERT INTO grupos (id,matricula,grupo) values (1802,'112253','TC0302_2');</v>
      </c>
    </row>
    <row r="804" spans="1:5" ht="43.5" x14ac:dyDescent="0.35">
      <c r="A804">
        <v>1803</v>
      </c>
      <c r="B804" t="s">
        <v>2662</v>
      </c>
      <c r="C804" t="s">
        <v>1776</v>
      </c>
      <c r="D804" s="12" t="str">
        <f t="shared" si="25"/>
        <v>1803,'112254','AERO 3°A'</v>
      </c>
      <c r="E804" s="12" t="str">
        <f t="shared" si="24"/>
        <v>INSERT INTO grupos (id,matricula,grupo) values (1803,'112254','AERO 3°A');</v>
      </c>
    </row>
    <row r="805" spans="1:5" ht="43.5" x14ac:dyDescent="0.35">
      <c r="A805">
        <v>1804</v>
      </c>
      <c r="B805" t="s">
        <v>2662</v>
      </c>
      <c r="C805" t="s">
        <v>1838</v>
      </c>
      <c r="D805" s="12" t="str">
        <f t="shared" si="25"/>
        <v>1804,'112254','TC0302_3'</v>
      </c>
      <c r="E805" s="12" t="str">
        <f t="shared" si="24"/>
        <v>INSERT INTO grupos (id,matricula,grupo) values (1804,'112254','TC0302_3');</v>
      </c>
    </row>
    <row r="806" spans="1:5" ht="43.5" x14ac:dyDescent="0.35">
      <c r="A806">
        <v>1805</v>
      </c>
      <c r="B806" t="s">
        <v>2662</v>
      </c>
      <c r="C806" t="s">
        <v>1846</v>
      </c>
      <c r="D806" s="12" t="str">
        <f t="shared" si="25"/>
        <v>1805,'112254','TC0303_3'</v>
      </c>
      <c r="E806" s="12" t="str">
        <f t="shared" si="24"/>
        <v>INSERT INTO grupos (id,matricula,grupo) values (1805,'112254','TC0303_3');</v>
      </c>
    </row>
    <row r="807" spans="1:5" ht="43.5" x14ac:dyDescent="0.35">
      <c r="A807">
        <v>1806</v>
      </c>
      <c r="B807" t="s">
        <v>2663</v>
      </c>
      <c r="C807" t="s">
        <v>1759</v>
      </c>
      <c r="D807" s="12" t="str">
        <f t="shared" si="25"/>
        <v>1806,'112255','ARQ 3°'</v>
      </c>
      <c r="E807" s="12" t="str">
        <f t="shared" si="24"/>
        <v>INSERT INTO grupos (id,matricula,grupo) values (1806,'112255','ARQ 3°');</v>
      </c>
    </row>
    <row r="808" spans="1:5" ht="43.5" x14ac:dyDescent="0.35">
      <c r="A808">
        <v>1807</v>
      </c>
      <c r="B808" t="s">
        <v>2663</v>
      </c>
      <c r="C808" t="s">
        <v>1837</v>
      </c>
      <c r="D808" s="12" t="str">
        <f t="shared" si="25"/>
        <v>1807,'112255','TC0302_2'</v>
      </c>
      <c r="E808" s="12" t="str">
        <f t="shared" si="24"/>
        <v>INSERT INTO grupos (id,matricula,grupo) values (1807,'112255','TC0302_2');</v>
      </c>
    </row>
    <row r="809" spans="1:5" ht="43.5" x14ac:dyDescent="0.35">
      <c r="A809">
        <v>1808</v>
      </c>
      <c r="B809" t="s">
        <v>2664</v>
      </c>
      <c r="C809" t="s">
        <v>1780</v>
      </c>
      <c r="D809" s="12" t="str">
        <f t="shared" si="25"/>
        <v>1808,'112256','IA 3°'</v>
      </c>
      <c r="E809" s="12" t="str">
        <f t="shared" si="24"/>
        <v>INSERT INTO grupos (id,matricula,grupo) values (1808,'112256','IA 3°');</v>
      </c>
    </row>
    <row r="810" spans="1:5" ht="43.5" x14ac:dyDescent="0.35">
      <c r="A810">
        <v>1809</v>
      </c>
      <c r="B810" t="s">
        <v>2664</v>
      </c>
      <c r="C810" t="s">
        <v>1840</v>
      </c>
      <c r="D810" s="12" t="str">
        <f t="shared" si="25"/>
        <v>1809,'112256','TC0302_5'</v>
      </c>
      <c r="E810" s="12" t="str">
        <f t="shared" si="24"/>
        <v>INSERT INTO grupos (id,matricula,grupo) values (1809,'112256','TC0302_5');</v>
      </c>
    </row>
    <row r="811" spans="1:5" ht="43.5" x14ac:dyDescent="0.35">
      <c r="A811">
        <v>1810</v>
      </c>
      <c r="B811" t="s">
        <v>2665</v>
      </c>
      <c r="C811" t="s">
        <v>1778</v>
      </c>
      <c r="D811" s="12" t="str">
        <f t="shared" si="25"/>
        <v>1810,'112257','AUTO 3° B'</v>
      </c>
      <c r="E811" s="12" t="str">
        <f t="shared" si="24"/>
        <v>INSERT INTO grupos (id,matricula,grupo) values (1810,'112257','AUTO 3° B');</v>
      </c>
    </row>
    <row r="812" spans="1:5" ht="43.5" x14ac:dyDescent="0.35">
      <c r="A812">
        <v>1811</v>
      </c>
      <c r="B812" t="s">
        <v>2665</v>
      </c>
      <c r="C812" t="s">
        <v>1839</v>
      </c>
      <c r="D812" s="12" t="str">
        <f t="shared" si="25"/>
        <v>1811,'112257','TC0302_4'</v>
      </c>
      <c r="E812" s="12" t="str">
        <f t="shared" si="24"/>
        <v>INSERT INTO grupos (id,matricula,grupo) values (1811,'112257','TC0302_4');</v>
      </c>
    </row>
    <row r="813" spans="1:5" ht="43.5" x14ac:dyDescent="0.35">
      <c r="A813">
        <v>1812</v>
      </c>
      <c r="B813" t="s">
        <v>2665</v>
      </c>
      <c r="C813" t="s">
        <v>1847</v>
      </c>
      <c r="D813" s="12" t="str">
        <f t="shared" si="25"/>
        <v>1812,'112257','TC0303_4'</v>
      </c>
      <c r="E813" s="12" t="str">
        <f t="shared" si="24"/>
        <v>INSERT INTO grupos (id,matricula,grupo) values (1812,'112257','TC0303_4');</v>
      </c>
    </row>
    <row r="814" spans="1:5" ht="43.5" x14ac:dyDescent="0.35">
      <c r="A814">
        <v>1813</v>
      </c>
      <c r="B814" t="s">
        <v>2666</v>
      </c>
      <c r="C814" t="s">
        <v>1774</v>
      </c>
      <c r="D814" s="12" t="str">
        <f t="shared" si="25"/>
        <v>1813,'112258','AUTO 3° A'</v>
      </c>
      <c r="E814" s="12" t="str">
        <f t="shared" si="24"/>
        <v>INSERT INTO grupos (id,matricula,grupo) values (1813,'112258','AUTO 3° A');</v>
      </c>
    </row>
    <row r="815" spans="1:5" ht="43.5" x14ac:dyDescent="0.35">
      <c r="A815">
        <v>1814</v>
      </c>
      <c r="B815" t="s">
        <v>2666</v>
      </c>
      <c r="C815" t="s">
        <v>1840</v>
      </c>
      <c r="D815" s="12" t="str">
        <f t="shared" si="25"/>
        <v>1814,'112258','TC0302_5'</v>
      </c>
      <c r="E815" s="12" t="str">
        <f t="shared" si="24"/>
        <v>INSERT INTO grupos (id,matricula,grupo) values (1814,'112258','TC0302_5');</v>
      </c>
    </row>
    <row r="816" spans="1:5" ht="43.5" x14ac:dyDescent="0.35">
      <c r="A816">
        <v>1815</v>
      </c>
      <c r="B816" t="s">
        <v>2667</v>
      </c>
      <c r="C816" t="s">
        <v>1779</v>
      </c>
      <c r="D816" s="12" t="str">
        <f t="shared" si="25"/>
        <v>1815,'112259','PSI 3°'</v>
      </c>
      <c r="E816" s="12" t="str">
        <f t="shared" si="24"/>
        <v>INSERT INTO grupos (id,matricula,grupo) values (1815,'112259','PSI 3°');</v>
      </c>
    </row>
    <row r="817" spans="1:5" ht="43.5" x14ac:dyDescent="0.35">
      <c r="A817">
        <v>1816</v>
      </c>
      <c r="B817" t="s">
        <v>2667</v>
      </c>
      <c r="C817" t="s">
        <v>1841</v>
      </c>
      <c r="D817" s="12" t="str">
        <f t="shared" si="25"/>
        <v>1816,'112259','TC0302_6'</v>
      </c>
      <c r="E817" s="12" t="str">
        <f t="shared" si="24"/>
        <v>INSERT INTO grupos (id,matricula,grupo) values (1816,'112259','TC0302_6');</v>
      </c>
    </row>
    <row r="818" spans="1:5" ht="43.5" x14ac:dyDescent="0.35">
      <c r="A818">
        <v>1817</v>
      </c>
      <c r="B818" t="s">
        <v>2667</v>
      </c>
      <c r="C818" t="s">
        <v>1849</v>
      </c>
      <c r="D818" s="12" t="str">
        <f t="shared" si="25"/>
        <v>1817,'112259','TC0303_6'</v>
      </c>
      <c r="E818" s="12" t="str">
        <f t="shared" si="24"/>
        <v>INSERT INTO grupos (id,matricula,grupo) values (1817,'112259','TC0303_6');</v>
      </c>
    </row>
    <row r="819" spans="1:5" ht="43.5" x14ac:dyDescent="0.35">
      <c r="A819">
        <v>1818</v>
      </c>
      <c r="B819" t="s">
        <v>2668</v>
      </c>
      <c r="C819" t="s">
        <v>1778</v>
      </c>
      <c r="D819" s="12" t="str">
        <f t="shared" si="25"/>
        <v>1818,'112261','AUTO 3° B'</v>
      </c>
      <c r="E819" s="12" t="str">
        <f t="shared" si="24"/>
        <v>INSERT INTO grupos (id,matricula,grupo) values (1818,'112261','AUTO 3° B');</v>
      </c>
    </row>
    <row r="820" spans="1:5" ht="43.5" x14ac:dyDescent="0.35">
      <c r="A820">
        <v>1819</v>
      </c>
      <c r="B820" t="s">
        <v>2668</v>
      </c>
      <c r="C820" t="s">
        <v>1839</v>
      </c>
      <c r="D820" s="12" t="str">
        <f t="shared" si="25"/>
        <v>1819,'112261','TC0302_4'</v>
      </c>
      <c r="E820" s="12" t="str">
        <f t="shared" si="24"/>
        <v>INSERT INTO grupos (id,matricula,grupo) values (1819,'112261','TC0302_4');</v>
      </c>
    </row>
    <row r="821" spans="1:5" ht="43.5" x14ac:dyDescent="0.35">
      <c r="A821">
        <v>1820</v>
      </c>
      <c r="B821" t="s">
        <v>2668</v>
      </c>
      <c r="C821" t="s">
        <v>1847</v>
      </c>
      <c r="D821" s="12" t="str">
        <f t="shared" si="25"/>
        <v>1820,'112261','TC0303_4'</v>
      </c>
      <c r="E821" s="12" t="str">
        <f t="shared" si="24"/>
        <v>INSERT INTO grupos (id,matricula,grupo) values (1820,'112261','TC0303_4');</v>
      </c>
    </row>
    <row r="822" spans="1:5" ht="43.5" x14ac:dyDescent="0.35">
      <c r="A822">
        <v>1821</v>
      </c>
      <c r="B822" t="s">
        <v>2669</v>
      </c>
      <c r="C822" t="s">
        <v>1759</v>
      </c>
      <c r="D822" s="12" t="str">
        <f t="shared" si="25"/>
        <v>1821,'112262','ARQ 3°'</v>
      </c>
      <c r="E822" s="12" t="str">
        <f t="shared" si="24"/>
        <v>INSERT INTO grupos (id,matricula,grupo) values (1821,'112262','ARQ 3°');</v>
      </c>
    </row>
    <row r="823" spans="1:5" ht="43.5" x14ac:dyDescent="0.35">
      <c r="A823">
        <v>1822</v>
      </c>
      <c r="B823" t="s">
        <v>2669</v>
      </c>
      <c r="C823" t="s">
        <v>1838</v>
      </c>
      <c r="D823" s="12" t="str">
        <f t="shared" si="25"/>
        <v>1822,'112262','TC0302_3'</v>
      </c>
      <c r="E823" s="12" t="str">
        <f t="shared" si="24"/>
        <v>INSERT INTO grupos (id,matricula,grupo) values (1822,'112262','TC0302_3');</v>
      </c>
    </row>
    <row r="824" spans="1:5" ht="43.5" x14ac:dyDescent="0.35">
      <c r="A824">
        <v>1823</v>
      </c>
      <c r="B824" t="s">
        <v>2669</v>
      </c>
      <c r="C824" t="s">
        <v>1846</v>
      </c>
      <c r="D824" s="12" t="str">
        <f t="shared" si="25"/>
        <v>1823,'112262','TC0303_3'</v>
      </c>
      <c r="E824" s="12" t="str">
        <f t="shared" si="24"/>
        <v>INSERT INTO grupos (id,matricula,grupo) values (1823,'112262','TC0303_3');</v>
      </c>
    </row>
    <row r="825" spans="1:5" ht="43.5" x14ac:dyDescent="0.35">
      <c r="A825">
        <v>1824</v>
      </c>
      <c r="B825" t="s">
        <v>2670</v>
      </c>
      <c r="C825" t="s">
        <v>1759</v>
      </c>
      <c r="D825" s="12" t="str">
        <f t="shared" si="25"/>
        <v>1824,'112264','ARQ 3°'</v>
      </c>
      <c r="E825" s="12" t="str">
        <f t="shared" si="24"/>
        <v>INSERT INTO grupos (id,matricula,grupo) values (1824,'112264','ARQ 3°');</v>
      </c>
    </row>
    <row r="826" spans="1:5" ht="43.5" x14ac:dyDescent="0.35">
      <c r="A826">
        <v>1825</v>
      </c>
      <c r="B826" t="s">
        <v>2670</v>
      </c>
      <c r="C826" t="s">
        <v>1838</v>
      </c>
      <c r="D826" s="12" t="str">
        <f t="shared" si="25"/>
        <v>1825,'112264','TC0302_3'</v>
      </c>
      <c r="E826" s="12" t="str">
        <f t="shared" si="24"/>
        <v>INSERT INTO grupos (id,matricula,grupo) values (1825,'112264','TC0302_3');</v>
      </c>
    </row>
    <row r="827" spans="1:5" ht="43.5" x14ac:dyDescent="0.35">
      <c r="A827">
        <v>1826</v>
      </c>
      <c r="B827" t="s">
        <v>2670</v>
      </c>
      <c r="C827" t="s">
        <v>1846</v>
      </c>
      <c r="D827" s="12" t="str">
        <f t="shared" si="25"/>
        <v>1826,'112264','TC0303_3'</v>
      </c>
      <c r="E827" s="12" t="str">
        <f t="shared" si="24"/>
        <v>INSERT INTO grupos (id,matricula,grupo) values (1826,'112264','TC0303_3');</v>
      </c>
    </row>
    <row r="828" spans="1:5" ht="43.5" x14ac:dyDescent="0.35">
      <c r="A828">
        <v>1827</v>
      </c>
      <c r="B828" t="s">
        <v>2671</v>
      </c>
      <c r="C828" t="s">
        <v>1776</v>
      </c>
      <c r="D828" s="12" t="str">
        <f t="shared" si="25"/>
        <v>1827,'112266','AERO 3°A'</v>
      </c>
      <c r="E828" s="12" t="str">
        <f t="shared" si="24"/>
        <v>INSERT INTO grupos (id,matricula,grupo) values (1827,'112266','AERO 3°A');</v>
      </c>
    </row>
    <row r="829" spans="1:5" ht="43.5" x14ac:dyDescent="0.35">
      <c r="A829">
        <v>1828</v>
      </c>
      <c r="B829" t="s">
        <v>2671</v>
      </c>
      <c r="C829" t="s">
        <v>1836</v>
      </c>
      <c r="D829" s="12" t="str">
        <f t="shared" si="25"/>
        <v>1828,'112266','TC0302_1'</v>
      </c>
      <c r="E829" s="12" t="str">
        <f t="shared" si="24"/>
        <v>INSERT INTO grupos (id,matricula,grupo) values (1828,'112266','TC0302_1');</v>
      </c>
    </row>
    <row r="830" spans="1:5" ht="43.5" x14ac:dyDescent="0.35">
      <c r="A830">
        <v>1829</v>
      </c>
      <c r="B830" t="s">
        <v>2671</v>
      </c>
      <c r="C830" t="s">
        <v>1844</v>
      </c>
      <c r="D830" s="12" t="str">
        <f t="shared" si="25"/>
        <v>1829,'112266','TC0303_1'</v>
      </c>
      <c r="E830" s="12" t="str">
        <f t="shared" si="24"/>
        <v>INSERT INTO grupos (id,matricula,grupo) values (1829,'112266','TC0303_1');</v>
      </c>
    </row>
    <row r="831" spans="1:5" ht="43.5" x14ac:dyDescent="0.35">
      <c r="A831">
        <v>1830</v>
      </c>
      <c r="B831" t="s">
        <v>2672</v>
      </c>
      <c r="C831" t="s">
        <v>1775</v>
      </c>
      <c r="D831" s="12" t="str">
        <f t="shared" si="25"/>
        <v>1830,'112268','AERO 3°B'</v>
      </c>
      <c r="E831" s="12" t="str">
        <f t="shared" si="24"/>
        <v>INSERT INTO grupos (id,matricula,grupo) values (1830,'112268','AERO 3°B');</v>
      </c>
    </row>
    <row r="832" spans="1:5" ht="43.5" x14ac:dyDescent="0.35">
      <c r="A832">
        <v>1831</v>
      </c>
      <c r="B832" t="s">
        <v>2672</v>
      </c>
      <c r="C832" t="s">
        <v>1836</v>
      </c>
      <c r="D832" s="12" t="str">
        <f t="shared" si="25"/>
        <v>1831,'112268','TC0302_1'</v>
      </c>
      <c r="E832" s="12" t="str">
        <f t="shared" si="24"/>
        <v>INSERT INTO grupos (id,matricula,grupo) values (1831,'112268','TC0302_1');</v>
      </c>
    </row>
    <row r="833" spans="1:5" ht="43.5" x14ac:dyDescent="0.35">
      <c r="A833">
        <v>1832</v>
      </c>
      <c r="B833" t="s">
        <v>2672</v>
      </c>
      <c r="C833" t="s">
        <v>1844</v>
      </c>
      <c r="D833" s="12" t="str">
        <f t="shared" si="25"/>
        <v>1832,'112268','TC0303_1'</v>
      </c>
      <c r="E833" s="12" t="str">
        <f t="shared" si="24"/>
        <v>INSERT INTO grupos (id,matricula,grupo) values (1832,'112268','TC0303_1');</v>
      </c>
    </row>
    <row r="834" spans="1:5" ht="43.5" x14ac:dyDescent="0.35">
      <c r="A834">
        <v>1833</v>
      </c>
      <c r="B834" t="s">
        <v>2673</v>
      </c>
      <c r="C834" t="s">
        <v>1777</v>
      </c>
      <c r="D834" s="12" t="str">
        <f t="shared" si="25"/>
        <v>1833,'112269','ANIM 3°'</v>
      </c>
      <c r="E834" s="12" t="str">
        <f t="shared" ref="E834:E897" si="26">CONCATENATE($D$1,D834,");")</f>
        <v>INSERT INTO grupos (id,matricula,grupo) values (1833,'112269','ANIM 3°');</v>
      </c>
    </row>
    <row r="835" spans="1:5" ht="43.5" x14ac:dyDescent="0.35">
      <c r="A835">
        <v>1834</v>
      </c>
      <c r="B835" t="s">
        <v>2673</v>
      </c>
      <c r="C835" t="s">
        <v>1840</v>
      </c>
      <c r="D835" s="12" t="str">
        <f t="shared" ref="D835:D898" si="27">CONCATENATE(A835,",'",TRIM(B835),"','",C835,"'")</f>
        <v>1834,'112269','TC0302_5'</v>
      </c>
      <c r="E835" s="12" t="str">
        <f t="shared" si="26"/>
        <v>INSERT INTO grupos (id,matricula,grupo) values (1834,'112269','TC0302_5');</v>
      </c>
    </row>
    <row r="836" spans="1:5" ht="43.5" x14ac:dyDescent="0.35">
      <c r="A836">
        <v>1835</v>
      </c>
      <c r="B836" t="s">
        <v>2674</v>
      </c>
      <c r="C836" t="s">
        <v>1779</v>
      </c>
      <c r="D836" s="12" t="str">
        <f t="shared" si="27"/>
        <v>1835,'112270','PSI 3°'</v>
      </c>
      <c r="E836" s="12" t="str">
        <f t="shared" si="26"/>
        <v>INSERT INTO grupos (id,matricula,grupo) values (1835,'112270','PSI 3°');</v>
      </c>
    </row>
    <row r="837" spans="1:5" ht="43.5" x14ac:dyDescent="0.35">
      <c r="A837">
        <v>1836</v>
      </c>
      <c r="B837" t="s">
        <v>2674</v>
      </c>
      <c r="C837" t="s">
        <v>1839</v>
      </c>
      <c r="D837" s="12" t="str">
        <f t="shared" si="27"/>
        <v>1836,'112270','TC0302_4'</v>
      </c>
      <c r="E837" s="12" t="str">
        <f t="shared" si="26"/>
        <v>INSERT INTO grupos (id,matricula,grupo) values (1836,'112270','TC0302_4');</v>
      </c>
    </row>
    <row r="838" spans="1:5" ht="43.5" x14ac:dyDescent="0.35">
      <c r="A838">
        <v>1837</v>
      </c>
      <c r="B838" t="s">
        <v>2674</v>
      </c>
      <c r="C838" t="s">
        <v>1847</v>
      </c>
      <c r="D838" s="12" t="str">
        <f t="shared" si="27"/>
        <v>1837,'112270','TC0303_4'</v>
      </c>
      <c r="E838" s="12" t="str">
        <f t="shared" si="26"/>
        <v>INSERT INTO grupos (id,matricula,grupo) values (1837,'112270','TC0303_4');</v>
      </c>
    </row>
    <row r="839" spans="1:5" ht="43.5" x14ac:dyDescent="0.35">
      <c r="A839">
        <v>1838</v>
      </c>
      <c r="B839" t="s">
        <v>2675</v>
      </c>
      <c r="C839" t="s">
        <v>1781</v>
      </c>
      <c r="D839" s="12" t="str">
        <f t="shared" si="27"/>
        <v>1838,'112271','ADMON 3°'</v>
      </c>
      <c r="E839" s="12" t="str">
        <f t="shared" si="26"/>
        <v>INSERT INTO grupos (id,matricula,grupo) values (1838,'112271','ADMON 3°');</v>
      </c>
    </row>
    <row r="840" spans="1:5" ht="43.5" x14ac:dyDescent="0.35">
      <c r="A840">
        <v>1839</v>
      </c>
      <c r="B840" t="s">
        <v>2675</v>
      </c>
      <c r="C840" t="s">
        <v>1836</v>
      </c>
      <c r="D840" s="12" t="str">
        <f t="shared" si="27"/>
        <v>1839,'112271','TC0302_1'</v>
      </c>
      <c r="E840" s="12" t="str">
        <f t="shared" si="26"/>
        <v>INSERT INTO grupos (id,matricula,grupo) values (1839,'112271','TC0302_1');</v>
      </c>
    </row>
    <row r="841" spans="1:5" ht="43.5" x14ac:dyDescent="0.35">
      <c r="A841">
        <v>1840</v>
      </c>
      <c r="B841" t="s">
        <v>2675</v>
      </c>
      <c r="C841" t="s">
        <v>1844</v>
      </c>
      <c r="D841" s="12" t="str">
        <f t="shared" si="27"/>
        <v>1840,'112271','TC0303_1'</v>
      </c>
      <c r="E841" s="12" t="str">
        <f t="shared" si="26"/>
        <v>INSERT INTO grupos (id,matricula,grupo) values (1840,'112271','TC0303_1');</v>
      </c>
    </row>
    <row r="842" spans="1:5" ht="43.5" x14ac:dyDescent="0.35">
      <c r="A842">
        <v>1841</v>
      </c>
      <c r="B842" t="s">
        <v>2676</v>
      </c>
      <c r="C842" t="s">
        <v>1774</v>
      </c>
      <c r="D842" s="12" t="str">
        <f t="shared" si="27"/>
        <v>1841,'112272','AUTO 3° A'</v>
      </c>
      <c r="E842" s="12" t="str">
        <f t="shared" si="26"/>
        <v>INSERT INTO grupos (id,matricula,grupo) values (1841,'112272','AUTO 3° A');</v>
      </c>
    </row>
    <row r="843" spans="1:5" ht="43.5" x14ac:dyDescent="0.35">
      <c r="A843">
        <v>1842</v>
      </c>
      <c r="B843" t="s">
        <v>2676</v>
      </c>
      <c r="C843" t="s">
        <v>1841</v>
      </c>
      <c r="D843" s="12" t="str">
        <f t="shared" si="27"/>
        <v>1842,'112272','TC0302_6'</v>
      </c>
      <c r="E843" s="12" t="str">
        <f t="shared" si="26"/>
        <v>INSERT INTO grupos (id,matricula,grupo) values (1842,'112272','TC0302_6');</v>
      </c>
    </row>
    <row r="844" spans="1:5" ht="43.5" x14ac:dyDescent="0.35">
      <c r="A844">
        <v>1843</v>
      </c>
      <c r="B844" t="s">
        <v>2676</v>
      </c>
      <c r="C844" t="s">
        <v>1849</v>
      </c>
      <c r="D844" s="12" t="str">
        <f t="shared" si="27"/>
        <v>1843,'112272','TC0303_6'</v>
      </c>
      <c r="E844" s="12" t="str">
        <f t="shared" si="26"/>
        <v>INSERT INTO grupos (id,matricula,grupo) values (1843,'112272','TC0303_6');</v>
      </c>
    </row>
    <row r="845" spans="1:5" ht="43.5" x14ac:dyDescent="0.35">
      <c r="A845">
        <v>1844</v>
      </c>
      <c r="B845" t="s">
        <v>2677</v>
      </c>
      <c r="C845" t="s">
        <v>1779</v>
      </c>
      <c r="D845" s="12" t="str">
        <f t="shared" si="27"/>
        <v>1844,'112275','PSI 3°'</v>
      </c>
      <c r="E845" s="12" t="str">
        <f t="shared" si="26"/>
        <v>INSERT INTO grupos (id,matricula,grupo) values (1844,'112275','PSI 3°');</v>
      </c>
    </row>
    <row r="846" spans="1:5" ht="43.5" x14ac:dyDescent="0.35">
      <c r="A846">
        <v>1845</v>
      </c>
      <c r="B846" t="s">
        <v>2677</v>
      </c>
      <c r="C846" t="s">
        <v>1839</v>
      </c>
      <c r="D846" s="12" t="str">
        <f t="shared" si="27"/>
        <v>1845,'112275','TC0302_4'</v>
      </c>
      <c r="E846" s="12" t="str">
        <f t="shared" si="26"/>
        <v>INSERT INTO grupos (id,matricula,grupo) values (1845,'112275','TC0302_4');</v>
      </c>
    </row>
    <row r="847" spans="1:5" ht="43.5" x14ac:dyDescent="0.35">
      <c r="A847">
        <v>1846</v>
      </c>
      <c r="B847" t="s">
        <v>2677</v>
      </c>
      <c r="C847" t="s">
        <v>1847</v>
      </c>
      <c r="D847" s="12" t="str">
        <f t="shared" si="27"/>
        <v>1846,'112275','TC0303_4'</v>
      </c>
      <c r="E847" s="12" t="str">
        <f t="shared" si="26"/>
        <v>INSERT INTO grupos (id,matricula,grupo) values (1846,'112275','TC0303_4');</v>
      </c>
    </row>
    <row r="848" spans="1:5" ht="43.5" x14ac:dyDescent="0.35">
      <c r="A848">
        <v>1847</v>
      </c>
      <c r="B848" t="s">
        <v>2678</v>
      </c>
      <c r="C848" t="s">
        <v>1776</v>
      </c>
      <c r="D848" s="12" t="str">
        <f t="shared" si="27"/>
        <v>1847,'112277','AERO 3°A'</v>
      </c>
      <c r="E848" s="12" t="str">
        <f t="shared" si="26"/>
        <v>INSERT INTO grupos (id,matricula,grupo) values (1847,'112277','AERO 3°A');</v>
      </c>
    </row>
    <row r="849" spans="1:5" ht="43.5" x14ac:dyDescent="0.35">
      <c r="A849">
        <v>1848</v>
      </c>
      <c r="B849" t="s">
        <v>2678</v>
      </c>
      <c r="C849" t="s">
        <v>1836</v>
      </c>
      <c r="D849" s="12" t="str">
        <f t="shared" si="27"/>
        <v>1848,'112277','TC0302_1'</v>
      </c>
      <c r="E849" s="12" t="str">
        <f t="shared" si="26"/>
        <v>INSERT INTO grupos (id,matricula,grupo) values (1848,'112277','TC0302_1');</v>
      </c>
    </row>
    <row r="850" spans="1:5" ht="43.5" x14ac:dyDescent="0.35">
      <c r="A850">
        <v>1849</v>
      </c>
      <c r="B850" t="s">
        <v>2678</v>
      </c>
      <c r="C850" t="s">
        <v>1844</v>
      </c>
      <c r="D850" s="12" t="str">
        <f t="shared" si="27"/>
        <v>1849,'112277','TC0303_1'</v>
      </c>
      <c r="E850" s="12" t="str">
        <f t="shared" si="26"/>
        <v>INSERT INTO grupos (id,matricula,grupo) values (1849,'112277','TC0303_1');</v>
      </c>
    </row>
    <row r="851" spans="1:5" ht="43.5" x14ac:dyDescent="0.35">
      <c r="A851">
        <v>1850</v>
      </c>
      <c r="B851" t="s">
        <v>2679</v>
      </c>
      <c r="C851" t="s">
        <v>1774</v>
      </c>
      <c r="D851" s="12" t="str">
        <f t="shared" si="27"/>
        <v>1850,'112278','AUTO 3° A'</v>
      </c>
      <c r="E851" s="12" t="str">
        <f t="shared" si="26"/>
        <v>INSERT INTO grupos (id,matricula,grupo) values (1850,'112278','AUTO 3° A');</v>
      </c>
    </row>
    <row r="852" spans="1:5" ht="43.5" x14ac:dyDescent="0.35">
      <c r="A852">
        <v>1851</v>
      </c>
      <c r="B852" t="s">
        <v>2679</v>
      </c>
      <c r="C852" t="s">
        <v>1841</v>
      </c>
      <c r="D852" s="12" t="str">
        <f t="shared" si="27"/>
        <v>1851,'112278','TC0302_6'</v>
      </c>
      <c r="E852" s="12" t="str">
        <f t="shared" si="26"/>
        <v>INSERT INTO grupos (id,matricula,grupo) values (1851,'112278','TC0302_6');</v>
      </c>
    </row>
    <row r="853" spans="1:5" ht="43.5" x14ac:dyDescent="0.35">
      <c r="A853">
        <v>1852</v>
      </c>
      <c r="B853" t="s">
        <v>2679</v>
      </c>
      <c r="C853" t="s">
        <v>1849</v>
      </c>
      <c r="D853" s="12" t="str">
        <f t="shared" si="27"/>
        <v>1852,'112278','TC0303_6'</v>
      </c>
      <c r="E853" s="12" t="str">
        <f t="shared" si="26"/>
        <v>INSERT INTO grupos (id,matricula,grupo) values (1852,'112278','TC0303_6');</v>
      </c>
    </row>
    <row r="854" spans="1:5" ht="43.5" x14ac:dyDescent="0.35">
      <c r="A854">
        <v>1853</v>
      </c>
      <c r="B854" t="s">
        <v>2680</v>
      </c>
      <c r="C854" t="s">
        <v>1775</v>
      </c>
      <c r="D854" s="12" t="str">
        <f t="shared" si="27"/>
        <v>1853,'112280','AERO 3°B'</v>
      </c>
      <c r="E854" s="12" t="str">
        <f t="shared" si="26"/>
        <v>INSERT INTO grupos (id,matricula,grupo) values (1853,'112280','AERO 3°B');</v>
      </c>
    </row>
    <row r="855" spans="1:5" ht="43.5" x14ac:dyDescent="0.35">
      <c r="A855">
        <v>1854</v>
      </c>
      <c r="B855" t="s">
        <v>2680</v>
      </c>
      <c r="C855" t="s">
        <v>1838</v>
      </c>
      <c r="D855" s="12" t="str">
        <f t="shared" si="27"/>
        <v>1854,'112280','TC0302_3'</v>
      </c>
      <c r="E855" s="12" t="str">
        <f t="shared" si="26"/>
        <v>INSERT INTO grupos (id,matricula,grupo) values (1854,'112280','TC0302_3');</v>
      </c>
    </row>
    <row r="856" spans="1:5" ht="43.5" x14ac:dyDescent="0.35">
      <c r="A856">
        <v>1855</v>
      </c>
      <c r="B856" t="s">
        <v>2680</v>
      </c>
      <c r="C856" t="s">
        <v>1846</v>
      </c>
      <c r="D856" s="12" t="str">
        <f t="shared" si="27"/>
        <v>1855,'112280','TC0303_3'</v>
      </c>
      <c r="E856" s="12" t="str">
        <f t="shared" si="26"/>
        <v>INSERT INTO grupos (id,matricula,grupo) values (1855,'112280','TC0303_3');</v>
      </c>
    </row>
    <row r="857" spans="1:5" ht="43.5" x14ac:dyDescent="0.35">
      <c r="A857">
        <v>1856</v>
      </c>
      <c r="B857" t="s">
        <v>2681</v>
      </c>
      <c r="C857" t="s">
        <v>1759</v>
      </c>
      <c r="D857" s="12" t="str">
        <f t="shared" si="27"/>
        <v>1856,'112282','ARQ 3°'</v>
      </c>
      <c r="E857" s="12" t="str">
        <f t="shared" si="26"/>
        <v>INSERT INTO grupos (id,matricula,grupo) values (1856,'112282','ARQ 3°');</v>
      </c>
    </row>
    <row r="858" spans="1:5" ht="43.5" x14ac:dyDescent="0.35">
      <c r="A858">
        <v>1857</v>
      </c>
      <c r="B858" t="s">
        <v>2681</v>
      </c>
      <c r="C858" t="s">
        <v>1836</v>
      </c>
      <c r="D858" s="12" t="str">
        <f t="shared" si="27"/>
        <v>1857,'112282','TC0302_1'</v>
      </c>
      <c r="E858" s="12" t="str">
        <f t="shared" si="26"/>
        <v>INSERT INTO grupos (id,matricula,grupo) values (1857,'112282','TC0302_1');</v>
      </c>
    </row>
    <row r="859" spans="1:5" ht="43.5" x14ac:dyDescent="0.35">
      <c r="A859">
        <v>1858</v>
      </c>
      <c r="B859" t="s">
        <v>2681</v>
      </c>
      <c r="C859" t="s">
        <v>1844</v>
      </c>
      <c r="D859" s="12" t="str">
        <f t="shared" si="27"/>
        <v>1858,'112282','TC0303_1'</v>
      </c>
      <c r="E859" s="12" t="str">
        <f t="shared" si="26"/>
        <v>INSERT INTO grupos (id,matricula,grupo) values (1858,'112282','TC0303_1');</v>
      </c>
    </row>
    <row r="860" spans="1:5" ht="43.5" x14ac:dyDescent="0.35">
      <c r="A860">
        <v>1859</v>
      </c>
      <c r="B860" t="s">
        <v>2682</v>
      </c>
      <c r="C860" t="s">
        <v>1781</v>
      </c>
      <c r="D860" s="12" t="str">
        <f t="shared" si="27"/>
        <v>1859,'112283','ADMON 3°'</v>
      </c>
      <c r="E860" s="12" t="str">
        <f t="shared" si="26"/>
        <v>INSERT INTO grupos (id,matricula,grupo) values (1859,'112283','ADMON 3°');</v>
      </c>
    </row>
    <row r="861" spans="1:5" ht="43.5" x14ac:dyDescent="0.35">
      <c r="A861">
        <v>1860</v>
      </c>
      <c r="B861" t="s">
        <v>2682</v>
      </c>
      <c r="C861" t="s">
        <v>1836</v>
      </c>
      <c r="D861" s="12" t="str">
        <f t="shared" si="27"/>
        <v>1860,'112283','TC0302_1'</v>
      </c>
      <c r="E861" s="12" t="str">
        <f t="shared" si="26"/>
        <v>INSERT INTO grupos (id,matricula,grupo) values (1860,'112283','TC0302_1');</v>
      </c>
    </row>
    <row r="862" spans="1:5" ht="43.5" x14ac:dyDescent="0.35">
      <c r="A862">
        <v>1861</v>
      </c>
      <c r="B862" t="s">
        <v>2682</v>
      </c>
      <c r="C862" t="s">
        <v>1844</v>
      </c>
      <c r="D862" s="12" t="str">
        <f t="shared" si="27"/>
        <v>1861,'112283','TC0303_1'</v>
      </c>
      <c r="E862" s="12" t="str">
        <f t="shared" si="26"/>
        <v>INSERT INTO grupos (id,matricula,grupo) values (1861,'112283','TC0303_1');</v>
      </c>
    </row>
    <row r="863" spans="1:5" ht="43.5" x14ac:dyDescent="0.35">
      <c r="A863">
        <v>1862</v>
      </c>
      <c r="B863" t="s">
        <v>2683</v>
      </c>
      <c r="C863" t="s">
        <v>1774</v>
      </c>
      <c r="D863" s="12" t="str">
        <f t="shared" si="27"/>
        <v>1862,'112286','AUTO 3° A'</v>
      </c>
      <c r="E863" s="12" t="str">
        <f t="shared" si="26"/>
        <v>INSERT INTO grupos (id,matricula,grupo) values (1862,'112286','AUTO 3° A');</v>
      </c>
    </row>
    <row r="864" spans="1:5" ht="43.5" x14ac:dyDescent="0.35">
      <c r="A864">
        <v>1863</v>
      </c>
      <c r="B864" t="s">
        <v>2683</v>
      </c>
      <c r="C864" t="s">
        <v>1840</v>
      </c>
      <c r="D864" s="12" t="str">
        <f t="shared" si="27"/>
        <v>1863,'112286','TC0302_5'</v>
      </c>
      <c r="E864" s="12" t="str">
        <f t="shared" si="26"/>
        <v>INSERT INTO grupos (id,matricula,grupo) values (1863,'112286','TC0302_5');</v>
      </c>
    </row>
    <row r="865" spans="1:5" ht="43.5" x14ac:dyDescent="0.35">
      <c r="A865">
        <v>1864</v>
      </c>
      <c r="B865" t="s">
        <v>2684</v>
      </c>
      <c r="C865" t="s">
        <v>1778</v>
      </c>
      <c r="D865" s="12" t="str">
        <f t="shared" si="27"/>
        <v>1864,'112292','AUTO 3° B'</v>
      </c>
      <c r="E865" s="12" t="str">
        <f t="shared" si="26"/>
        <v>INSERT INTO grupos (id,matricula,grupo) values (1864,'112292','AUTO 3° B');</v>
      </c>
    </row>
    <row r="866" spans="1:5" ht="43.5" x14ac:dyDescent="0.35">
      <c r="A866">
        <v>1865</v>
      </c>
      <c r="B866" t="s">
        <v>2684</v>
      </c>
      <c r="C866" t="s">
        <v>1841</v>
      </c>
      <c r="D866" s="12" t="str">
        <f t="shared" si="27"/>
        <v>1865,'112292','TC0302_6'</v>
      </c>
      <c r="E866" s="12" t="str">
        <f t="shared" si="26"/>
        <v>INSERT INTO grupos (id,matricula,grupo) values (1865,'112292','TC0302_6');</v>
      </c>
    </row>
    <row r="867" spans="1:5" ht="43.5" x14ac:dyDescent="0.35">
      <c r="A867">
        <v>1866</v>
      </c>
      <c r="B867" t="s">
        <v>2684</v>
      </c>
      <c r="C867" t="s">
        <v>1849</v>
      </c>
      <c r="D867" s="12" t="str">
        <f t="shared" si="27"/>
        <v>1866,'112292','TC0303_6'</v>
      </c>
      <c r="E867" s="12" t="str">
        <f t="shared" si="26"/>
        <v>INSERT INTO grupos (id,matricula,grupo) values (1866,'112292','TC0303_6');</v>
      </c>
    </row>
    <row r="868" spans="1:5" ht="43.5" x14ac:dyDescent="0.35">
      <c r="A868">
        <v>1867</v>
      </c>
      <c r="B868" t="s">
        <v>2685</v>
      </c>
      <c r="C868" t="s">
        <v>1781</v>
      </c>
      <c r="D868" s="12" t="str">
        <f t="shared" si="27"/>
        <v>1867,'112293','ADMON 3°'</v>
      </c>
      <c r="E868" s="12" t="str">
        <f t="shared" si="26"/>
        <v>INSERT INTO grupos (id,matricula,grupo) values (1867,'112293','ADMON 3°');</v>
      </c>
    </row>
    <row r="869" spans="1:5" ht="43.5" x14ac:dyDescent="0.35">
      <c r="A869">
        <v>1868</v>
      </c>
      <c r="B869" t="s">
        <v>2685</v>
      </c>
      <c r="C869" t="s">
        <v>1836</v>
      </c>
      <c r="D869" s="12" t="str">
        <f t="shared" si="27"/>
        <v>1868,'112293','TC0302_1'</v>
      </c>
      <c r="E869" s="12" t="str">
        <f t="shared" si="26"/>
        <v>INSERT INTO grupos (id,matricula,grupo) values (1868,'112293','TC0302_1');</v>
      </c>
    </row>
    <row r="870" spans="1:5" ht="43.5" x14ac:dyDescent="0.35">
      <c r="A870">
        <v>1869</v>
      </c>
      <c r="B870" t="s">
        <v>2685</v>
      </c>
      <c r="C870" t="s">
        <v>1844</v>
      </c>
      <c r="D870" s="12" t="str">
        <f t="shared" si="27"/>
        <v>1869,'112293','TC0303_1'</v>
      </c>
      <c r="E870" s="12" t="str">
        <f t="shared" si="26"/>
        <v>INSERT INTO grupos (id,matricula,grupo) values (1869,'112293','TC0303_1');</v>
      </c>
    </row>
    <row r="871" spans="1:5" ht="43.5" x14ac:dyDescent="0.35">
      <c r="A871">
        <v>1870</v>
      </c>
      <c r="B871" t="s">
        <v>2686</v>
      </c>
      <c r="C871" t="s">
        <v>1775</v>
      </c>
      <c r="D871" s="12" t="str">
        <f t="shared" si="27"/>
        <v>1870,'112296','AERO 3°B'</v>
      </c>
      <c r="E871" s="12" t="str">
        <f t="shared" si="26"/>
        <v>INSERT INTO grupos (id,matricula,grupo) values (1870,'112296','AERO 3°B');</v>
      </c>
    </row>
    <row r="872" spans="1:5" ht="43.5" x14ac:dyDescent="0.35">
      <c r="A872">
        <v>1871</v>
      </c>
      <c r="B872" t="s">
        <v>2686</v>
      </c>
      <c r="C872" t="s">
        <v>1836</v>
      </c>
      <c r="D872" s="12" t="str">
        <f t="shared" si="27"/>
        <v>1871,'112296','TC0302_1'</v>
      </c>
      <c r="E872" s="12" t="str">
        <f t="shared" si="26"/>
        <v>INSERT INTO grupos (id,matricula,grupo) values (1871,'112296','TC0302_1');</v>
      </c>
    </row>
    <row r="873" spans="1:5" ht="43.5" x14ac:dyDescent="0.35">
      <c r="A873">
        <v>1872</v>
      </c>
      <c r="B873" t="s">
        <v>2686</v>
      </c>
      <c r="C873" t="s">
        <v>1844</v>
      </c>
      <c r="D873" s="12" t="str">
        <f t="shared" si="27"/>
        <v>1872,'112296','TC0303_1'</v>
      </c>
      <c r="E873" s="12" t="str">
        <f t="shared" si="26"/>
        <v>INSERT INTO grupos (id,matricula,grupo) values (1872,'112296','TC0303_1');</v>
      </c>
    </row>
    <row r="874" spans="1:5" ht="43.5" x14ac:dyDescent="0.35">
      <c r="A874">
        <v>1873</v>
      </c>
      <c r="B874" t="s">
        <v>2687</v>
      </c>
      <c r="C874" t="s">
        <v>1777</v>
      </c>
      <c r="D874" s="12" t="str">
        <f t="shared" si="27"/>
        <v>1873,'112298','ANIM 3°'</v>
      </c>
      <c r="E874" s="12" t="str">
        <f t="shared" si="26"/>
        <v>INSERT INTO grupos (id,matricula,grupo) values (1873,'112298','ANIM 3°');</v>
      </c>
    </row>
    <row r="875" spans="1:5" ht="43.5" x14ac:dyDescent="0.35">
      <c r="A875">
        <v>1874</v>
      </c>
      <c r="B875" t="s">
        <v>2687</v>
      </c>
      <c r="C875" t="s">
        <v>1840</v>
      </c>
      <c r="D875" s="12" t="str">
        <f t="shared" si="27"/>
        <v>1874,'112298','TC0302_5'</v>
      </c>
      <c r="E875" s="12" t="str">
        <f t="shared" si="26"/>
        <v>INSERT INTO grupos (id,matricula,grupo) values (1874,'112298','TC0302_5');</v>
      </c>
    </row>
    <row r="876" spans="1:5" ht="43.5" x14ac:dyDescent="0.35">
      <c r="A876">
        <v>1875</v>
      </c>
      <c r="B876" t="s">
        <v>2688</v>
      </c>
      <c r="C876" t="s">
        <v>1776</v>
      </c>
      <c r="D876" s="12" t="str">
        <f t="shared" si="27"/>
        <v>1875,'112299','AERO 3°A'</v>
      </c>
      <c r="E876" s="12" t="str">
        <f t="shared" si="26"/>
        <v>INSERT INTO grupos (id,matricula,grupo) values (1875,'112299','AERO 3°A');</v>
      </c>
    </row>
    <row r="877" spans="1:5" ht="43.5" x14ac:dyDescent="0.35">
      <c r="A877">
        <v>1876</v>
      </c>
      <c r="B877" t="s">
        <v>2688</v>
      </c>
      <c r="C877" t="s">
        <v>1838</v>
      </c>
      <c r="D877" s="12" t="str">
        <f t="shared" si="27"/>
        <v>1876,'112299','TC0302_3'</v>
      </c>
      <c r="E877" s="12" t="str">
        <f t="shared" si="26"/>
        <v>INSERT INTO grupos (id,matricula,grupo) values (1876,'112299','TC0302_3');</v>
      </c>
    </row>
    <row r="878" spans="1:5" ht="43.5" x14ac:dyDescent="0.35">
      <c r="A878">
        <v>1877</v>
      </c>
      <c r="B878" t="s">
        <v>2688</v>
      </c>
      <c r="C878" t="s">
        <v>1846</v>
      </c>
      <c r="D878" s="12" t="str">
        <f t="shared" si="27"/>
        <v>1877,'112299','TC0303_3'</v>
      </c>
      <c r="E878" s="12" t="str">
        <f t="shared" si="26"/>
        <v>INSERT INTO grupos (id,matricula,grupo) values (1877,'112299','TC0303_3');</v>
      </c>
    </row>
    <row r="879" spans="1:5" ht="43.5" x14ac:dyDescent="0.35">
      <c r="A879">
        <v>1878</v>
      </c>
      <c r="B879" t="s">
        <v>2689</v>
      </c>
      <c r="C879" t="s">
        <v>1775</v>
      </c>
      <c r="D879" s="12" t="str">
        <f t="shared" si="27"/>
        <v>1878,'112300','AERO 3°B'</v>
      </c>
      <c r="E879" s="12" t="str">
        <f t="shared" si="26"/>
        <v>INSERT INTO grupos (id,matricula,grupo) values (1878,'112300','AERO 3°B');</v>
      </c>
    </row>
    <row r="880" spans="1:5" ht="43.5" x14ac:dyDescent="0.35">
      <c r="A880">
        <v>1879</v>
      </c>
      <c r="B880" t="s">
        <v>2689</v>
      </c>
      <c r="C880" t="s">
        <v>1837</v>
      </c>
      <c r="D880" s="12" t="str">
        <f t="shared" si="27"/>
        <v>1879,'112300','TC0302_2'</v>
      </c>
      <c r="E880" s="12" t="str">
        <f t="shared" si="26"/>
        <v>INSERT INTO grupos (id,matricula,grupo) values (1879,'112300','TC0302_2');</v>
      </c>
    </row>
    <row r="881" spans="1:5" ht="43.5" x14ac:dyDescent="0.35">
      <c r="A881">
        <v>1880</v>
      </c>
      <c r="B881" t="s">
        <v>2690</v>
      </c>
      <c r="C881" t="s">
        <v>1779</v>
      </c>
      <c r="D881" s="12" t="str">
        <f t="shared" si="27"/>
        <v>1880,'112301','PSI 3°'</v>
      </c>
      <c r="E881" s="12" t="str">
        <f t="shared" si="26"/>
        <v>INSERT INTO grupos (id,matricula,grupo) values (1880,'112301','PSI 3°');</v>
      </c>
    </row>
    <row r="882" spans="1:5" ht="43.5" x14ac:dyDescent="0.35">
      <c r="A882">
        <v>1881</v>
      </c>
      <c r="B882" t="s">
        <v>2690</v>
      </c>
      <c r="C882" t="s">
        <v>1840</v>
      </c>
      <c r="D882" s="12" t="str">
        <f t="shared" si="27"/>
        <v>1881,'112301','TC0302_5'</v>
      </c>
      <c r="E882" s="12" t="str">
        <f t="shared" si="26"/>
        <v>INSERT INTO grupos (id,matricula,grupo) values (1881,'112301','TC0302_5');</v>
      </c>
    </row>
    <row r="883" spans="1:5" ht="43.5" x14ac:dyDescent="0.35">
      <c r="A883">
        <v>1882</v>
      </c>
      <c r="B883" t="s">
        <v>2691</v>
      </c>
      <c r="C883" t="s">
        <v>1776</v>
      </c>
      <c r="D883" s="12" t="str">
        <f t="shared" si="27"/>
        <v>1882,'112302','AERO 3°A'</v>
      </c>
      <c r="E883" s="12" t="str">
        <f t="shared" si="26"/>
        <v>INSERT INTO grupos (id,matricula,grupo) values (1882,'112302','AERO 3°A');</v>
      </c>
    </row>
    <row r="884" spans="1:5" ht="43.5" x14ac:dyDescent="0.35">
      <c r="A884">
        <v>1883</v>
      </c>
      <c r="B884" t="s">
        <v>2691</v>
      </c>
      <c r="C884" t="s">
        <v>1837</v>
      </c>
      <c r="D884" s="12" t="str">
        <f t="shared" si="27"/>
        <v>1883,'112302','TC0302_2'</v>
      </c>
      <c r="E884" s="12" t="str">
        <f t="shared" si="26"/>
        <v>INSERT INTO grupos (id,matricula,grupo) values (1883,'112302','TC0302_2');</v>
      </c>
    </row>
    <row r="885" spans="1:5" ht="43.5" x14ac:dyDescent="0.35">
      <c r="A885">
        <v>1884</v>
      </c>
      <c r="B885" t="s">
        <v>2692</v>
      </c>
      <c r="C885" t="s">
        <v>1775</v>
      </c>
      <c r="D885" s="12" t="str">
        <f t="shared" si="27"/>
        <v>1884,'112306','AERO 3°B'</v>
      </c>
      <c r="E885" s="12" t="str">
        <f t="shared" si="26"/>
        <v>INSERT INTO grupos (id,matricula,grupo) values (1884,'112306','AERO 3°B');</v>
      </c>
    </row>
    <row r="886" spans="1:5" ht="43.5" x14ac:dyDescent="0.35">
      <c r="A886">
        <v>1885</v>
      </c>
      <c r="B886" t="s">
        <v>2692</v>
      </c>
      <c r="C886" t="s">
        <v>1837</v>
      </c>
      <c r="D886" s="12" t="str">
        <f t="shared" si="27"/>
        <v>1885,'112306','TC0302_2'</v>
      </c>
      <c r="E886" s="12" t="str">
        <f t="shared" si="26"/>
        <v>INSERT INTO grupos (id,matricula,grupo) values (1885,'112306','TC0302_2');</v>
      </c>
    </row>
    <row r="887" spans="1:5" ht="43.5" x14ac:dyDescent="0.35">
      <c r="A887">
        <v>1886</v>
      </c>
      <c r="B887" t="s">
        <v>2693</v>
      </c>
      <c r="C887" t="s">
        <v>1777</v>
      </c>
      <c r="D887" s="12" t="str">
        <f t="shared" si="27"/>
        <v>1886,'112307','ANIM 3°'</v>
      </c>
      <c r="E887" s="12" t="str">
        <f t="shared" si="26"/>
        <v>INSERT INTO grupos (id,matricula,grupo) values (1886,'112307','ANIM 3°');</v>
      </c>
    </row>
    <row r="888" spans="1:5" ht="43.5" x14ac:dyDescent="0.35">
      <c r="A888">
        <v>1887</v>
      </c>
      <c r="B888" t="s">
        <v>2693</v>
      </c>
      <c r="C888" t="s">
        <v>1841</v>
      </c>
      <c r="D888" s="12" t="str">
        <f t="shared" si="27"/>
        <v>1887,'112307','TC0302_6'</v>
      </c>
      <c r="E888" s="12" t="str">
        <f t="shared" si="26"/>
        <v>INSERT INTO grupos (id,matricula,grupo) values (1887,'112307','TC0302_6');</v>
      </c>
    </row>
    <row r="889" spans="1:5" ht="43.5" x14ac:dyDescent="0.35">
      <c r="A889">
        <v>1888</v>
      </c>
      <c r="B889" t="s">
        <v>2693</v>
      </c>
      <c r="C889" t="s">
        <v>1849</v>
      </c>
      <c r="D889" s="12" t="str">
        <f t="shared" si="27"/>
        <v>1888,'112307','TC0303_6'</v>
      </c>
      <c r="E889" s="12" t="str">
        <f t="shared" si="26"/>
        <v>INSERT INTO grupos (id,matricula,grupo) values (1888,'112307','TC0303_6');</v>
      </c>
    </row>
    <row r="890" spans="1:5" ht="43.5" x14ac:dyDescent="0.35">
      <c r="A890">
        <v>1889</v>
      </c>
      <c r="B890" t="s">
        <v>2694</v>
      </c>
      <c r="C890" t="s">
        <v>1779</v>
      </c>
      <c r="D890" s="12" t="str">
        <f t="shared" si="27"/>
        <v>1889,'112308','PSI 3°'</v>
      </c>
      <c r="E890" s="12" t="str">
        <f t="shared" si="26"/>
        <v>INSERT INTO grupos (id,matricula,grupo) values (1889,'112308','PSI 3°');</v>
      </c>
    </row>
    <row r="891" spans="1:5" ht="43.5" x14ac:dyDescent="0.35">
      <c r="A891">
        <v>1890</v>
      </c>
      <c r="B891" t="s">
        <v>2694</v>
      </c>
      <c r="C891" t="s">
        <v>1839</v>
      </c>
      <c r="D891" s="12" t="str">
        <f t="shared" si="27"/>
        <v>1890,'112308','TC0302_4'</v>
      </c>
      <c r="E891" s="12" t="str">
        <f t="shared" si="26"/>
        <v>INSERT INTO grupos (id,matricula,grupo) values (1890,'112308','TC0302_4');</v>
      </c>
    </row>
    <row r="892" spans="1:5" ht="43.5" x14ac:dyDescent="0.35">
      <c r="A892">
        <v>1891</v>
      </c>
      <c r="B892" t="s">
        <v>2694</v>
      </c>
      <c r="C892" t="s">
        <v>1847</v>
      </c>
      <c r="D892" s="12" t="str">
        <f t="shared" si="27"/>
        <v>1891,'112308','TC0303_4'</v>
      </c>
      <c r="E892" s="12" t="str">
        <f t="shared" si="26"/>
        <v>INSERT INTO grupos (id,matricula,grupo) values (1891,'112308','TC0303_4');</v>
      </c>
    </row>
    <row r="893" spans="1:5" ht="43.5" x14ac:dyDescent="0.35">
      <c r="A893">
        <v>1892</v>
      </c>
      <c r="B893" t="s">
        <v>2695</v>
      </c>
      <c r="C893" t="s">
        <v>1759</v>
      </c>
      <c r="D893" s="12" t="str">
        <f t="shared" si="27"/>
        <v>1892,'112309','ARQ 3°'</v>
      </c>
      <c r="E893" s="12" t="str">
        <f t="shared" si="26"/>
        <v>INSERT INTO grupos (id,matricula,grupo) values (1892,'112309','ARQ 3°');</v>
      </c>
    </row>
    <row r="894" spans="1:5" ht="43.5" x14ac:dyDescent="0.35">
      <c r="A894">
        <v>1893</v>
      </c>
      <c r="B894" t="s">
        <v>2695</v>
      </c>
      <c r="C894" t="s">
        <v>1836</v>
      </c>
      <c r="D894" s="12" t="str">
        <f t="shared" si="27"/>
        <v>1893,'112309','TC0302_1'</v>
      </c>
      <c r="E894" s="12" t="str">
        <f t="shared" si="26"/>
        <v>INSERT INTO grupos (id,matricula,grupo) values (1893,'112309','TC0302_1');</v>
      </c>
    </row>
    <row r="895" spans="1:5" ht="43.5" x14ac:dyDescent="0.35">
      <c r="A895">
        <v>1894</v>
      </c>
      <c r="B895" t="s">
        <v>2695</v>
      </c>
      <c r="C895" t="s">
        <v>1844</v>
      </c>
      <c r="D895" s="12" t="str">
        <f t="shared" si="27"/>
        <v>1894,'112309','TC0303_1'</v>
      </c>
      <c r="E895" s="12" t="str">
        <f t="shared" si="26"/>
        <v>INSERT INTO grupos (id,matricula,grupo) values (1894,'112309','TC0303_1');</v>
      </c>
    </row>
    <row r="896" spans="1:5" ht="43.5" x14ac:dyDescent="0.35">
      <c r="A896">
        <v>1895</v>
      </c>
      <c r="B896" t="s">
        <v>2696</v>
      </c>
      <c r="C896" t="s">
        <v>1779</v>
      </c>
      <c r="D896" s="12" t="str">
        <f t="shared" si="27"/>
        <v>1895,'112316','PSI 3°'</v>
      </c>
      <c r="E896" s="12" t="str">
        <f t="shared" si="26"/>
        <v>INSERT INTO grupos (id,matricula,grupo) values (1895,'112316','PSI 3°');</v>
      </c>
    </row>
    <row r="897" spans="1:5" ht="43.5" x14ac:dyDescent="0.35">
      <c r="A897">
        <v>1896</v>
      </c>
      <c r="B897" t="s">
        <v>2696</v>
      </c>
      <c r="C897" t="s">
        <v>1839</v>
      </c>
      <c r="D897" s="12" t="str">
        <f t="shared" si="27"/>
        <v>1896,'112316','TC0302_4'</v>
      </c>
      <c r="E897" s="12" t="str">
        <f t="shared" si="26"/>
        <v>INSERT INTO grupos (id,matricula,grupo) values (1896,'112316','TC0302_4');</v>
      </c>
    </row>
    <row r="898" spans="1:5" ht="43.5" x14ac:dyDescent="0.35">
      <c r="A898">
        <v>1897</v>
      </c>
      <c r="B898" t="s">
        <v>2696</v>
      </c>
      <c r="C898" t="s">
        <v>1847</v>
      </c>
      <c r="D898" s="12" t="str">
        <f t="shared" si="27"/>
        <v>1897,'112316','TC0303_4'</v>
      </c>
      <c r="E898" s="12" t="str">
        <f t="shared" ref="E898:E961" si="28">CONCATENATE($D$1,D898,");")</f>
        <v>INSERT INTO grupos (id,matricula,grupo) values (1897,'112316','TC0303_4');</v>
      </c>
    </row>
    <row r="899" spans="1:5" ht="43.5" x14ac:dyDescent="0.35">
      <c r="A899">
        <v>1898</v>
      </c>
      <c r="B899" t="s">
        <v>2697</v>
      </c>
      <c r="C899" t="s">
        <v>1774</v>
      </c>
      <c r="D899" s="12" t="str">
        <f t="shared" ref="D899:D962" si="29">CONCATENATE(A899,",'",TRIM(B899),"','",C899,"'")</f>
        <v>1898,'112318','AUTO 3° A'</v>
      </c>
      <c r="E899" s="12" t="str">
        <f t="shared" si="28"/>
        <v>INSERT INTO grupos (id,matricula,grupo) values (1898,'112318','AUTO 3° A');</v>
      </c>
    </row>
    <row r="900" spans="1:5" ht="43.5" x14ac:dyDescent="0.35">
      <c r="A900">
        <v>1899</v>
      </c>
      <c r="B900" t="s">
        <v>2697</v>
      </c>
      <c r="C900" t="s">
        <v>1839</v>
      </c>
      <c r="D900" s="12" t="str">
        <f t="shared" si="29"/>
        <v>1899,'112318','TC0302_4'</v>
      </c>
      <c r="E900" s="12" t="str">
        <f t="shared" si="28"/>
        <v>INSERT INTO grupos (id,matricula,grupo) values (1899,'112318','TC0302_4');</v>
      </c>
    </row>
    <row r="901" spans="1:5" ht="43.5" x14ac:dyDescent="0.35">
      <c r="A901">
        <v>1900</v>
      </c>
      <c r="B901" t="s">
        <v>2697</v>
      </c>
      <c r="C901" t="s">
        <v>1847</v>
      </c>
      <c r="D901" s="12" t="str">
        <f t="shared" si="29"/>
        <v>1900,'112318','TC0303_4'</v>
      </c>
      <c r="E901" s="12" t="str">
        <f t="shared" si="28"/>
        <v>INSERT INTO grupos (id,matricula,grupo) values (1900,'112318','TC0303_4');</v>
      </c>
    </row>
    <row r="902" spans="1:5" ht="43.5" x14ac:dyDescent="0.35">
      <c r="A902">
        <v>1901</v>
      </c>
      <c r="B902" t="s">
        <v>2698</v>
      </c>
      <c r="C902" t="s">
        <v>1759</v>
      </c>
      <c r="D902" s="12" t="str">
        <f t="shared" si="29"/>
        <v>1901,'112346','ARQ 3°'</v>
      </c>
      <c r="E902" s="12" t="str">
        <f t="shared" si="28"/>
        <v>INSERT INTO grupos (id,matricula,grupo) values (1901,'112346','ARQ 3°');</v>
      </c>
    </row>
    <row r="903" spans="1:5" ht="43.5" x14ac:dyDescent="0.35">
      <c r="A903">
        <v>1902</v>
      </c>
      <c r="B903" t="s">
        <v>2698</v>
      </c>
      <c r="C903" t="s">
        <v>1838</v>
      </c>
      <c r="D903" s="12" t="str">
        <f t="shared" si="29"/>
        <v>1902,'112346','TC0302_3'</v>
      </c>
      <c r="E903" s="12" t="str">
        <f t="shared" si="28"/>
        <v>INSERT INTO grupos (id,matricula,grupo) values (1902,'112346','TC0302_3');</v>
      </c>
    </row>
    <row r="904" spans="1:5" ht="43.5" x14ac:dyDescent="0.35">
      <c r="A904">
        <v>1903</v>
      </c>
      <c r="B904" t="s">
        <v>2698</v>
      </c>
      <c r="C904" t="s">
        <v>1846</v>
      </c>
      <c r="D904" s="12" t="str">
        <f t="shared" si="29"/>
        <v>1903,'112346','TC0303_3'</v>
      </c>
      <c r="E904" s="12" t="str">
        <f t="shared" si="28"/>
        <v>INSERT INTO grupos (id,matricula,grupo) values (1903,'112346','TC0303_3');</v>
      </c>
    </row>
    <row r="905" spans="1:5" ht="43.5" x14ac:dyDescent="0.35">
      <c r="A905">
        <v>1904</v>
      </c>
      <c r="B905" t="s">
        <v>2699</v>
      </c>
      <c r="C905" t="s">
        <v>1774</v>
      </c>
      <c r="D905" s="12" t="str">
        <f t="shared" si="29"/>
        <v>1904,'112353','AUTO 3° A'</v>
      </c>
      <c r="E905" s="12" t="str">
        <f t="shared" si="28"/>
        <v>INSERT INTO grupos (id,matricula,grupo) values (1904,'112353','AUTO 3° A');</v>
      </c>
    </row>
    <row r="906" spans="1:5" ht="43.5" x14ac:dyDescent="0.35">
      <c r="A906">
        <v>1905</v>
      </c>
      <c r="B906" t="s">
        <v>2699</v>
      </c>
      <c r="C906" t="s">
        <v>1841</v>
      </c>
      <c r="D906" s="12" t="str">
        <f t="shared" si="29"/>
        <v>1905,'112353','TC0302_6'</v>
      </c>
      <c r="E906" s="12" t="str">
        <f t="shared" si="28"/>
        <v>INSERT INTO grupos (id,matricula,grupo) values (1905,'112353','TC0302_6');</v>
      </c>
    </row>
    <row r="907" spans="1:5" ht="43.5" x14ac:dyDescent="0.35">
      <c r="A907">
        <v>1906</v>
      </c>
      <c r="B907" t="s">
        <v>2699</v>
      </c>
      <c r="C907" t="s">
        <v>1849</v>
      </c>
      <c r="D907" s="12" t="str">
        <f t="shared" si="29"/>
        <v>1906,'112353','TC0303_6'</v>
      </c>
      <c r="E907" s="12" t="str">
        <f t="shared" si="28"/>
        <v>INSERT INTO grupos (id,matricula,grupo) values (1906,'112353','TC0303_6');</v>
      </c>
    </row>
    <row r="908" spans="1:5" ht="43.5" x14ac:dyDescent="0.35">
      <c r="A908">
        <v>1907</v>
      </c>
      <c r="B908" t="s">
        <v>2700</v>
      </c>
      <c r="C908" t="s">
        <v>1778</v>
      </c>
      <c r="D908" s="12" t="str">
        <f t="shared" si="29"/>
        <v>1907,'112358','AUTO 3° B'</v>
      </c>
      <c r="E908" s="12" t="str">
        <f t="shared" si="28"/>
        <v>INSERT INTO grupos (id,matricula,grupo) values (1907,'112358','AUTO 3° B');</v>
      </c>
    </row>
    <row r="909" spans="1:5" ht="43.5" x14ac:dyDescent="0.35">
      <c r="A909">
        <v>1908</v>
      </c>
      <c r="B909" t="s">
        <v>2700</v>
      </c>
      <c r="C909" t="s">
        <v>1839</v>
      </c>
      <c r="D909" s="12" t="str">
        <f t="shared" si="29"/>
        <v>1908,'112358','TC0302_4'</v>
      </c>
      <c r="E909" s="12" t="str">
        <f t="shared" si="28"/>
        <v>INSERT INTO grupos (id,matricula,grupo) values (1908,'112358','TC0302_4');</v>
      </c>
    </row>
    <row r="910" spans="1:5" ht="43.5" x14ac:dyDescent="0.35">
      <c r="A910">
        <v>1909</v>
      </c>
      <c r="B910" t="s">
        <v>2700</v>
      </c>
      <c r="C910" t="s">
        <v>1847</v>
      </c>
      <c r="D910" s="12" t="str">
        <f t="shared" si="29"/>
        <v>1909,'112358','TC0303_4'</v>
      </c>
      <c r="E910" s="12" t="str">
        <f t="shared" si="28"/>
        <v>INSERT INTO grupos (id,matricula,grupo) values (1909,'112358','TC0303_4');</v>
      </c>
    </row>
    <row r="911" spans="1:5" ht="43.5" x14ac:dyDescent="0.35">
      <c r="A911">
        <v>1910</v>
      </c>
      <c r="B911" t="s">
        <v>2701</v>
      </c>
      <c r="C911" t="s">
        <v>1759</v>
      </c>
      <c r="D911" s="12" t="str">
        <f t="shared" si="29"/>
        <v>1910,'112362','ARQ 3°'</v>
      </c>
      <c r="E911" s="12" t="str">
        <f t="shared" si="28"/>
        <v>INSERT INTO grupos (id,matricula,grupo) values (1910,'112362','ARQ 3°');</v>
      </c>
    </row>
    <row r="912" spans="1:5" ht="43.5" x14ac:dyDescent="0.35">
      <c r="A912">
        <v>1911</v>
      </c>
      <c r="B912" t="s">
        <v>2701</v>
      </c>
      <c r="C912" t="s">
        <v>1838</v>
      </c>
      <c r="D912" s="12" t="str">
        <f t="shared" si="29"/>
        <v>1911,'112362','TC0302_3'</v>
      </c>
      <c r="E912" s="12" t="str">
        <f t="shared" si="28"/>
        <v>INSERT INTO grupos (id,matricula,grupo) values (1911,'112362','TC0302_3');</v>
      </c>
    </row>
    <row r="913" spans="1:5" ht="43.5" x14ac:dyDescent="0.35">
      <c r="A913">
        <v>1912</v>
      </c>
      <c r="B913" t="s">
        <v>2701</v>
      </c>
      <c r="C913" t="s">
        <v>1846</v>
      </c>
      <c r="D913" s="12" t="str">
        <f t="shared" si="29"/>
        <v>1912,'112362','TC0303_3'</v>
      </c>
      <c r="E913" s="12" t="str">
        <f t="shared" si="28"/>
        <v>INSERT INTO grupos (id,matricula,grupo) values (1912,'112362','TC0303_3');</v>
      </c>
    </row>
    <row r="914" spans="1:5" ht="43.5" x14ac:dyDescent="0.35">
      <c r="A914">
        <v>1913</v>
      </c>
      <c r="B914" t="s">
        <v>2702</v>
      </c>
      <c r="C914" t="s">
        <v>1783</v>
      </c>
      <c r="D914" s="12" t="str">
        <f t="shared" si="29"/>
        <v>1913,'112465','AERO 1°A'</v>
      </c>
      <c r="E914" s="12" t="str">
        <f t="shared" si="28"/>
        <v>INSERT INTO grupos (id,matricula,grupo) values (1913,'112465','AERO 1°A');</v>
      </c>
    </row>
    <row r="915" spans="1:5" ht="43.5" x14ac:dyDescent="0.35">
      <c r="A915">
        <v>1914</v>
      </c>
      <c r="B915" t="s">
        <v>2702</v>
      </c>
      <c r="C915" t="s">
        <v>1816</v>
      </c>
      <c r="D915" s="12" t="str">
        <f t="shared" si="29"/>
        <v>1914,'112465','TC0101_1'</v>
      </c>
      <c r="E915" s="12" t="str">
        <f t="shared" si="28"/>
        <v>INSERT INTO grupos (id,matricula,grupo) values (1914,'112465','TC0101_1');</v>
      </c>
    </row>
    <row r="916" spans="1:5" ht="43.5" x14ac:dyDescent="0.35">
      <c r="A916">
        <v>1915</v>
      </c>
      <c r="B916" t="s">
        <v>2702</v>
      </c>
      <c r="C916" t="s">
        <v>1842</v>
      </c>
      <c r="D916" s="12" t="str">
        <f t="shared" si="29"/>
        <v>1915,'112465','TC0102_1'</v>
      </c>
      <c r="E916" s="12" t="str">
        <f t="shared" si="28"/>
        <v>INSERT INTO grupos (id,matricula,grupo) values (1915,'112465','TC0102_1');</v>
      </c>
    </row>
    <row r="917" spans="1:5" ht="43.5" x14ac:dyDescent="0.35">
      <c r="A917">
        <v>1916</v>
      </c>
      <c r="B917" t="s">
        <v>2703</v>
      </c>
      <c r="C917" t="s">
        <v>1773</v>
      </c>
      <c r="D917" s="12" t="str">
        <f t="shared" si="29"/>
        <v>1916,'112466','AUTO 1° B'</v>
      </c>
      <c r="E917" s="12" t="str">
        <f t="shared" si="28"/>
        <v>INSERT INTO grupos (id,matricula,grupo) values (1916,'112466','AUTO 1° B');</v>
      </c>
    </row>
    <row r="918" spans="1:5" ht="43.5" x14ac:dyDescent="0.35">
      <c r="A918">
        <v>1917</v>
      </c>
      <c r="B918" t="s">
        <v>2703</v>
      </c>
      <c r="C918" t="s">
        <v>2704</v>
      </c>
      <c r="D918" s="12" t="str">
        <f t="shared" si="29"/>
        <v>1917,'112466','TC0102_3'</v>
      </c>
      <c r="E918" s="12" t="str">
        <f t="shared" si="28"/>
        <v>INSERT INTO grupos (id,matricula,grupo) values (1917,'112466','TC0102_3');</v>
      </c>
    </row>
    <row r="919" spans="1:5" ht="43.5" x14ac:dyDescent="0.35">
      <c r="A919">
        <v>1918</v>
      </c>
      <c r="B919" t="s">
        <v>2703</v>
      </c>
      <c r="C919" t="s">
        <v>1807</v>
      </c>
      <c r="D919" s="12" t="str">
        <f t="shared" si="29"/>
        <v>1918,'112466','TC0103_1'</v>
      </c>
      <c r="E919" s="12" t="str">
        <f t="shared" si="28"/>
        <v>INSERT INTO grupos (id,matricula,grupo) values (1918,'112466','TC0103_1');</v>
      </c>
    </row>
    <row r="920" spans="1:5" ht="43.5" x14ac:dyDescent="0.35">
      <c r="A920">
        <v>1919</v>
      </c>
      <c r="B920" t="s">
        <v>2705</v>
      </c>
      <c r="C920" t="s">
        <v>1773</v>
      </c>
      <c r="D920" s="12" t="str">
        <f t="shared" si="29"/>
        <v>1919,'112467','AUTO 1° B'</v>
      </c>
      <c r="E920" s="12" t="str">
        <f t="shared" si="28"/>
        <v>INSERT INTO grupos (id,matricula,grupo) values (1919,'112467','AUTO 1° B');</v>
      </c>
    </row>
    <row r="921" spans="1:5" ht="43.5" x14ac:dyDescent="0.35">
      <c r="A921">
        <v>1920</v>
      </c>
      <c r="B921" t="s">
        <v>2705</v>
      </c>
      <c r="C921" t="s">
        <v>2498</v>
      </c>
      <c r="D921" s="12" t="str">
        <f t="shared" si="29"/>
        <v>1920,'112467','TC0102_4'</v>
      </c>
      <c r="E921" s="12" t="str">
        <f t="shared" si="28"/>
        <v>INSERT INTO grupos (id,matricula,grupo) values (1920,'112467','TC0102_4');</v>
      </c>
    </row>
    <row r="922" spans="1:5" ht="43.5" x14ac:dyDescent="0.35">
      <c r="A922">
        <v>1921</v>
      </c>
      <c r="B922" t="s">
        <v>2705</v>
      </c>
      <c r="C922" t="s">
        <v>1808</v>
      </c>
      <c r="D922" s="12" t="str">
        <f t="shared" si="29"/>
        <v>1921,'112467','TC0103_2'</v>
      </c>
      <c r="E922" s="12" t="str">
        <f t="shared" si="28"/>
        <v>INSERT INTO grupos (id,matricula,grupo) values (1921,'112467','TC0103_2');</v>
      </c>
    </row>
    <row r="923" spans="1:5" ht="43.5" x14ac:dyDescent="0.35">
      <c r="A923">
        <v>1922</v>
      </c>
      <c r="B923" t="s">
        <v>2706</v>
      </c>
      <c r="C923" t="s">
        <v>1773</v>
      </c>
      <c r="D923" s="12" t="str">
        <f t="shared" si="29"/>
        <v>1922,'112468','AUTO 1° B'</v>
      </c>
      <c r="E923" s="12" t="str">
        <f t="shared" si="28"/>
        <v>INSERT INTO grupos (id,matricula,grupo) values (1922,'112468','AUTO 1° B');</v>
      </c>
    </row>
    <row r="924" spans="1:5" ht="43.5" x14ac:dyDescent="0.35">
      <c r="A924">
        <v>1923</v>
      </c>
      <c r="B924" t="s">
        <v>2706</v>
      </c>
      <c r="C924" t="s">
        <v>2704</v>
      </c>
      <c r="D924" s="12" t="str">
        <f t="shared" si="29"/>
        <v>1923,'112468','TC0102_3'</v>
      </c>
      <c r="E924" s="12" t="str">
        <f t="shared" si="28"/>
        <v>INSERT INTO grupos (id,matricula,grupo) values (1923,'112468','TC0102_3');</v>
      </c>
    </row>
    <row r="925" spans="1:5" ht="43.5" x14ac:dyDescent="0.35">
      <c r="A925">
        <v>1924</v>
      </c>
      <c r="B925" t="s">
        <v>2706</v>
      </c>
      <c r="C925" t="s">
        <v>1807</v>
      </c>
      <c r="D925" s="12" t="str">
        <f t="shared" si="29"/>
        <v>1924,'112468','TC0103_1'</v>
      </c>
      <c r="E925" s="12" t="str">
        <f t="shared" si="28"/>
        <v>INSERT INTO grupos (id,matricula,grupo) values (1924,'112468','TC0103_1');</v>
      </c>
    </row>
    <row r="926" spans="1:5" ht="43.5" x14ac:dyDescent="0.35">
      <c r="A926">
        <v>1925</v>
      </c>
      <c r="B926" t="s">
        <v>2707</v>
      </c>
      <c r="C926" t="s">
        <v>1782</v>
      </c>
      <c r="D926" s="12" t="str">
        <f t="shared" si="29"/>
        <v>1925,'112469','AUTO 1° A'</v>
      </c>
      <c r="E926" s="12" t="str">
        <f t="shared" si="28"/>
        <v>INSERT INTO grupos (id,matricula,grupo) values (1925,'112469','AUTO 1° A');</v>
      </c>
    </row>
    <row r="927" spans="1:5" ht="43.5" x14ac:dyDescent="0.35">
      <c r="A927">
        <v>1926</v>
      </c>
      <c r="B927" t="s">
        <v>2707</v>
      </c>
      <c r="C927" t="s">
        <v>2498</v>
      </c>
      <c r="D927" s="12" t="str">
        <f t="shared" si="29"/>
        <v>1926,'112469','TC0102_4'</v>
      </c>
      <c r="E927" s="12" t="str">
        <f t="shared" si="28"/>
        <v>INSERT INTO grupos (id,matricula,grupo) values (1926,'112469','TC0102_4');</v>
      </c>
    </row>
    <row r="928" spans="1:5" ht="43.5" x14ac:dyDescent="0.35">
      <c r="A928">
        <v>1927</v>
      </c>
      <c r="B928" t="s">
        <v>2707</v>
      </c>
      <c r="C928" t="s">
        <v>1808</v>
      </c>
      <c r="D928" s="12" t="str">
        <f t="shared" si="29"/>
        <v>1927,'112469','TC0103_2'</v>
      </c>
      <c r="E928" s="12" t="str">
        <f t="shared" si="28"/>
        <v>INSERT INTO grupos (id,matricula,grupo) values (1927,'112469','TC0103_2');</v>
      </c>
    </row>
    <row r="929" spans="1:5" ht="43.5" x14ac:dyDescent="0.35">
      <c r="A929">
        <v>1928</v>
      </c>
      <c r="B929" t="s">
        <v>2708</v>
      </c>
      <c r="C929" t="s">
        <v>1782</v>
      </c>
      <c r="D929" s="12" t="str">
        <f t="shared" si="29"/>
        <v>1928,'112470','AUTO 1° A'</v>
      </c>
      <c r="E929" s="12" t="str">
        <f t="shared" si="28"/>
        <v>INSERT INTO grupos (id,matricula,grupo) values (1928,'112470','AUTO 1° A');</v>
      </c>
    </row>
    <row r="930" spans="1:5" ht="43.5" x14ac:dyDescent="0.35">
      <c r="A930">
        <v>1929</v>
      </c>
      <c r="B930" t="s">
        <v>2708</v>
      </c>
      <c r="C930" t="s">
        <v>2704</v>
      </c>
      <c r="D930" s="12" t="str">
        <f t="shared" si="29"/>
        <v>1929,'112470','TC0102_3'</v>
      </c>
      <c r="E930" s="12" t="str">
        <f t="shared" si="28"/>
        <v>INSERT INTO grupos (id,matricula,grupo) values (1929,'112470','TC0102_3');</v>
      </c>
    </row>
    <row r="931" spans="1:5" ht="43.5" x14ac:dyDescent="0.35">
      <c r="A931">
        <v>1930</v>
      </c>
      <c r="B931" t="s">
        <v>2708</v>
      </c>
      <c r="C931" t="s">
        <v>1807</v>
      </c>
      <c r="D931" s="12" t="str">
        <f t="shared" si="29"/>
        <v>1930,'112470','TC0103_1'</v>
      </c>
      <c r="E931" s="12" t="str">
        <f t="shared" si="28"/>
        <v>INSERT INTO grupos (id,matricula,grupo) values (1930,'112470','TC0103_1');</v>
      </c>
    </row>
    <row r="932" spans="1:5" ht="43.5" x14ac:dyDescent="0.35">
      <c r="A932">
        <v>1931</v>
      </c>
      <c r="B932" t="s">
        <v>2709</v>
      </c>
      <c r="C932" t="s">
        <v>1773</v>
      </c>
      <c r="D932" s="12" t="str">
        <f t="shared" si="29"/>
        <v>1931,'112471','AUTO 1° B'</v>
      </c>
      <c r="E932" s="12" t="str">
        <f t="shared" si="28"/>
        <v>INSERT INTO grupos (id,matricula,grupo) values (1931,'112471','AUTO 1° B');</v>
      </c>
    </row>
    <row r="933" spans="1:5" ht="43.5" x14ac:dyDescent="0.35">
      <c r="A933">
        <v>1932</v>
      </c>
      <c r="B933" t="s">
        <v>2709</v>
      </c>
      <c r="C933" t="s">
        <v>2704</v>
      </c>
      <c r="D933" s="12" t="str">
        <f t="shared" si="29"/>
        <v>1932,'112471','TC0102_3'</v>
      </c>
      <c r="E933" s="12" t="str">
        <f t="shared" si="28"/>
        <v>INSERT INTO grupos (id,matricula,grupo) values (1932,'112471','TC0102_3');</v>
      </c>
    </row>
    <row r="934" spans="1:5" ht="43.5" x14ac:dyDescent="0.35">
      <c r="A934">
        <v>1933</v>
      </c>
      <c r="B934" t="s">
        <v>2709</v>
      </c>
      <c r="C934" t="s">
        <v>1807</v>
      </c>
      <c r="D934" s="12" t="str">
        <f t="shared" si="29"/>
        <v>1933,'112471','TC0103_1'</v>
      </c>
      <c r="E934" s="12" t="str">
        <f t="shared" si="28"/>
        <v>INSERT INTO grupos (id,matricula,grupo) values (1933,'112471','TC0103_1');</v>
      </c>
    </row>
    <row r="935" spans="1:5" ht="43.5" x14ac:dyDescent="0.35">
      <c r="A935">
        <v>1934</v>
      </c>
      <c r="B935" t="s">
        <v>2710</v>
      </c>
      <c r="C935" t="s">
        <v>1782</v>
      </c>
      <c r="D935" s="12" t="str">
        <f t="shared" si="29"/>
        <v>1934,'112472','AUTO 1° A'</v>
      </c>
      <c r="E935" s="12" t="str">
        <f t="shared" si="28"/>
        <v>INSERT INTO grupos (id,matricula,grupo) values (1934,'112472','AUTO 1° A');</v>
      </c>
    </row>
    <row r="936" spans="1:5" ht="43.5" x14ac:dyDescent="0.35">
      <c r="A936">
        <v>1935</v>
      </c>
      <c r="B936" t="s">
        <v>2710</v>
      </c>
      <c r="C936" t="s">
        <v>1808</v>
      </c>
      <c r="D936" s="12" t="str">
        <f t="shared" si="29"/>
        <v>1935,'112472','TC0103_2'</v>
      </c>
      <c r="E936" s="12" t="str">
        <f t="shared" si="28"/>
        <v>INSERT INTO grupos (id,matricula,grupo) values (1935,'112472','TC0103_2');</v>
      </c>
    </row>
    <row r="937" spans="1:5" ht="43.5" x14ac:dyDescent="0.35">
      <c r="A937">
        <v>1936</v>
      </c>
      <c r="B937" t="s">
        <v>2711</v>
      </c>
      <c r="C937" t="s">
        <v>1782</v>
      </c>
      <c r="D937" s="12" t="str">
        <f t="shared" si="29"/>
        <v>1936,'112473','AUTO 1° A'</v>
      </c>
      <c r="E937" s="12" t="str">
        <f t="shared" si="28"/>
        <v>INSERT INTO grupos (id,matricula,grupo) values (1936,'112473','AUTO 1° A');</v>
      </c>
    </row>
    <row r="938" spans="1:5" ht="43.5" x14ac:dyDescent="0.35">
      <c r="A938">
        <v>1937</v>
      </c>
      <c r="B938" t="s">
        <v>2711</v>
      </c>
      <c r="C938" t="s">
        <v>2704</v>
      </c>
      <c r="D938" s="12" t="str">
        <f t="shared" si="29"/>
        <v>1937,'112473','TC0102_3'</v>
      </c>
      <c r="E938" s="12" t="str">
        <f t="shared" si="28"/>
        <v>INSERT INTO grupos (id,matricula,grupo) values (1937,'112473','TC0102_3');</v>
      </c>
    </row>
    <row r="939" spans="1:5" ht="43.5" x14ac:dyDescent="0.35">
      <c r="A939">
        <v>1938</v>
      </c>
      <c r="B939" t="s">
        <v>2711</v>
      </c>
      <c r="C939" t="s">
        <v>1807</v>
      </c>
      <c r="D939" s="12" t="str">
        <f t="shared" si="29"/>
        <v>1938,'112473','TC0103_1'</v>
      </c>
      <c r="E939" s="12" t="str">
        <f t="shared" si="28"/>
        <v>INSERT INTO grupos (id,matricula,grupo) values (1938,'112473','TC0103_1');</v>
      </c>
    </row>
    <row r="940" spans="1:5" ht="43.5" x14ac:dyDescent="0.35">
      <c r="A940">
        <v>1939</v>
      </c>
      <c r="B940" t="s">
        <v>2712</v>
      </c>
      <c r="C940" t="s">
        <v>1782</v>
      </c>
      <c r="D940" s="12" t="str">
        <f t="shared" si="29"/>
        <v>1939,'112474','AUTO 1° A'</v>
      </c>
      <c r="E940" s="12" t="str">
        <f t="shared" si="28"/>
        <v>INSERT INTO grupos (id,matricula,grupo) values (1939,'112474','AUTO 1° A');</v>
      </c>
    </row>
    <row r="941" spans="1:5" ht="43.5" x14ac:dyDescent="0.35">
      <c r="A941">
        <v>1940</v>
      </c>
      <c r="B941" t="s">
        <v>2712</v>
      </c>
      <c r="C941" t="s">
        <v>2498</v>
      </c>
      <c r="D941" s="12" t="str">
        <f t="shared" si="29"/>
        <v>1940,'112474','TC0102_4'</v>
      </c>
      <c r="E941" s="12" t="str">
        <f t="shared" si="28"/>
        <v>INSERT INTO grupos (id,matricula,grupo) values (1940,'112474','TC0102_4');</v>
      </c>
    </row>
    <row r="942" spans="1:5" ht="43.5" x14ac:dyDescent="0.35">
      <c r="A942">
        <v>1941</v>
      </c>
      <c r="B942" t="s">
        <v>2712</v>
      </c>
      <c r="C942" t="s">
        <v>1808</v>
      </c>
      <c r="D942" s="12" t="str">
        <f t="shared" si="29"/>
        <v>1941,'112474','TC0103_2'</v>
      </c>
      <c r="E942" s="12" t="str">
        <f t="shared" si="28"/>
        <v>INSERT INTO grupos (id,matricula,grupo) values (1941,'112474','TC0103_2');</v>
      </c>
    </row>
    <row r="943" spans="1:5" ht="43.5" x14ac:dyDescent="0.35">
      <c r="A943">
        <v>1942</v>
      </c>
      <c r="B943" t="s">
        <v>2713</v>
      </c>
      <c r="C943" t="s">
        <v>1782</v>
      </c>
      <c r="D943" s="12" t="str">
        <f t="shared" si="29"/>
        <v>1942,'112475','AUTO 1° A'</v>
      </c>
      <c r="E943" s="12" t="str">
        <f t="shared" si="28"/>
        <v>INSERT INTO grupos (id,matricula,grupo) values (1942,'112475','AUTO 1° A');</v>
      </c>
    </row>
    <row r="944" spans="1:5" ht="43.5" x14ac:dyDescent="0.35">
      <c r="A944">
        <v>1943</v>
      </c>
      <c r="B944" t="s">
        <v>2713</v>
      </c>
      <c r="C944" t="s">
        <v>2704</v>
      </c>
      <c r="D944" s="12" t="str">
        <f t="shared" si="29"/>
        <v>1943,'112475','TC0102_3'</v>
      </c>
      <c r="E944" s="12" t="str">
        <f t="shared" si="28"/>
        <v>INSERT INTO grupos (id,matricula,grupo) values (1943,'112475','TC0102_3');</v>
      </c>
    </row>
    <row r="945" spans="1:5" ht="43.5" x14ac:dyDescent="0.35">
      <c r="A945">
        <v>1944</v>
      </c>
      <c r="B945" t="s">
        <v>2713</v>
      </c>
      <c r="C945" t="s">
        <v>1807</v>
      </c>
      <c r="D945" s="12" t="str">
        <f t="shared" si="29"/>
        <v>1944,'112475','TC0103_1'</v>
      </c>
      <c r="E945" s="12" t="str">
        <f t="shared" si="28"/>
        <v>INSERT INTO grupos (id,matricula,grupo) values (1944,'112475','TC0103_1');</v>
      </c>
    </row>
    <row r="946" spans="1:5" ht="43.5" x14ac:dyDescent="0.35">
      <c r="A946">
        <v>1945</v>
      </c>
      <c r="B946" t="s">
        <v>2714</v>
      </c>
      <c r="C946" t="s">
        <v>1773</v>
      </c>
      <c r="D946" s="12" t="str">
        <f t="shared" si="29"/>
        <v>1945,'112476','AUTO 1° B'</v>
      </c>
      <c r="E946" s="12" t="str">
        <f t="shared" si="28"/>
        <v>INSERT INTO grupos (id,matricula,grupo) values (1945,'112476','AUTO 1° B');</v>
      </c>
    </row>
    <row r="947" spans="1:5" ht="43.5" x14ac:dyDescent="0.35">
      <c r="A947">
        <v>1946</v>
      </c>
      <c r="B947" t="s">
        <v>2714</v>
      </c>
      <c r="C947" t="s">
        <v>2498</v>
      </c>
      <c r="D947" s="12" t="str">
        <f t="shared" si="29"/>
        <v>1946,'112476','TC0102_4'</v>
      </c>
      <c r="E947" s="12" t="str">
        <f t="shared" si="28"/>
        <v>INSERT INTO grupos (id,matricula,grupo) values (1946,'112476','TC0102_4');</v>
      </c>
    </row>
    <row r="948" spans="1:5" ht="43.5" x14ac:dyDescent="0.35">
      <c r="A948">
        <v>1947</v>
      </c>
      <c r="B948" t="s">
        <v>2714</v>
      </c>
      <c r="C948" t="s">
        <v>1808</v>
      </c>
      <c r="D948" s="12" t="str">
        <f t="shared" si="29"/>
        <v>1947,'112476','TC0103_2'</v>
      </c>
      <c r="E948" s="12" t="str">
        <f t="shared" si="28"/>
        <v>INSERT INTO grupos (id,matricula,grupo) values (1947,'112476','TC0103_2');</v>
      </c>
    </row>
    <row r="949" spans="1:5" ht="43.5" x14ac:dyDescent="0.35">
      <c r="A949">
        <v>1948</v>
      </c>
      <c r="B949" t="s">
        <v>2715</v>
      </c>
      <c r="C949" t="s">
        <v>1783</v>
      </c>
      <c r="D949" s="12" t="str">
        <f t="shared" si="29"/>
        <v>1948,'112477','AERO 1°A'</v>
      </c>
      <c r="E949" s="12" t="str">
        <f t="shared" si="28"/>
        <v>INSERT INTO grupos (id,matricula,grupo) values (1948,'112477','AERO 1°A');</v>
      </c>
    </row>
    <row r="950" spans="1:5" ht="43.5" x14ac:dyDescent="0.35">
      <c r="A950">
        <v>1949</v>
      </c>
      <c r="B950" t="s">
        <v>2715</v>
      </c>
      <c r="C950" t="s">
        <v>1817</v>
      </c>
      <c r="D950" s="12" t="str">
        <f t="shared" si="29"/>
        <v>1949,'112477','TC0101_2'</v>
      </c>
      <c r="E950" s="12" t="str">
        <f t="shared" si="28"/>
        <v>INSERT INTO grupos (id,matricula,grupo) values (1949,'112477','TC0101_2');</v>
      </c>
    </row>
    <row r="951" spans="1:5" ht="43.5" x14ac:dyDescent="0.35">
      <c r="A951">
        <v>1950</v>
      </c>
      <c r="B951" t="s">
        <v>2715</v>
      </c>
      <c r="C951" t="s">
        <v>1843</v>
      </c>
      <c r="D951" s="12" t="str">
        <f t="shared" si="29"/>
        <v>1950,'112477','TC0102_2'</v>
      </c>
      <c r="E951" s="12" t="str">
        <f t="shared" si="28"/>
        <v>INSERT INTO grupos (id,matricula,grupo) values (1950,'112477','TC0102_2');</v>
      </c>
    </row>
    <row r="952" spans="1:5" ht="43.5" x14ac:dyDescent="0.35">
      <c r="A952">
        <v>1951</v>
      </c>
      <c r="B952" t="s">
        <v>2716</v>
      </c>
      <c r="C952" t="s">
        <v>1783</v>
      </c>
      <c r="D952" s="12" t="str">
        <f t="shared" si="29"/>
        <v>1951,'112478','AERO 1°A'</v>
      </c>
      <c r="E952" s="12" t="str">
        <f t="shared" si="28"/>
        <v>INSERT INTO grupos (id,matricula,grupo) values (1951,'112478','AERO 1°A');</v>
      </c>
    </row>
    <row r="953" spans="1:5" ht="43.5" x14ac:dyDescent="0.35">
      <c r="A953">
        <v>1952</v>
      </c>
      <c r="B953" t="s">
        <v>2716</v>
      </c>
      <c r="C953" t="s">
        <v>1816</v>
      </c>
      <c r="D953" s="12" t="str">
        <f t="shared" si="29"/>
        <v>1952,'112478','TC0101_1'</v>
      </c>
      <c r="E953" s="12" t="str">
        <f t="shared" si="28"/>
        <v>INSERT INTO grupos (id,matricula,grupo) values (1952,'112478','TC0101_1');</v>
      </c>
    </row>
    <row r="954" spans="1:5" ht="43.5" x14ac:dyDescent="0.35">
      <c r="A954">
        <v>1953</v>
      </c>
      <c r="B954" t="s">
        <v>2716</v>
      </c>
      <c r="C954" t="s">
        <v>1842</v>
      </c>
      <c r="D954" s="12" t="str">
        <f t="shared" si="29"/>
        <v>1953,'112478','TC0102_1'</v>
      </c>
      <c r="E954" s="12" t="str">
        <f t="shared" si="28"/>
        <v>INSERT INTO grupos (id,matricula,grupo) values (1953,'112478','TC0102_1');</v>
      </c>
    </row>
    <row r="955" spans="1:5" ht="43.5" x14ac:dyDescent="0.35">
      <c r="A955">
        <v>1954</v>
      </c>
      <c r="B955" t="s">
        <v>2717</v>
      </c>
      <c r="C955" t="s">
        <v>1783</v>
      </c>
      <c r="D955" s="12" t="str">
        <f t="shared" si="29"/>
        <v>1954,'112479','AERO 1°A'</v>
      </c>
      <c r="E955" s="12" t="str">
        <f t="shared" si="28"/>
        <v>INSERT INTO grupos (id,matricula,grupo) values (1954,'112479','AERO 1°A');</v>
      </c>
    </row>
    <row r="956" spans="1:5" ht="43.5" x14ac:dyDescent="0.35">
      <c r="A956">
        <v>1955</v>
      </c>
      <c r="B956" t="s">
        <v>2717</v>
      </c>
      <c r="C956" t="s">
        <v>1817</v>
      </c>
      <c r="D956" s="12" t="str">
        <f t="shared" si="29"/>
        <v>1955,'112479','TC0101_2'</v>
      </c>
      <c r="E956" s="12" t="str">
        <f t="shared" si="28"/>
        <v>INSERT INTO grupos (id,matricula,grupo) values (1955,'112479','TC0101_2');</v>
      </c>
    </row>
    <row r="957" spans="1:5" ht="43.5" x14ac:dyDescent="0.35">
      <c r="A957">
        <v>1956</v>
      </c>
      <c r="B957" t="s">
        <v>2718</v>
      </c>
      <c r="C957" t="s">
        <v>1783</v>
      </c>
      <c r="D957" s="12" t="str">
        <f t="shared" si="29"/>
        <v>1956,'112480','AERO 1°A'</v>
      </c>
      <c r="E957" s="12" t="str">
        <f t="shared" si="28"/>
        <v>INSERT INTO grupos (id,matricula,grupo) values (1956,'112480','AERO 1°A');</v>
      </c>
    </row>
    <row r="958" spans="1:5" ht="43.5" x14ac:dyDescent="0.35">
      <c r="A958">
        <v>1957</v>
      </c>
      <c r="B958" t="s">
        <v>2718</v>
      </c>
      <c r="C958" t="s">
        <v>1816</v>
      </c>
      <c r="D958" s="12" t="str">
        <f t="shared" si="29"/>
        <v>1957,'112480','TC0101_1'</v>
      </c>
      <c r="E958" s="12" t="str">
        <f t="shared" si="28"/>
        <v>INSERT INTO grupos (id,matricula,grupo) values (1957,'112480','TC0101_1');</v>
      </c>
    </row>
    <row r="959" spans="1:5" ht="43.5" x14ac:dyDescent="0.35">
      <c r="A959">
        <v>1958</v>
      </c>
      <c r="B959" t="s">
        <v>2718</v>
      </c>
      <c r="C959" t="s">
        <v>1842</v>
      </c>
      <c r="D959" s="12" t="str">
        <f t="shared" si="29"/>
        <v>1958,'112480','TC0102_1'</v>
      </c>
      <c r="E959" s="12" t="str">
        <f t="shared" si="28"/>
        <v>INSERT INTO grupos (id,matricula,grupo) values (1958,'112480','TC0102_1');</v>
      </c>
    </row>
    <row r="960" spans="1:5" ht="43.5" x14ac:dyDescent="0.35">
      <c r="A960">
        <v>1959</v>
      </c>
      <c r="B960" t="s">
        <v>2719</v>
      </c>
      <c r="C960" t="s">
        <v>1783</v>
      </c>
      <c r="D960" s="12" t="str">
        <f t="shared" si="29"/>
        <v>1959,'112481','AERO 1°A'</v>
      </c>
      <c r="E960" s="12" t="str">
        <f t="shared" si="28"/>
        <v>INSERT INTO grupos (id,matricula,grupo) values (1959,'112481','AERO 1°A');</v>
      </c>
    </row>
    <row r="961" spans="1:5" ht="43.5" x14ac:dyDescent="0.35">
      <c r="A961">
        <v>1960</v>
      </c>
      <c r="B961" t="s">
        <v>2719</v>
      </c>
      <c r="C961" t="s">
        <v>1817</v>
      </c>
      <c r="D961" s="12" t="str">
        <f t="shared" si="29"/>
        <v>1960,'112481','TC0101_2'</v>
      </c>
      <c r="E961" s="12" t="str">
        <f t="shared" si="28"/>
        <v>INSERT INTO grupos (id,matricula,grupo) values (1960,'112481','TC0101_2');</v>
      </c>
    </row>
    <row r="962" spans="1:5" ht="43.5" x14ac:dyDescent="0.35">
      <c r="A962">
        <v>1961</v>
      </c>
      <c r="B962" t="s">
        <v>2719</v>
      </c>
      <c r="C962" t="s">
        <v>1843</v>
      </c>
      <c r="D962" s="12" t="str">
        <f t="shared" si="29"/>
        <v>1961,'112481','TC0102_2'</v>
      </c>
      <c r="E962" s="12" t="str">
        <f t="shared" ref="E962:E1025" si="30">CONCATENATE($D$1,D962,");")</f>
        <v>INSERT INTO grupos (id,matricula,grupo) values (1961,'112481','TC0102_2');</v>
      </c>
    </row>
    <row r="963" spans="1:5" ht="43.5" x14ac:dyDescent="0.35">
      <c r="A963">
        <v>1962</v>
      </c>
      <c r="B963" t="s">
        <v>2720</v>
      </c>
      <c r="C963" t="s">
        <v>1783</v>
      </c>
      <c r="D963" s="12" t="str">
        <f t="shared" ref="D963:D1026" si="31">CONCATENATE(A963,",'",TRIM(B963),"','",C963,"'")</f>
        <v>1962,'112482','AERO 1°A'</v>
      </c>
      <c r="E963" s="12" t="str">
        <f t="shared" si="30"/>
        <v>INSERT INTO grupos (id,matricula,grupo) values (1962,'112482','AERO 1°A');</v>
      </c>
    </row>
    <row r="964" spans="1:5" ht="43.5" x14ac:dyDescent="0.35">
      <c r="A964">
        <v>1963</v>
      </c>
      <c r="B964" t="s">
        <v>2720</v>
      </c>
      <c r="C964" t="s">
        <v>1817</v>
      </c>
      <c r="D964" s="12" t="str">
        <f t="shared" si="31"/>
        <v>1963,'112482','TC0101_2'</v>
      </c>
      <c r="E964" s="12" t="str">
        <f t="shared" si="30"/>
        <v>INSERT INTO grupos (id,matricula,grupo) values (1963,'112482','TC0101_2');</v>
      </c>
    </row>
    <row r="965" spans="1:5" ht="43.5" x14ac:dyDescent="0.35">
      <c r="A965">
        <v>1964</v>
      </c>
      <c r="B965" t="s">
        <v>2720</v>
      </c>
      <c r="C965" t="s">
        <v>1843</v>
      </c>
      <c r="D965" s="12" t="str">
        <f t="shared" si="31"/>
        <v>1964,'112482','TC0102_2'</v>
      </c>
      <c r="E965" s="12" t="str">
        <f t="shared" si="30"/>
        <v>INSERT INTO grupos (id,matricula,grupo) values (1964,'112482','TC0102_2');</v>
      </c>
    </row>
    <row r="966" spans="1:5" ht="43.5" x14ac:dyDescent="0.35">
      <c r="A966">
        <v>1965</v>
      </c>
      <c r="B966" t="s">
        <v>2721</v>
      </c>
      <c r="C966" t="s">
        <v>1783</v>
      </c>
      <c r="D966" s="12" t="str">
        <f t="shared" si="31"/>
        <v>1965,'112483','AERO 1°A'</v>
      </c>
      <c r="E966" s="12" t="str">
        <f t="shared" si="30"/>
        <v>INSERT INTO grupos (id,matricula,grupo) values (1965,'112483','AERO 1°A');</v>
      </c>
    </row>
    <row r="967" spans="1:5" ht="43.5" x14ac:dyDescent="0.35">
      <c r="A967">
        <v>1966</v>
      </c>
      <c r="B967" t="s">
        <v>2721</v>
      </c>
      <c r="C967" t="s">
        <v>1817</v>
      </c>
      <c r="D967" s="12" t="str">
        <f t="shared" si="31"/>
        <v>1966,'112483','TC0101_2'</v>
      </c>
      <c r="E967" s="12" t="str">
        <f t="shared" si="30"/>
        <v>INSERT INTO grupos (id,matricula,grupo) values (1966,'112483','TC0101_2');</v>
      </c>
    </row>
    <row r="968" spans="1:5" ht="43.5" x14ac:dyDescent="0.35">
      <c r="A968">
        <v>1967</v>
      </c>
      <c r="B968" t="s">
        <v>2721</v>
      </c>
      <c r="C968" t="s">
        <v>1843</v>
      </c>
      <c r="D968" s="12" t="str">
        <f t="shared" si="31"/>
        <v>1967,'112483','TC0102_2'</v>
      </c>
      <c r="E968" s="12" t="str">
        <f t="shared" si="30"/>
        <v>INSERT INTO grupos (id,matricula,grupo) values (1967,'112483','TC0102_2');</v>
      </c>
    </row>
    <row r="969" spans="1:5" ht="43.5" x14ac:dyDescent="0.35">
      <c r="A969">
        <v>1968</v>
      </c>
      <c r="B969" t="s">
        <v>2722</v>
      </c>
      <c r="C969" t="s">
        <v>1783</v>
      </c>
      <c r="D969" s="12" t="str">
        <f t="shared" si="31"/>
        <v>1968,'112484','AERO 1°A'</v>
      </c>
      <c r="E969" s="12" t="str">
        <f t="shared" si="30"/>
        <v>INSERT INTO grupos (id,matricula,grupo) values (1968,'112484','AERO 1°A');</v>
      </c>
    </row>
    <row r="970" spans="1:5" ht="43.5" x14ac:dyDescent="0.35">
      <c r="A970">
        <v>1969</v>
      </c>
      <c r="B970" t="s">
        <v>2722</v>
      </c>
      <c r="C970" t="s">
        <v>1816</v>
      </c>
      <c r="D970" s="12" t="str">
        <f t="shared" si="31"/>
        <v>1969,'112484','TC0101_1'</v>
      </c>
      <c r="E970" s="12" t="str">
        <f t="shared" si="30"/>
        <v>INSERT INTO grupos (id,matricula,grupo) values (1969,'112484','TC0101_1');</v>
      </c>
    </row>
    <row r="971" spans="1:5" ht="43.5" x14ac:dyDescent="0.35">
      <c r="A971">
        <v>1970</v>
      </c>
      <c r="B971" t="s">
        <v>2722</v>
      </c>
      <c r="C971" t="s">
        <v>1842</v>
      </c>
      <c r="D971" s="12" t="str">
        <f t="shared" si="31"/>
        <v>1970,'112484','TC0102_1'</v>
      </c>
      <c r="E971" s="12" t="str">
        <f t="shared" si="30"/>
        <v>INSERT INTO grupos (id,matricula,grupo) values (1970,'112484','TC0102_1');</v>
      </c>
    </row>
    <row r="972" spans="1:5" ht="43.5" x14ac:dyDescent="0.35">
      <c r="A972">
        <v>1971</v>
      </c>
      <c r="B972" t="s">
        <v>2723</v>
      </c>
      <c r="C972" t="s">
        <v>1783</v>
      </c>
      <c r="D972" s="12" t="str">
        <f t="shared" si="31"/>
        <v>1971,'112485','AERO 1°A'</v>
      </c>
      <c r="E972" s="12" t="str">
        <f t="shared" si="30"/>
        <v>INSERT INTO grupos (id,matricula,grupo) values (1971,'112485','AERO 1°A');</v>
      </c>
    </row>
    <row r="973" spans="1:5" ht="43.5" x14ac:dyDescent="0.35">
      <c r="A973">
        <v>1972</v>
      </c>
      <c r="B973" t="s">
        <v>2723</v>
      </c>
      <c r="C973" t="s">
        <v>1817</v>
      </c>
      <c r="D973" s="12" t="str">
        <f t="shared" si="31"/>
        <v>1972,'112485','TC0101_2'</v>
      </c>
      <c r="E973" s="12" t="str">
        <f t="shared" si="30"/>
        <v>INSERT INTO grupos (id,matricula,grupo) values (1972,'112485','TC0101_2');</v>
      </c>
    </row>
    <row r="974" spans="1:5" ht="43.5" x14ac:dyDescent="0.35">
      <c r="A974">
        <v>1973</v>
      </c>
      <c r="B974" t="s">
        <v>2723</v>
      </c>
      <c r="C974" t="s">
        <v>1843</v>
      </c>
      <c r="D974" s="12" t="str">
        <f t="shared" si="31"/>
        <v>1973,'112485','TC0102_2'</v>
      </c>
      <c r="E974" s="12" t="str">
        <f t="shared" si="30"/>
        <v>INSERT INTO grupos (id,matricula,grupo) values (1973,'112485','TC0102_2');</v>
      </c>
    </row>
    <row r="975" spans="1:5" ht="43.5" x14ac:dyDescent="0.35">
      <c r="A975">
        <v>1974</v>
      </c>
      <c r="B975" t="s">
        <v>2724</v>
      </c>
      <c r="C975" t="s">
        <v>1783</v>
      </c>
      <c r="D975" s="12" t="str">
        <f t="shared" si="31"/>
        <v>1974,'112486','AERO 1°A'</v>
      </c>
      <c r="E975" s="12" t="str">
        <f t="shared" si="30"/>
        <v>INSERT INTO grupos (id,matricula,grupo) values (1974,'112486','AERO 1°A');</v>
      </c>
    </row>
    <row r="976" spans="1:5" ht="43.5" x14ac:dyDescent="0.35">
      <c r="A976">
        <v>1975</v>
      </c>
      <c r="B976" t="s">
        <v>2724</v>
      </c>
      <c r="C976" t="s">
        <v>1816</v>
      </c>
      <c r="D976" s="12" t="str">
        <f t="shared" si="31"/>
        <v>1975,'112486','TC0101_1'</v>
      </c>
      <c r="E976" s="12" t="str">
        <f t="shared" si="30"/>
        <v>INSERT INTO grupos (id,matricula,grupo) values (1975,'112486','TC0101_1');</v>
      </c>
    </row>
    <row r="977" spans="1:5" ht="43.5" x14ac:dyDescent="0.35">
      <c r="A977">
        <v>1976</v>
      </c>
      <c r="B977" t="s">
        <v>2724</v>
      </c>
      <c r="C977" t="s">
        <v>1842</v>
      </c>
      <c r="D977" s="12" t="str">
        <f t="shared" si="31"/>
        <v>1976,'112486','TC0102_1'</v>
      </c>
      <c r="E977" s="12" t="str">
        <f t="shared" si="30"/>
        <v>INSERT INTO grupos (id,matricula,grupo) values (1976,'112486','TC0102_1');</v>
      </c>
    </row>
    <row r="978" spans="1:5" ht="43.5" x14ac:dyDescent="0.35">
      <c r="A978">
        <v>1977</v>
      </c>
      <c r="B978" t="s">
        <v>2725</v>
      </c>
      <c r="C978" t="s">
        <v>1784</v>
      </c>
      <c r="D978" s="12" t="str">
        <f t="shared" si="31"/>
        <v>1977,'112488','PSI 1°'</v>
      </c>
      <c r="E978" s="12" t="str">
        <f t="shared" si="30"/>
        <v>INSERT INTO grupos (id,matricula,grupo) values (1977,'112488','PSI 1°');</v>
      </c>
    </row>
    <row r="979" spans="1:5" ht="43.5" x14ac:dyDescent="0.35">
      <c r="A979">
        <v>1978</v>
      </c>
      <c r="B979" t="s">
        <v>2725</v>
      </c>
      <c r="C979" t="s">
        <v>2704</v>
      </c>
      <c r="D979" s="12" t="str">
        <f t="shared" si="31"/>
        <v>1978,'112488','TC0102_3'</v>
      </c>
      <c r="E979" s="12" t="str">
        <f t="shared" si="30"/>
        <v>INSERT INTO grupos (id,matricula,grupo) values (1978,'112488','TC0102_3');</v>
      </c>
    </row>
    <row r="980" spans="1:5" ht="43.5" x14ac:dyDescent="0.35">
      <c r="A980">
        <v>1979</v>
      </c>
      <c r="B980" t="s">
        <v>2725</v>
      </c>
      <c r="C980" t="s">
        <v>1807</v>
      </c>
      <c r="D980" s="12" t="str">
        <f t="shared" si="31"/>
        <v>1979,'112488','TC0103_1'</v>
      </c>
      <c r="E980" s="12" t="str">
        <f t="shared" si="30"/>
        <v>INSERT INTO grupos (id,matricula,grupo) values (1979,'112488','TC0103_1');</v>
      </c>
    </row>
    <row r="981" spans="1:5" ht="43.5" x14ac:dyDescent="0.35">
      <c r="A981">
        <v>1980</v>
      </c>
      <c r="B981" t="s">
        <v>2726</v>
      </c>
      <c r="C981" t="s">
        <v>1784</v>
      </c>
      <c r="D981" s="12" t="str">
        <f t="shared" si="31"/>
        <v>1980,'112489','PSI 1°'</v>
      </c>
      <c r="E981" s="12" t="str">
        <f t="shared" si="30"/>
        <v>INSERT INTO grupos (id,matricula,grupo) values (1980,'112489','PSI 1°');</v>
      </c>
    </row>
    <row r="982" spans="1:5" ht="43.5" x14ac:dyDescent="0.35">
      <c r="A982">
        <v>1981</v>
      </c>
      <c r="B982" t="s">
        <v>2726</v>
      </c>
      <c r="C982" t="s">
        <v>2498</v>
      </c>
      <c r="D982" s="12" t="str">
        <f t="shared" si="31"/>
        <v>1981,'112489','TC0102_4'</v>
      </c>
      <c r="E982" s="12" t="str">
        <f t="shared" si="30"/>
        <v>INSERT INTO grupos (id,matricula,grupo) values (1981,'112489','TC0102_4');</v>
      </c>
    </row>
    <row r="983" spans="1:5" ht="43.5" x14ac:dyDescent="0.35">
      <c r="A983">
        <v>1982</v>
      </c>
      <c r="B983" t="s">
        <v>2726</v>
      </c>
      <c r="C983" t="s">
        <v>1808</v>
      </c>
      <c r="D983" s="12" t="str">
        <f t="shared" si="31"/>
        <v>1982,'112489','TC0103_2'</v>
      </c>
      <c r="E983" s="12" t="str">
        <f t="shared" si="30"/>
        <v>INSERT INTO grupos (id,matricula,grupo) values (1982,'112489','TC0103_2');</v>
      </c>
    </row>
    <row r="984" spans="1:5" ht="43.5" x14ac:dyDescent="0.35">
      <c r="A984">
        <v>1983</v>
      </c>
      <c r="B984" t="s">
        <v>2727</v>
      </c>
      <c r="C984" t="s">
        <v>1784</v>
      </c>
      <c r="D984" s="12" t="str">
        <f t="shared" si="31"/>
        <v>1983,'112490','PSI 1°'</v>
      </c>
      <c r="E984" s="12" t="str">
        <f t="shared" si="30"/>
        <v>INSERT INTO grupos (id,matricula,grupo) values (1983,'112490','PSI 1°');</v>
      </c>
    </row>
    <row r="985" spans="1:5" ht="43.5" x14ac:dyDescent="0.35">
      <c r="A985">
        <v>1984</v>
      </c>
      <c r="B985" t="s">
        <v>2727</v>
      </c>
      <c r="C985" t="s">
        <v>2704</v>
      </c>
      <c r="D985" s="12" t="str">
        <f t="shared" si="31"/>
        <v>1984,'112490','TC0102_3'</v>
      </c>
      <c r="E985" s="12" t="str">
        <f t="shared" si="30"/>
        <v>INSERT INTO grupos (id,matricula,grupo) values (1984,'112490','TC0102_3');</v>
      </c>
    </row>
    <row r="986" spans="1:5" ht="43.5" x14ac:dyDescent="0.35">
      <c r="A986">
        <v>1985</v>
      </c>
      <c r="B986" t="s">
        <v>2727</v>
      </c>
      <c r="C986" t="s">
        <v>1807</v>
      </c>
      <c r="D986" s="12" t="str">
        <f t="shared" si="31"/>
        <v>1985,'112490','TC0103_1'</v>
      </c>
      <c r="E986" s="12" t="str">
        <f t="shared" si="30"/>
        <v>INSERT INTO grupos (id,matricula,grupo) values (1985,'112490','TC0103_1');</v>
      </c>
    </row>
    <row r="987" spans="1:5" ht="43.5" x14ac:dyDescent="0.35">
      <c r="A987">
        <v>1986</v>
      </c>
      <c r="B987" t="s">
        <v>2728</v>
      </c>
      <c r="C987" t="s">
        <v>1784</v>
      </c>
      <c r="D987" s="12" t="str">
        <f t="shared" si="31"/>
        <v>1986,'112491','PSI 1°'</v>
      </c>
      <c r="E987" s="12" t="str">
        <f t="shared" si="30"/>
        <v>INSERT INTO grupos (id,matricula,grupo) values (1986,'112491','PSI 1°');</v>
      </c>
    </row>
    <row r="988" spans="1:5" ht="43.5" x14ac:dyDescent="0.35">
      <c r="A988">
        <v>1987</v>
      </c>
      <c r="B988" t="s">
        <v>2728</v>
      </c>
      <c r="C988" t="s">
        <v>2704</v>
      </c>
      <c r="D988" s="12" t="str">
        <f t="shared" si="31"/>
        <v>1987,'112491','TC0102_3'</v>
      </c>
      <c r="E988" s="12" t="str">
        <f t="shared" si="30"/>
        <v>INSERT INTO grupos (id,matricula,grupo) values (1987,'112491','TC0102_3');</v>
      </c>
    </row>
    <row r="989" spans="1:5" ht="43.5" x14ac:dyDescent="0.35">
      <c r="A989">
        <v>1988</v>
      </c>
      <c r="B989" t="s">
        <v>2728</v>
      </c>
      <c r="C989" t="s">
        <v>1807</v>
      </c>
      <c r="D989" s="12" t="str">
        <f t="shared" si="31"/>
        <v>1988,'112491','TC0103_1'</v>
      </c>
      <c r="E989" s="12" t="str">
        <f t="shared" si="30"/>
        <v>INSERT INTO grupos (id,matricula,grupo) values (1988,'112491','TC0103_1');</v>
      </c>
    </row>
    <row r="990" spans="1:5" ht="43.5" x14ac:dyDescent="0.35">
      <c r="A990">
        <v>1989</v>
      </c>
      <c r="B990" t="s">
        <v>2729</v>
      </c>
      <c r="C990" t="s">
        <v>1760</v>
      </c>
      <c r="D990" s="12" t="str">
        <f t="shared" si="31"/>
        <v>1989,'112492','ARQ 1°'</v>
      </c>
      <c r="E990" s="12" t="str">
        <f t="shared" si="30"/>
        <v>INSERT INTO grupos (id,matricula,grupo) values (1989,'112492','ARQ 1°');</v>
      </c>
    </row>
    <row r="991" spans="1:5" ht="43.5" x14ac:dyDescent="0.35">
      <c r="A991">
        <v>1990</v>
      </c>
      <c r="B991" t="s">
        <v>2729</v>
      </c>
      <c r="C991" t="s">
        <v>1816</v>
      </c>
      <c r="D991" s="12" t="str">
        <f t="shared" si="31"/>
        <v>1990,'112492','TC0101_1'</v>
      </c>
      <c r="E991" s="12" t="str">
        <f t="shared" si="30"/>
        <v>INSERT INTO grupos (id,matricula,grupo) values (1990,'112492','TC0101_1');</v>
      </c>
    </row>
    <row r="992" spans="1:5" ht="43.5" x14ac:dyDescent="0.35">
      <c r="A992">
        <v>1991</v>
      </c>
      <c r="B992" t="s">
        <v>2729</v>
      </c>
      <c r="C992" t="s">
        <v>1842</v>
      </c>
      <c r="D992" s="12" t="str">
        <f t="shared" si="31"/>
        <v>1991,'112492','TC0102_1'</v>
      </c>
      <c r="E992" s="12" t="str">
        <f t="shared" si="30"/>
        <v>INSERT INTO grupos (id,matricula,grupo) values (1991,'112492','TC0102_1');</v>
      </c>
    </row>
    <row r="993" spans="1:5" ht="43.5" x14ac:dyDescent="0.35">
      <c r="A993">
        <v>1992</v>
      </c>
      <c r="B993" t="s">
        <v>2730</v>
      </c>
      <c r="C993" t="s">
        <v>1773</v>
      </c>
      <c r="D993" s="12" t="str">
        <f t="shared" si="31"/>
        <v>1992,'112493','AUTO 1° B'</v>
      </c>
      <c r="E993" s="12" t="str">
        <f t="shared" si="30"/>
        <v>INSERT INTO grupos (id,matricula,grupo) values (1992,'112493','AUTO 1° B');</v>
      </c>
    </row>
    <row r="994" spans="1:5" ht="43.5" x14ac:dyDescent="0.35">
      <c r="A994">
        <v>1993</v>
      </c>
      <c r="B994" t="s">
        <v>2730</v>
      </c>
      <c r="C994" t="s">
        <v>2704</v>
      </c>
      <c r="D994" s="12" t="str">
        <f t="shared" si="31"/>
        <v>1993,'112493','TC0102_3'</v>
      </c>
      <c r="E994" s="12" t="str">
        <f t="shared" si="30"/>
        <v>INSERT INTO grupos (id,matricula,grupo) values (1993,'112493','TC0102_3');</v>
      </c>
    </row>
    <row r="995" spans="1:5" ht="43.5" x14ac:dyDescent="0.35">
      <c r="A995">
        <v>1994</v>
      </c>
      <c r="B995" t="s">
        <v>2730</v>
      </c>
      <c r="C995" t="s">
        <v>1807</v>
      </c>
      <c r="D995" s="12" t="str">
        <f t="shared" si="31"/>
        <v>1994,'112493','TC0103_1'</v>
      </c>
      <c r="E995" s="12" t="str">
        <f t="shared" si="30"/>
        <v>INSERT INTO grupos (id,matricula,grupo) values (1994,'112493','TC0103_1');</v>
      </c>
    </row>
    <row r="996" spans="1:5" ht="43.5" x14ac:dyDescent="0.35">
      <c r="A996">
        <v>1995</v>
      </c>
      <c r="B996" t="s">
        <v>2731</v>
      </c>
      <c r="C996" t="s">
        <v>1782</v>
      </c>
      <c r="D996" s="12" t="str">
        <f t="shared" si="31"/>
        <v>1995,'112494','AUTO 1° A'</v>
      </c>
      <c r="E996" s="12" t="str">
        <f t="shared" si="30"/>
        <v>INSERT INTO grupos (id,matricula,grupo) values (1995,'112494','AUTO 1° A');</v>
      </c>
    </row>
    <row r="997" spans="1:5" ht="43.5" x14ac:dyDescent="0.35">
      <c r="A997">
        <v>1996</v>
      </c>
      <c r="B997" t="s">
        <v>2731</v>
      </c>
      <c r="C997" t="s">
        <v>2498</v>
      </c>
      <c r="D997" s="12" t="str">
        <f t="shared" si="31"/>
        <v>1996,'112494','TC0102_4'</v>
      </c>
      <c r="E997" s="12" t="str">
        <f t="shared" si="30"/>
        <v>INSERT INTO grupos (id,matricula,grupo) values (1996,'112494','TC0102_4');</v>
      </c>
    </row>
    <row r="998" spans="1:5" ht="43.5" x14ac:dyDescent="0.35">
      <c r="A998">
        <v>1997</v>
      </c>
      <c r="B998" t="s">
        <v>2731</v>
      </c>
      <c r="C998" t="s">
        <v>1808</v>
      </c>
      <c r="D998" s="12" t="str">
        <f t="shared" si="31"/>
        <v>1997,'112494','TC0103_2'</v>
      </c>
      <c r="E998" s="12" t="str">
        <f t="shared" si="30"/>
        <v>INSERT INTO grupos (id,matricula,grupo) values (1997,'112494','TC0103_2');</v>
      </c>
    </row>
    <row r="999" spans="1:5" ht="43.5" x14ac:dyDescent="0.35">
      <c r="A999">
        <v>1998</v>
      </c>
      <c r="B999" t="s">
        <v>2732</v>
      </c>
      <c r="C999" t="s">
        <v>1783</v>
      </c>
      <c r="D999" s="12" t="str">
        <f t="shared" si="31"/>
        <v>1998,'112495','AERO 1°A'</v>
      </c>
      <c r="E999" s="12" t="str">
        <f t="shared" si="30"/>
        <v>INSERT INTO grupos (id,matricula,grupo) values (1998,'112495','AERO 1°A');</v>
      </c>
    </row>
    <row r="1000" spans="1:5" ht="43.5" x14ac:dyDescent="0.35">
      <c r="A1000">
        <v>1999</v>
      </c>
      <c r="B1000" t="s">
        <v>2732</v>
      </c>
      <c r="C1000" t="s">
        <v>1817</v>
      </c>
      <c r="D1000" s="12" t="str">
        <f t="shared" si="31"/>
        <v>1999,'112495','TC0101_2'</v>
      </c>
      <c r="E1000" s="12" t="str">
        <f t="shared" si="30"/>
        <v>INSERT INTO grupos (id,matricula,grupo) values (1999,'112495','TC0101_2');</v>
      </c>
    </row>
    <row r="1001" spans="1:5" ht="43.5" x14ac:dyDescent="0.35">
      <c r="A1001">
        <v>2000</v>
      </c>
      <c r="B1001" t="s">
        <v>2732</v>
      </c>
      <c r="C1001" t="s">
        <v>1843</v>
      </c>
      <c r="D1001" s="12" t="str">
        <f t="shared" si="31"/>
        <v>2000,'112495','TC0102_2'</v>
      </c>
      <c r="E1001" s="12" t="str">
        <f t="shared" si="30"/>
        <v>INSERT INTO grupos (id,matricula,grupo) values (2000,'112495','TC0102_2');</v>
      </c>
    </row>
    <row r="1002" spans="1:5" ht="43.5" x14ac:dyDescent="0.35">
      <c r="A1002">
        <v>2001</v>
      </c>
      <c r="B1002" t="s">
        <v>2733</v>
      </c>
      <c r="C1002" t="s">
        <v>1773</v>
      </c>
      <c r="D1002" s="12" t="str">
        <f t="shared" si="31"/>
        <v>2001,'112496','AUTO 1° B'</v>
      </c>
      <c r="E1002" s="12" t="str">
        <f t="shared" si="30"/>
        <v>INSERT INTO grupos (id,matricula,grupo) values (2001,'112496','AUTO 1° B');</v>
      </c>
    </row>
    <row r="1003" spans="1:5" ht="43.5" x14ac:dyDescent="0.35">
      <c r="A1003">
        <v>2002</v>
      </c>
      <c r="B1003" t="s">
        <v>2733</v>
      </c>
      <c r="C1003" t="s">
        <v>2704</v>
      </c>
      <c r="D1003" s="12" t="str">
        <f t="shared" si="31"/>
        <v>2002,'112496','TC0102_3'</v>
      </c>
      <c r="E1003" s="12" t="str">
        <f t="shared" si="30"/>
        <v>INSERT INTO grupos (id,matricula,grupo) values (2002,'112496','TC0102_3');</v>
      </c>
    </row>
    <row r="1004" spans="1:5" ht="43.5" x14ac:dyDescent="0.35">
      <c r="A1004">
        <v>2003</v>
      </c>
      <c r="B1004" t="s">
        <v>2733</v>
      </c>
      <c r="C1004" t="s">
        <v>1807</v>
      </c>
      <c r="D1004" s="12" t="str">
        <f t="shared" si="31"/>
        <v>2003,'112496','TC0103_1'</v>
      </c>
      <c r="E1004" s="12" t="str">
        <f t="shared" si="30"/>
        <v>INSERT INTO grupos (id,matricula,grupo) values (2003,'112496','TC0103_1');</v>
      </c>
    </row>
    <row r="1005" spans="1:5" ht="43.5" x14ac:dyDescent="0.35">
      <c r="A1005">
        <v>2004</v>
      </c>
      <c r="B1005" t="s">
        <v>2734</v>
      </c>
      <c r="C1005" t="s">
        <v>1783</v>
      </c>
      <c r="D1005" s="12" t="str">
        <f t="shared" si="31"/>
        <v>2004,'112497','AERO 1°A'</v>
      </c>
      <c r="E1005" s="12" t="str">
        <f t="shared" si="30"/>
        <v>INSERT INTO grupos (id,matricula,grupo) values (2004,'112497','AERO 1°A');</v>
      </c>
    </row>
    <row r="1006" spans="1:5" ht="43.5" x14ac:dyDescent="0.35">
      <c r="A1006">
        <v>2005</v>
      </c>
      <c r="B1006" t="s">
        <v>2734</v>
      </c>
      <c r="C1006" t="s">
        <v>1816</v>
      </c>
      <c r="D1006" s="12" t="str">
        <f t="shared" si="31"/>
        <v>2005,'112497','TC0101_1'</v>
      </c>
      <c r="E1006" s="12" t="str">
        <f t="shared" si="30"/>
        <v>INSERT INTO grupos (id,matricula,grupo) values (2005,'112497','TC0101_1');</v>
      </c>
    </row>
    <row r="1007" spans="1:5" ht="43.5" x14ac:dyDescent="0.35">
      <c r="A1007">
        <v>2006</v>
      </c>
      <c r="B1007" t="s">
        <v>2734</v>
      </c>
      <c r="C1007" t="s">
        <v>1842</v>
      </c>
      <c r="D1007" s="12" t="str">
        <f t="shared" si="31"/>
        <v>2006,'112497','TC0102_1'</v>
      </c>
      <c r="E1007" s="12" t="str">
        <f t="shared" si="30"/>
        <v>INSERT INTO grupos (id,matricula,grupo) values (2006,'112497','TC0102_1');</v>
      </c>
    </row>
    <row r="1008" spans="1:5" ht="43.5" x14ac:dyDescent="0.35">
      <c r="A1008">
        <v>2007</v>
      </c>
      <c r="B1008" t="s">
        <v>2735</v>
      </c>
      <c r="C1008" t="s">
        <v>1760</v>
      </c>
      <c r="D1008" s="12" t="str">
        <f t="shared" si="31"/>
        <v>2007,'112498','ARQ 1°'</v>
      </c>
      <c r="E1008" s="12" t="str">
        <f t="shared" si="30"/>
        <v>INSERT INTO grupos (id,matricula,grupo) values (2007,'112498','ARQ 1°');</v>
      </c>
    </row>
    <row r="1009" spans="1:5" ht="43.5" x14ac:dyDescent="0.35">
      <c r="A1009">
        <v>2008</v>
      </c>
      <c r="B1009" t="s">
        <v>2735</v>
      </c>
      <c r="C1009" t="s">
        <v>1817</v>
      </c>
      <c r="D1009" s="12" t="str">
        <f t="shared" si="31"/>
        <v>2008,'112498','TC0101_2'</v>
      </c>
      <c r="E1009" s="12" t="str">
        <f t="shared" si="30"/>
        <v>INSERT INTO grupos (id,matricula,grupo) values (2008,'112498','TC0101_2');</v>
      </c>
    </row>
    <row r="1010" spans="1:5" ht="43.5" x14ac:dyDescent="0.35">
      <c r="A1010">
        <v>2009</v>
      </c>
      <c r="B1010" t="s">
        <v>2735</v>
      </c>
      <c r="C1010" t="s">
        <v>1843</v>
      </c>
      <c r="D1010" s="12" t="str">
        <f t="shared" si="31"/>
        <v>2009,'112498','TC0102_2'</v>
      </c>
      <c r="E1010" s="12" t="str">
        <f t="shared" si="30"/>
        <v>INSERT INTO grupos (id,matricula,grupo) values (2009,'112498','TC0102_2');</v>
      </c>
    </row>
    <row r="1011" spans="1:5" ht="43.5" x14ac:dyDescent="0.35">
      <c r="A1011">
        <v>2010</v>
      </c>
      <c r="B1011" t="s">
        <v>2736</v>
      </c>
      <c r="C1011" t="s">
        <v>1782</v>
      </c>
      <c r="D1011" s="12" t="str">
        <f t="shared" si="31"/>
        <v>2010,'112499','AUTO 1° A'</v>
      </c>
      <c r="E1011" s="12" t="str">
        <f t="shared" si="30"/>
        <v>INSERT INTO grupos (id,matricula,grupo) values (2010,'112499','AUTO 1° A');</v>
      </c>
    </row>
    <row r="1012" spans="1:5" ht="43.5" x14ac:dyDescent="0.35">
      <c r="A1012">
        <v>2011</v>
      </c>
      <c r="B1012" t="s">
        <v>2736</v>
      </c>
      <c r="C1012" t="s">
        <v>2498</v>
      </c>
      <c r="D1012" s="12" t="str">
        <f t="shared" si="31"/>
        <v>2011,'112499','TC0102_4'</v>
      </c>
      <c r="E1012" s="12" t="str">
        <f t="shared" si="30"/>
        <v>INSERT INTO grupos (id,matricula,grupo) values (2011,'112499','TC0102_4');</v>
      </c>
    </row>
    <row r="1013" spans="1:5" ht="43.5" x14ac:dyDescent="0.35">
      <c r="A1013">
        <v>2012</v>
      </c>
      <c r="B1013" t="s">
        <v>2736</v>
      </c>
      <c r="C1013" t="s">
        <v>1808</v>
      </c>
      <c r="D1013" s="12" t="str">
        <f t="shared" si="31"/>
        <v>2012,'112499','TC0103_2'</v>
      </c>
      <c r="E1013" s="12" t="str">
        <f t="shared" si="30"/>
        <v>INSERT INTO grupos (id,matricula,grupo) values (2012,'112499','TC0103_2');</v>
      </c>
    </row>
    <row r="1014" spans="1:5" ht="43.5" x14ac:dyDescent="0.35">
      <c r="A1014">
        <v>2013</v>
      </c>
      <c r="B1014" t="s">
        <v>2737</v>
      </c>
      <c r="C1014" t="s">
        <v>1784</v>
      </c>
      <c r="D1014" s="12" t="str">
        <f t="shared" si="31"/>
        <v>2013,'112500','PSI 1°'</v>
      </c>
      <c r="E1014" s="12" t="str">
        <f t="shared" si="30"/>
        <v>INSERT INTO grupos (id,matricula,grupo) values (2013,'112500','PSI 1°');</v>
      </c>
    </row>
    <row r="1015" spans="1:5" ht="43.5" x14ac:dyDescent="0.35">
      <c r="A1015">
        <v>2014</v>
      </c>
      <c r="B1015" t="s">
        <v>2737</v>
      </c>
      <c r="C1015" t="s">
        <v>2704</v>
      </c>
      <c r="D1015" s="12" t="str">
        <f t="shared" si="31"/>
        <v>2014,'112500','TC0102_3'</v>
      </c>
      <c r="E1015" s="12" t="str">
        <f t="shared" si="30"/>
        <v>INSERT INTO grupos (id,matricula,grupo) values (2014,'112500','TC0102_3');</v>
      </c>
    </row>
    <row r="1016" spans="1:5" ht="43.5" x14ac:dyDescent="0.35">
      <c r="A1016">
        <v>2015</v>
      </c>
      <c r="B1016" t="s">
        <v>2737</v>
      </c>
      <c r="C1016" t="s">
        <v>1807</v>
      </c>
      <c r="D1016" s="12" t="str">
        <f t="shared" si="31"/>
        <v>2015,'112500','TC0103_1'</v>
      </c>
      <c r="E1016" s="12" t="str">
        <f t="shared" si="30"/>
        <v>INSERT INTO grupos (id,matricula,grupo) values (2015,'112500','TC0103_1');</v>
      </c>
    </row>
    <row r="1017" spans="1:5" ht="43.5" x14ac:dyDescent="0.35">
      <c r="A1017">
        <v>2016</v>
      </c>
      <c r="B1017" t="s">
        <v>2738</v>
      </c>
      <c r="C1017" t="s">
        <v>1783</v>
      </c>
      <c r="D1017" s="12" t="str">
        <f t="shared" si="31"/>
        <v>2016,'112501','AERO 1°A'</v>
      </c>
      <c r="E1017" s="12" t="str">
        <f t="shared" si="30"/>
        <v>INSERT INTO grupos (id,matricula,grupo) values (2016,'112501','AERO 1°A');</v>
      </c>
    </row>
    <row r="1018" spans="1:5" ht="43.5" x14ac:dyDescent="0.35">
      <c r="A1018">
        <v>2017</v>
      </c>
      <c r="B1018" t="s">
        <v>2738</v>
      </c>
      <c r="C1018" t="s">
        <v>1816</v>
      </c>
      <c r="D1018" s="12" t="str">
        <f t="shared" si="31"/>
        <v>2017,'112501','TC0101_1'</v>
      </c>
      <c r="E1018" s="12" t="str">
        <f t="shared" si="30"/>
        <v>INSERT INTO grupos (id,matricula,grupo) values (2017,'112501','TC0101_1');</v>
      </c>
    </row>
    <row r="1019" spans="1:5" ht="43.5" x14ac:dyDescent="0.35">
      <c r="A1019">
        <v>2018</v>
      </c>
      <c r="B1019" t="s">
        <v>2738</v>
      </c>
      <c r="C1019" t="s">
        <v>1842</v>
      </c>
      <c r="D1019" s="12" t="str">
        <f t="shared" si="31"/>
        <v>2018,'112501','TC0102_1'</v>
      </c>
      <c r="E1019" s="12" t="str">
        <f t="shared" si="30"/>
        <v>INSERT INTO grupos (id,matricula,grupo) values (2018,'112501','TC0102_1');</v>
      </c>
    </row>
    <row r="1020" spans="1:5" ht="43.5" x14ac:dyDescent="0.35">
      <c r="A1020">
        <v>2019</v>
      </c>
      <c r="B1020" t="s">
        <v>2739</v>
      </c>
      <c r="C1020" t="s">
        <v>1760</v>
      </c>
      <c r="D1020" s="12" t="str">
        <f t="shared" si="31"/>
        <v>2019,'112502','ARQ 1°'</v>
      </c>
      <c r="E1020" s="12" t="str">
        <f t="shared" si="30"/>
        <v>INSERT INTO grupos (id,matricula,grupo) values (2019,'112502','ARQ 1°');</v>
      </c>
    </row>
    <row r="1021" spans="1:5" ht="43.5" x14ac:dyDescent="0.35">
      <c r="A1021">
        <v>2020</v>
      </c>
      <c r="B1021" t="s">
        <v>2739</v>
      </c>
      <c r="C1021" t="s">
        <v>1817</v>
      </c>
      <c r="D1021" s="12" t="str">
        <f t="shared" si="31"/>
        <v>2020,'112502','TC0101_2'</v>
      </c>
      <c r="E1021" s="12" t="str">
        <f t="shared" si="30"/>
        <v>INSERT INTO grupos (id,matricula,grupo) values (2020,'112502','TC0101_2');</v>
      </c>
    </row>
    <row r="1022" spans="1:5" ht="43.5" x14ac:dyDescent="0.35">
      <c r="A1022">
        <v>2021</v>
      </c>
      <c r="B1022" t="s">
        <v>2739</v>
      </c>
      <c r="C1022" t="s">
        <v>1843</v>
      </c>
      <c r="D1022" s="12" t="str">
        <f t="shared" si="31"/>
        <v>2021,'112502','TC0102_2'</v>
      </c>
      <c r="E1022" s="12" t="str">
        <f t="shared" si="30"/>
        <v>INSERT INTO grupos (id,matricula,grupo) values (2021,'112502','TC0102_2');</v>
      </c>
    </row>
    <row r="1023" spans="1:5" ht="43.5" x14ac:dyDescent="0.35">
      <c r="A1023">
        <v>2022</v>
      </c>
      <c r="B1023" t="s">
        <v>2740</v>
      </c>
      <c r="C1023" t="s">
        <v>1783</v>
      </c>
      <c r="D1023" s="12" t="str">
        <f t="shared" si="31"/>
        <v>2022,'112503','AERO 1°A'</v>
      </c>
      <c r="E1023" s="12" t="str">
        <f t="shared" si="30"/>
        <v>INSERT INTO grupos (id,matricula,grupo) values (2022,'112503','AERO 1°A');</v>
      </c>
    </row>
    <row r="1024" spans="1:5" ht="43.5" x14ac:dyDescent="0.35">
      <c r="A1024">
        <v>2023</v>
      </c>
      <c r="B1024" t="s">
        <v>2740</v>
      </c>
      <c r="C1024" t="s">
        <v>1816</v>
      </c>
      <c r="D1024" s="12" t="str">
        <f t="shared" si="31"/>
        <v>2023,'112503','TC0101_1'</v>
      </c>
      <c r="E1024" s="12" t="str">
        <f t="shared" si="30"/>
        <v>INSERT INTO grupos (id,matricula,grupo) values (2023,'112503','TC0101_1');</v>
      </c>
    </row>
    <row r="1025" spans="1:5" ht="43.5" x14ac:dyDescent="0.35">
      <c r="A1025">
        <v>2024</v>
      </c>
      <c r="B1025" t="s">
        <v>2740</v>
      </c>
      <c r="C1025" t="s">
        <v>1842</v>
      </c>
      <c r="D1025" s="12" t="str">
        <f t="shared" si="31"/>
        <v>2024,'112503','TC0102_1'</v>
      </c>
      <c r="E1025" s="12" t="str">
        <f t="shared" si="30"/>
        <v>INSERT INTO grupos (id,matricula,grupo) values (2024,'112503','TC0102_1');</v>
      </c>
    </row>
    <row r="1026" spans="1:5" ht="43.5" x14ac:dyDescent="0.35">
      <c r="A1026">
        <v>2025</v>
      </c>
      <c r="B1026" t="s">
        <v>2741</v>
      </c>
      <c r="C1026" t="s">
        <v>1760</v>
      </c>
      <c r="D1026" s="12" t="str">
        <f t="shared" si="31"/>
        <v>2025,'112504','ARQ 1°'</v>
      </c>
      <c r="E1026" s="12" t="str">
        <f t="shared" ref="E1026:E1089" si="32">CONCATENATE($D$1,D1026,");")</f>
        <v>INSERT INTO grupos (id,matricula,grupo) values (2025,'112504','ARQ 1°');</v>
      </c>
    </row>
    <row r="1027" spans="1:5" ht="43.5" x14ac:dyDescent="0.35">
      <c r="A1027">
        <v>2026</v>
      </c>
      <c r="B1027" t="s">
        <v>2741</v>
      </c>
      <c r="C1027" t="s">
        <v>1817</v>
      </c>
      <c r="D1027" s="12" t="str">
        <f t="shared" ref="D1027:D1090" si="33">CONCATENATE(A1027,",'",TRIM(B1027),"','",C1027,"'")</f>
        <v>2026,'112504','TC0101_2'</v>
      </c>
      <c r="E1027" s="12" t="str">
        <f t="shared" si="32"/>
        <v>INSERT INTO grupos (id,matricula,grupo) values (2026,'112504','TC0101_2');</v>
      </c>
    </row>
    <row r="1028" spans="1:5" ht="43.5" x14ac:dyDescent="0.35">
      <c r="A1028">
        <v>2027</v>
      </c>
      <c r="B1028" t="s">
        <v>2741</v>
      </c>
      <c r="C1028" t="s">
        <v>1843</v>
      </c>
      <c r="D1028" s="12" t="str">
        <f t="shared" si="33"/>
        <v>2027,'112504','TC0102_2'</v>
      </c>
      <c r="E1028" s="12" t="str">
        <f t="shared" si="32"/>
        <v>INSERT INTO grupos (id,matricula,grupo) values (2027,'112504','TC0102_2');</v>
      </c>
    </row>
    <row r="1029" spans="1:5" ht="43.5" x14ac:dyDescent="0.35">
      <c r="A1029">
        <v>2028</v>
      </c>
      <c r="B1029" t="s">
        <v>2742</v>
      </c>
      <c r="C1029" t="s">
        <v>1760</v>
      </c>
      <c r="D1029" s="12" t="str">
        <f t="shared" si="33"/>
        <v>2028,'112505','ARQ 1°'</v>
      </c>
      <c r="E1029" s="12" t="str">
        <f t="shared" si="32"/>
        <v>INSERT INTO grupos (id,matricula,grupo) values (2028,'112505','ARQ 1°');</v>
      </c>
    </row>
    <row r="1030" spans="1:5" ht="43.5" x14ac:dyDescent="0.35">
      <c r="A1030">
        <v>2029</v>
      </c>
      <c r="B1030" t="s">
        <v>2742</v>
      </c>
      <c r="C1030" t="s">
        <v>1816</v>
      </c>
      <c r="D1030" s="12" t="str">
        <f t="shared" si="33"/>
        <v>2029,'112505','TC0101_1'</v>
      </c>
      <c r="E1030" s="12" t="str">
        <f t="shared" si="32"/>
        <v>INSERT INTO grupos (id,matricula,grupo) values (2029,'112505','TC0101_1');</v>
      </c>
    </row>
    <row r="1031" spans="1:5" ht="43.5" x14ac:dyDescent="0.35">
      <c r="A1031">
        <v>2030</v>
      </c>
      <c r="B1031" t="s">
        <v>2742</v>
      </c>
      <c r="C1031" t="s">
        <v>1842</v>
      </c>
      <c r="D1031" s="12" t="str">
        <f t="shared" si="33"/>
        <v>2030,'112505','TC0102_1'</v>
      </c>
      <c r="E1031" s="12" t="str">
        <f t="shared" si="32"/>
        <v>INSERT INTO grupos (id,matricula,grupo) values (2030,'112505','TC0102_1');</v>
      </c>
    </row>
    <row r="1032" spans="1:5" ht="43.5" x14ac:dyDescent="0.35">
      <c r="A1032">
        <v>2031</v>
      </c>
      <c r="B1032" t="s">
        <v>2743</v>
      </c>
      <c r="C1032" t="s">
        <v>1783</v>
      </c>
      <c r="D1032" s="12" t="str">
        <f t="shared" si="33"/>
        <v>2031,'112506','AERO 1°A'</v>
      </c>
      <c r="E1032" s="12" t="str">
        <f t="shared" si="32"/>
        <v>INSERT INTO grupos (id,matricula,grupo) values (2031,'112506','AERO 1°A');</v>
      </c>
    </row>
    <row r="1033" spans="1:5" ht="43.5" x14ac:dyDescent="0.35">
      <c r="A1033">
        <v>2032</v>
      </c>
      <c r="B1033" t="s">
        <v>2743</v>
      </c>
      <c r="C1033" t="s">
        <v>1817</v>
      </c>
      <c r="D1033" s="12" t="str">
        <f t="shared" si="33"/>
        <v>2032,'112506','TC0101_2'</v>
      </c>
      <c r="E1033" s="12" t="str">
        <f t="shared" si="32"/>
        <v>INSERT INTO grupos (id,matricula,grupo) values (2032,'112506','TC0101_2');</v>
      </c>
    </row>
    <row r="1034" spans="1:5" ht="43.5" x14ac:dyDescent="0.35">
      <c r="A1034">
        <v>2033</v>
      </c>
      <c r="B1034" t="s">
        <v>2743</v>
      </c>
      <c r="C1034" t="s">
        <v>1843</v>
      </c>
      <c r="D1034" s="12" t="str">
        <f t="shared" si="33"/>
        <v>2033,'112506','TC0102_2'</v>
      </c>
      <c r="E1034" s="12" t="str">
        <f t="shared" si="32"/>
        <v>INSERT INTO grupos (id,matricula,grupo) values (2033,'112506','TC0102_2');</v>
      </c>
    </row>
    <row r="1035" spans="1:5" ht="43.5" x14ac:dyDescent="0.35">
      <c r="A1035">
        <v>2034</v>
      </c>
      <c r="B1035" t="s">
        <v>2744</v>
      </c>
      <c r="C1035" t="s">
        <v>1773</v>
      </c>
      <c r="D1035" s="12" t="str">
        <f t="shared" si="33"/>
        <v>2034,'112507','AUTO 1° B'</v>
      </c>
      <c r="E1035" s="12" t="str">
        <f t="shared" si="32"/>
        <v>INSERT INTO grupos (id,matricula,grupo) values (2034,'112507','AUTO 1° B');</v>
      </c>
    </row>
    <row r="1036" spans="1:5" ht="43.5" x14ac:dyDescent="0.35">
      <c r="A1036">
        <v>2035</v>
      </c>
      <c r="B1036" t="s">
        <v>2744</v>
      </c>
      <c r="C1036" t="s">
        <v>2498</v>
      </c>
      <c r="D1036" s="12" t="str">
        <f t="shared" si="33"/>
        <v>2035,'112507','TC0102_4'</v>
      </c>
      <c r="E1036" s="12" t="str">
        <f t="shared" si="32"/>
        <v>INSERT INTO grupos (id,matricula,grupo) values (2035,'112507','TC0102_4');</v>
      </c>
    </row>
    <row r="1037" spans="1:5" ht="43.5" x14ac:dyDescent="0.35">
      <c r="A1037">
        <v>2036</v>
      </c>
      <c r="B1037" t="s">
        <v>2744</v>
      </c>
      <c r="C1037" t="s">
        <v>1808</v>
      </c>
      <c r="D1037" s="12" t="str">
        <f t="shared" si="33"/>
        <v>2036,'112507','TC0103_2'</v>
      </c>
      <c r="E1037" s="12" t="str">
        <f t="shared" si="32"/>
        <v>INSERT INTO grupos (id,matricula,grupo) values (2036,'112507','TC0103_2');</v>
      </c>
    </row>
    <row r="1038" spans="1:5" ht="43.5" x14ac:dyDescent="0.35">
      <c r="A1038">
        <v>2037</v>
      </c>
      <c r="B1038" t="s">
        <v>2745</v>
      </c>
      <c r="C1038" t="s">
        <v>1760</v>
      </c>
      <c r="D1038" s="12" t="str">
        <f t="shared" si="33"/>
        <v>2037,'112508','ARQ 1°'</v>
      </c>
      <c r="E1038" s="12" t="str">
        <f t="shared" si="32"/>
        <v>INSERT INTO grupos (id,matricula,grupo) values (2037,'112508','ARQ 1°');</v>
      </c>
    </row>
    <row r="1039" spans="1:5" ht="43.5" x14ac:dyDescent="0.35">
      <c r="A1039">
        <v>2038</v>
      </c>
      <c r="B1039" t="s">
        <v>2745</v>
      </c>
      <c r="C1039" t="s">
        <v>1816</v>
      </c>
      <c r="D1039" s="12" t="str">
        <f t="shared" si="33"/>
        <v>2038,'112508','TC0101_1'</v>
      </c>
      <c r="E1039" s="12" t="str">
        <f t="shared" si="32"/>
        <v>INSERT INTO grupos (id,matricula,grupo) values (2038,'112508','TC0101_1');</v>
      </c>
    </row>
    <row r="1040" spans="1:5" ht="43.5" x14ac:dyDescent="0.35">
      <c r="A1040">
        <v>2039</v>
      </c>
      <c r="B1040" t="s">
        <v>2745</v>
      </c>
      <c r="C1040" t="s">
        <v>1842</v>
      </c>
      <c r="D1040" s="12" t="str">
        <f t="shared" si="33"/>
        <v>2039,'112508','TC0102_1'</v>
      </c>
      <c r="E1040" s="12" t="str">
        <f t="shared" si="32"/>
        <v>INSERT INTO grupos (id,matricula,grupo) values (2039,'112508','TC0102_1');</v>
      </c>
    </row>
    <row r="1041" spans="1:5" ht="43.5" x14ac:dyDescent="0.35">
      <c r="A1041">
        <v>2040</v>
      </c>
      <c r="B1041" t="s">
        <v>2746</v>
      </c>
      <c r="C1041" t="s">
        <v>1784</v>
      </c>
      <c r="D1041" s="12" t="str">
        <f t="shared" si="33"/>
        <v>2040,'112509','PSI 1°'</v>
      </c>
      <c r="E1041" s="12" t="str">
        <f t="shared" si="32"/>
        <v>INSERT INTO grupos (id,matricula,grupo) values (2040,'112509','PSI 1°');</v>
      </c>
    </row>
    <row r="1042" spans="1:5" ht="43.5" x14ac:dyDescent="0.35">
      <c r="A1042">
        <v>2041</v>
      </c>
      <c r="B1042" t="s">
        <v>2746</v>
      </c>
      <c r="C1042" t="s">
        <v>2704</v>
      </c>
      <c r="D1042" s="12" t="str">
        <f t="shared" si="33"/>
        <v>2041,'112509','TC0102_3'</v>
      </c>
      <c r="E1042" s="12" t="str">
        <f t="shared" si="32"/>
        <v>INSERT INTO grupos (id,matricula,grupo) values (2041,'112509','TC0102_3');</v>
      </c>
    </row>
    <row r="1043" spans="1:5" ht="43.5" x14ac:dyDescent="0.35">
      <c r="A1043">
        <v>2042</v>
      </c>
      <c r="B1043" t="s">
        <v>2746</v>
      </c>
      <c r="C1043" t="s">
        <v>1807</v>
      </c>
      <c r="D1043" s="12" t="str">
        <f t="shared" si="33"/>
        <v>2042,'112509','TC0103_1'</v>
      </c>
      <c r="E1043" s="12" t="str">
        <f t="shared" si="32"/>
        <v>INSERT INTO grupos (id,matricula,grupo) values (2042,'112509','TC0103_1');</v>
      </c>
    </row>
    <row r="1044" spans="1:5" ht="43.5" x14ac:dyDescent="0.35">
      <c r="A1044">
        <v>2043</v>
      </c>
      <c r="B1044" t="s">
        <v>2747</v>
      </c>
      <c r="C1044" t="s">
        <v>1773</v>
      </c>
      <c r="D1044" s="12" t="str">
        <f t="shared" si="33"/>
        <v>2043,'112510','AUTO 1° B'</v>
      </c>
      <c r="E1044" s="12" t="str">
        <f t="shared" si="32"/>
        <v>INSERT INTO grupos (id,matricula,grupo) values (2043,'112510','AUTO 1° B');</v>
      </c>
    </row>
    <row r="1045" spans="1:5" ht="43.5" x14ac:dyDescent="0.35">
      <c r="A1045">
        <v>2044</v>
      </c>
      <c r="B1045" t="s">
        <v>2747</v>
      </c>
      <c r="C1045" t="s">
        <v>1808</v>
      </c>
      <c r="D1045" s="12" t="str">
        <f t="shared" si="33"/>
        <v>2044,'112510','TC0103_2'</v>
      </c>
      <c r="E1045" s="12" t="str">
        <f t="shared" si="32"/>
        <v>INSERT INTO grupos (id,matricula,grupo) values (2044,'112510','TC0103_2');</v>
      </c>
    </row>
    <row r="1046" spans="1:5" ht="43.5" x14ac:dyDescent="0.35">
      <c r="A1046">
        <v>2045</v>
      </c>
      <c r="B1046" t="s">
        <v>2748</v>
      </c>
      <c r="C1046" t="s">
        <v>1782</v>
      </c>
      <c r="D1046" s="12" t="str">
        <f t="shared" si="33"/>
        <v>2045,'112511','AUTO 1° A'</v>
      </c>
      <c r="E1046" s="12" t="str">
        <f t="shared" si="32"/>
        <v>INSERT INTO grupos (id,matricula,grupo) values (2045,'112511','AUTO 1° A');</v>
      </c>
    </row>
    <row r="1047" spans="1:5" ht="43.5" x14ac:dyDescent="0.35">
      <c r="A1047">
        <v>2046</v>
      </c>
      <c r="B1047" t="s">
        <v>2748</v>
      </c>
      <c r="C1047" t="s">
        <v>2704</v>
      </c>
      <c r="D1047" s="12" t="str">
        <f t="shared" si="33"/>
        <v>2046,'112511','TC0102_3'</v>
      </c>
      <c r="E1047" s="12" t="str">
        <f t="shared" si="32"/>
        <v>INSERT INTO grupos (id,matricula,grupo) values (2046,'112511','TC0102_3');</v>
      </c>
    </row>
    <row r="1048" spans="1:5" ht="43.5" x14ac:dyDescent="0.35">
      <c r="A1048">
        <v>2047</v>
      </c>
      <c r="B1048" t="s">
        <v>2748</v>
      </c>
      <c r="C1048" t="s">
        <v>1807</v>
      </c>
      <c r="D1048" s="12" t="str">
        <f t="shared" si="33"/>
        <v>2047,'112511','TC0103_1'</v>
      </c>
      <c r="E1048" s="12" t="str">
        <f t="shared" si="32"/>
        <v>INSERT INTO grupos (id,matricula,grupo) values (2047,'112511','TC0103_1');</v>
      </c>
    </row>
    <row r="1049" spans="1:5" ht="43.5" x14ac:dyDescent="0.35">
      <c r="A1049">
        <v>2048</v>
      </c>
      <c r="B1049" t="s">
        <v>2749</v>
      </c>
      <c r="C1049" t="s">
        <v>1782</v>
      </c>
      <c r="D1049" s="12" t="str">
        <f t="shared" si="33"/>
        <v>2048,'112512','AUTO 1° A'</v>
      </c>
      <c r="E1049" s="12" t="str">
        <f t="shared" si="32"/>
        <v>INSERT INTO grupos (id,matricula,grupo) values (2048,'112512','AUTO 1° A');</v>
      </c>
    </row>
    <row r="1050" spans="1:5" ht="43.5" x14ac:dyDescent="0.35">
      <c r="A1050">
        <v>2049</v>
      </c>
      <c r="B1050" t="s">
        <v>2749</v>
      </c>
      <c r="C1050" t="s">
        <v>2498</v>
      </c>
      <c r="D1050" s="12" t="str">
        <f t="shared" si="33"/>
        <v>2049,'112512','TC0102_4'</v>
      </c>
      <c r="E1050" s="12" t="str">
        <f t="shared" si="32"/>
        <v>INSERT INTO grupos (id,matricula,grupo) values (2049,'112512','TC0102_4');</v>
      </c>
    </row>
    <row r="1051" spans="1:5" ht="43.5" x14ac:dyDescent="0.35">
      <c r="A1051">
        <v>2050</v>
      </c>
      <c r="B1051" t="s">
        <v>2749</v>
      </c>
      <c r="C1051" t="s">
        <v>1808</v>
      </c>
      <c r="D1051" s="12" t="str">
        <f t="shared" si="33"/>
        <v>2050,'112512','TC0103_2'</v>
      </c>
      <c r="E1051" s="12" t="str">
        <f t="shared" si="32"/>
        <v>INSERT INTO grupos (id,matricula,grupo) values (2050,'112512','TC0103_2');</v>
      </c>
    </row>
    <row r="1052" spans="1:5" ht="43.5" x14ac:dyDescent="0.35">
      <c r="A1052">
        <v>2051</v>
      </c>
      <c r="B1052" t="s">
        <v>2750</v>
      </c>
      <c r="C1052" t="s">
        <v>1783</v>
      </c>
      <c r="D1052" s="12" t="str">
        <f t="shared" si="33"/>
        <v>2051,'112513','AERO 1°A'</v>
      </c>
      <c r="E1052" s="12" t="str">
        <f t="shared" si="32"/>
        <v>INSERT INTO grupos (id,matricula,grupo) values (2051,'112513','AERO 1°A');</v>
      </c>
    </row>
    <row r="1053" spans="1:5" ht="43.5" x14ac:dyDescent="0.35">
      <c r="A1053">
        <v>2052</v>
      </c>
      <c r="B1053" t="s">
        <v>2750</v>
      </c>
      <c r="C1053" t="s">
        <v>1817</v>
      </c>
      <c r="D1053" s="12" t="str">
        <f t="shared" si="33"/>
        <v>2052,'112513','TC0101_2'</v>
      </c>
      <c r="E1053" s="12" t="str">
        <f t="shared" si="32"/>
        <v>INSERT INTO grupos (id,matricula,grupo) values (2052,'112513','TC0101_2');</v>
      </c>
    </row>
    <row r="1054" spans="1:5" ht="43.5" x14ac:dyDescent="0.35">
      <c r="A1054">
        <v>2053</v>
      </c>
      <c r="B1054" t="s">
        <v>2750</v>
      </c>
      <c r="C1054" t="s">
        <v>1843</v>
      </c>
      <c r="D1054" s="12" t="str">
        <f t="shared" si="33"/>
        <v>2053,'112513','TC0102_2'</v>
      </c>
      <c r="E1054" s="12" t="str">
        <f t="shared" si="32"/>
        <v>INSERT INTO grupos (id,matricula,grupo) values (2053,'112513','TC0102_2');</v>
      </c>
    </row>
    <row r="1055" spans="1:5" ht="43.5" x14ac:dyDescent="0.35">
      <c r="A1055">
        <v>2054</v>
      </c>
      <c r="B1055" t="s">
        <v>2751</v>
      </c>
      <c r="C1055" t="s">
        <v>1783</v>
      </c>
      <c r="D1055" s="12" t="str">
        <f t="shared" si="33"/>
        <v>2054,'112514','AERO 1°A'</v>
      </c>
      <c r="E1055" s="12" t="str">
        <f t="shared" si="32"/>
        <v>INSERT INTO grupos (id,matricula,grupo) values (2054,'112514','AERO 1°A');</v>
      </c>
    </row>
    <row r="1056" spans="1:5" ht="43.5" x14ac:dyDescent="0.35">
      <c r="A1056">
        <v>2055</v>
      </c>
      <c r="B1056" t="s">
        <v>2751</v>
      </c>
      <c r="C1056" t="s">
        <v>1816</v>
      </c>
      <c r="D1056" s="12" t="str">
        <f t="shared" si="33"/>
        <v>2055,'112514','TC0101_1'</v>
      </c>
      <c r="E1056" s="12" t="str">
        <f t="shared" si="32"/>
        <v>INSERT INTO grupos (id,matricula,grupo) values (2055,'112514','TC0101_1');</v>
      </c>
    </row>
    <row r="1057" spans="1:5" ht="43.5" x14ac:dyDescent="0.35">
      <c r="A1057">
        <v>2056</v>
      </c>
      <c r="B1057" t="s">
        <v>2751</v>
      </c>
      <c r="C1057" t="s">
        <v>1842</v>
      </c>
      <c r="D1057" s="12" t="str">
        <f t="shared" si="33"/>
        <v>2056,'112514','TC0102_1'</v>
      </c>
      <c r="E1057" s="12" t="str">
        <f t="shared" si="32"/>
        <v>INSERT INTO grupos (id,matricula,grupo) values (2056,'112514','TC0102_1');</v>
      </c>
    </row>
    <row r="1058" spans="1:5" ht="43.5" x14ac:dyDescent="0.35">
      <c r="A1058">
        <v>2057</v>
      </c>
      <c r="B1058" t="s">
        <v>2752</v>
      </c>
      <c r="C1058" t="s">
        <v>1773</v>
      </c>
      <c r="D1058" s="12" t="str">
        <f t="shared" si="33"/>
        <v>2057,'112516','AUTO 1° B'</v>
      </c>
      <c r="E1058" s="12" t="str">
        <f t="shared" si="32"/>
        <v>INSERT INTO grupos (id,matricula,grupo) values (2057,'112516','AUTO 1° B');</v>
      </c>
    </row>
    <row r="1059" spans="1:5" ht="43.5" x14ac:dyDescent="0.35">
      <c r="A1059">
        <v>2058</v>
      </c>
      <c r="B1059" t="s">
        <v>2752</v>
      </c>
      <c r="C1059" t="s">
        <v>2498</v>
      </c>
      <c r="D1059" s="12" t="str">
        <f t="shared" si="33"/>
        <v>2058,'112516','TC0102_4'</v>
      </c>
      <c r="E1059" s="12" t="str">
        <f t="shared" si="32"/>
        <v>INSERT INTO grupos (id,matricula,grupo) values (2058,'112516','TC0102_4');</v>
      </c>
    </row>
    <row r="1060" spans="1:5" ht="43.5" x14ac:dyDescent="0.35">
      <c r="A1060">
        <v>2059</v>
      </c>
      <c r="B1060" t="s">
        <v>2752</v>
      </c>
      <c r="C1060" t="s">
        <v>1808</v>
      </c>
      <c r="D1060" s="12" t="str">
        <f t="shared" si="33"/>
        <v>2059,'112516','TC0103_2'</v>
      </c>
      <c r="E1060" s="12" t="str">
        <f t="shared" si="32"/>
        <v>INSERT INTO grupos (id,matricula,grupo) values (2059,'112516','TC0103_2');</v>
      </c>
    </row>
    <row r="1061" spans="1:5" ht="43.5" x14ac:dyDescent="0.35">
      <c r="A1061">
        <v>2060</v>
      </c>
      <c r="B1061" t="s">
        <v>2753</v>
      </c>
      <c r="C1061" t="s">
        <v>1783</v>
      </c>
      <c r="D1061" s="12" t="str">
        <f t="shared" si="33"/>
        <v>2060,'112517','AERO 1°A'</v>
      </c>
      <c r="E1061" s="12" t="str">
        <f t="shared" si="32"/>
        <v>INSERT INTO grupos (id,matricula,grupo) values (2060,'112517','AERO 1°A');</v>
      </c>
    </row>
    <row r="1062" spans="1:5" ht="43.5" x14ac:dyDescent="0.35">
      <c r="A1062">
        <v>2061</v>
      </c>
      <c r="B1062" t="s">
        <v>2753</v>
      </c>
      <c r="C1062" t="s">
        <v>1817</v>
      </c>
      <c r="D1062" s="12" t="str">
        <f t="shared" si="33"/>
        <v>2061,'112517','TC0101_2'</v>
      </c>
      <c r="E1062" s="12" t="str">
        <f t="shared" si="32"/>
        <v>INSERT INTO grupos (id,matricula,grupo) values (2061,'112517','TC0101_2');</v>
      </c>
    </row>
    <row r="1063" spans="1:5" ht="43.5" x14ac:dyDescent="0.35">
      <c r="A1063">
        <v>2062</v>
      </c>
      <c r="B1063" t="s">
        <v>2753</v>
      </c>
      <c r="C1063" t="s">
        <v>1843</v>
      </c>
      <c r="D1063" s="12" t="str">
        <f t="shared" si="33"/>
        <v>2062,'112517','TC0102_2'</v>
      </c>
      <c r="E1063" s="12" t="str">
        <f t="shared" si="32"/>
        <v>INSERT INTO grupos (id,matricula,grupo) values (2062,'112517','TC0102_2');</v>
      </c>
    </row>
    <row r="1064" spans="1:5" ht="43.5" x14ac:dyDescent="0.35">
      <c r="A1064">
        <v>2063</v>
      </c>
      <c r="B1064" t="s">
        <v>2754</v>
      </c>
      <c r="C1064" t="s">
        <v>1760</v>
      </c>
      <c r="D1064" s="12" t="str">
        <f t="shared" si="33"/>
        <v>2063,'112518','ARQ 1°'</v>
      </c>
      <c r="E1064" s="12" t="str">
        <f t="shared" si="32"/>
        <v>INSERT INTO grupos (id,matricula,grupo) values (2063,'112518','ARQ 1°');</v>
      </c>
    </row>
    <row r="1065" spans="1:5" ht="43.5" x14ac:dyDescent="0.35">
      <c r="A1065">
        <v>2064</v>
      </c>
      <c r="B1065" t="s">
        <v>2754</v>
      </c>
      <c r="C1065" t="s">
        <v>1816</v>
      </c>
      <c r="D1065" s="12" t="str">
        <f t="shared" si="33"/>
        <v>2064,'112518','TC0101_1'</v>
      </c>
      <c r="E1065" s="12" t="str">
        <f t="shared" si="32"/>
        <v>INSERT INTO grupos (id,matricula,grupo) values (2064,'112518','TC0101_1');</v>
      </c>
    </row>
    <row r="1066" spans="1:5" ht="43.5" x14ac:dyDescent="0.35">
      <c r="A1066">
        <v>2065</v>
      </c>
      <c r="B1066" t="s">
        <v>2754</v>
      </c>
      <c r="C1066" t="s">
        <v>1842</v>
      </c>
      <c r="D1066" s="12" t="str">
        <f t="shared" si="33"/>
        <v>2065,'112518','TC0102_1'</v>
      </c>
      <c r="E1066" s="12" t="str">
        <f t="shared" si="32"/>
        <v>INSERT INTO grupos (id,matricula,grupo) values (2065,'112518','TC0102_1');</v>
      </c>
    </row>
    <row r="1067" spans="1:5" ht="43.5" x14ac:dyDescent="0.35">
      <c r="A1067">
        <v>2066</v>
      </c>
      <c r="B1067" t="s">
        <v>2755</v>
      </c>
      <c r="C1067" t="s">
        <v>1760</v>
      </c>
      <c r="D1067" s="12" t="str">
        <f t="shared" si="33"/>
        <v>2066,'112520','ARQ 1°'</v>
      </c>
      <c r="E1067" s="12" t="str">
        <f t="shared" si="32"/>
        <v>INSERT INTO grupos (id,matricula,grupo) values (2066,'112520','ARQ 1°');</v>
      </c>
    </row>
    <row r="1068" spans="1:5" ht="43.5" x14ac:dyDescent="0.35">
      <c r="A1068">
        <v>2067</v>
      </c>
      <c r="B1068" t="s">
        <v>2755</v>
      </c>
      <c r="C1068" t="s">
        <v>1817</v>
      </c>
      <c r="D1068" s="12" t="str">
        <f t="shared" si="33"/>
        <v>2067,'112520','TC0101_2'</v>
      </c>
      <c r="E1068" s="12" t="str">
        <f t="shared" si="32"/>
        <v>INSERT INTO grupos (id,matricula,grupo) values (2067,'112520','TC0101_2');</v>
      </c>
    </row>
    <row r="1069" spans="1:5" ht="43.5" x14ac:dyDescent="0.35">
      <c r="A1069">
        <v>2068</v>
      </c>
      <c r="B1069" t="s">
        <v>2755</v>
      </c>
      <c r="C1069" t="s">
        <v>1843</v>
      </c>
      <c r="D1069" s="12" t="str">
        <f t="shared" si="33"/>
        <v>2068,'112520','TC0102_2'</v>
      </c>
      <c r="E1069" s="12" t="str">
        <f t="shared" si="32"/>
        <v>INSERT INTO grupos (id,matricula,grupo) values (2068,'112520','TC0102_2');</v>
      </c>
    </row>
    <row r="1070" spans="1:5" ht="43.5" x14ac:dyDescent="0.35">
      <c r="A1070">
        <v>2069</v>
      </c>
      <c r="B1070" t="s">
        <v>2756</v>
      </c>
      <c r="C1070" t="s">
        <v>1760</v>
      </c>
      <c r="D1070" s="12" t="str">
        <f t="shared" si="33"/>
        <v>2069,'112521','ARQ 1°'</v>
      </c>
      <c r="E1070" s="12" t="str">
        <f t="shared" si="32"/>
        <v>INSERT INTO grupos (id,matricula,grupo) values (2069,'112521','ARQ 1°');</v>
      </c>
    </row>
    <row r="1071" spans="1:5" ht="43.5" x14ac:dyDescent="0.35">
      <c r="A1071">
        <v>2070</v>
      </c>
      <c r="B1071" t="s">
        <v>2756</v>
      </c>
      <c r="C1071" t="s">
        <v>1816</v>
      </c>
      <c r="D1071" s="12" t="str">
        <f t="shared" si="33"/>
        <v>2070,'112521','TC0101_1'</v>
      </c>
      <c r="E1071" s="12" t="str">
        <f t="shared" si="32"/>
        <v>INSERT INTO grupos (id,matricula,grupo) values (2070,'112521','TC0101_1');</v>
      </c>
    </row>
    <row r="1072" spans="1:5" ht="43.5" x14ac:dyDescent="0.35">
      <c r="A1072">
        <v>2071</v>
      </c>
      <c r="B1072" t="s">
        <v>2756</v>
      </c>
      <c r="C1072" t="s">
        <v>1842</v>
      </c>
      <c r="D1072" s="12" t="str">
        <f t="shared" si="33"/>
        <v>2071,'112521','TC0102_1'</v>
      </c>
      <c r="E1072" s="12" t="str">
        <f t="shared" si="32"/>
        <v>INSERT INTO grupos (id,matricula,grupo) values (2071,'112521','TC0102_1');</v>
      </c>
    </row>
    <row r="1073" spans="1:5" ht="43.5" x14ac:dyDescent="0.35">
      <c r="A1073">
        <v>2072</v>
      </c>
      <c r="B1073" t="s">
        <v>2757</v>
      </c>
      <c r="C1073" t="s">
        <v>1784</v>
      </c>
      <c r="D1073" s="12" t="str">
        <f t="shared" si="33"/>
        <v>2072,'112522','PSI 1°'</v>
      </c>
      <c r="E1073" s="12" t="str">
        <f t="shared" si="32"/>
        <v>INSERT INTO grupos (id,matricula,grupo) values (2072,'112522','PSI 1°');</v>
      </c>
    </row>
    <row r="1074" spans="1:5" ht="43.5" x14ac:dyDescent="0.35">
      <c r="A1074">
        <v>2073</v>
      </c>
      <c r="B1074" t="s">
        <v>2757</v>
      </c>
      <c r="C1074" t="s">
        <v>2498</v>
      </c>
      <c r="D1074" s="12" t="str">
        <f t="shared" si="33"/>
        <v>2073,'112522','TC0102_4'</v>
      </c>
      <c r="E1074" s="12" t="str">
        <f t="shared" si="32"/>
        <v>INSERT INTO grupos (id,matricula,grupo) values (2073,'112522','TC0102_4');</v>
      </c>
    </row>
    <row r="1075" spans="1:5" ht="43.5" x14ac:dyDescent="0.35">
      <c r="A1075">
        <v>2074</v>
      </c>
      <c r="B1075" t="s">
        <v>2757</v>
      </c>
      <c r="C1075" t="s">
        <v>1808</v>
      </c>
      <c r="D1075" s="12" t="str">
        <f t="shared" si="33"/>
        <v>2074,'112522','TC0103_2'</v>
      </c>
      <c r="E1075" s="12" t="str">
        <f t="shared" si="32"/>
        <v>INSERT INTO grupos (id,matricula,grupo) values (2074,'112522','TC0103_2');</v>
      </c>
    </row>
    <row r="1076" spans="1:5" ht="43.5" x14ac:dyDescent="0.35">
      <c r="A1076">
        <v>2075</v>
      </c>
      <c r="B1076" t="s">
        <v>2758</v>
      </c>
      <c r="C1076" t="s">
        <v>1760</v>
      </c>
      <c r="D1076" s="12" t="str">
        <f t="shared" si="33"/>
        <v>2075,'112523','ARQ 1°'</v>
      </c>
      <c r="E1076" s="12" t="str">
        <f t="shared" si="32"/>
        <v>INSERT INTO grupos (id,matricula,grupo) values (2075,'112523','ARQ 1°');</v>
      </c>
    </row>
    <row r="1077" spans="1:5" ht="43.5" x14ac:dyDescent="0.35">
      <c r="A1077">
        <v>2076</v>
      </c>
      <c r="B1077" t="s">
        <v>2758</v>
      </c>
      <c r="C1077" t="s">
        <v>1816</v>
      </c>
      <c r="D1077" s="12" t="str">
        <f t="shared" si="33"/>
        <v>2076,'112523','TC0101_1'</v>
      </c>
      <c r="E1077" s="12" t="str">
        <f t="shared" si="32"/>
        <v>INSERT INTO grupos (id,matricula,grupo) values (2076,'112523','TC0101_1');</v>
      </c>
    </row>
    <row r="1078" spans="1:5" ht="43.5" x14ac:dyDescent="0.35">
      <c r="A1078">
        <v>2077</v>
      </c>
      <c r="B1078" t="s">
        <v>2758</v>
      </c>
      <c r="C1078" t="s">
        <v>1842</v>
      </c>
      <c r="D1078" s="12" t="str">
        <f t="shared" si="33"/>
        <v>2077,'112523','TC0102_1'</v>
      </c>
      <c r="E1078" s="12" t="str">
        <f t="shared" si="32"/>
        <v>INSERT INTO grupos (id,matricula,grupo) values (2077,'112523','TC0102_1');</v>
      </c>
    </row>
    <row r="1079" spans="1:5" ht="43.5" x14ac:dyDescent="0.35">
      <c r="A1079">
        <v>2078</v>
      </c>
      <c r="B1079" t="s">
        <v>2759</v>
      </c>
      <c r="C1079" t="s">
        <v>1760</v>
      </c>
      <c r="D1079" s="12" t="str">
        <f t="shared" si="33"/>
        <v>2078,'112524','ARQ 1°'</v>
      </c>
      <c r="E1079" s="12" t="str">
        <f t="shared" si="32"/>
        <v>INSERT INTO grupos (id,matricula,grupo) values (2078,'112524','ARQ 1°');</v>
      </c>
    </row>
    <row r="1080" spans="1:5" ht="43.5" x14ac:dyDescent="0.35">
      <c r="A1080">
        <v>2079</v>
      </c>
      <c r="B1080" t="s">
        <v>2759</v>
      </c>
      <c r="C1080" t="s">
        <v>1817</v>
      </c>
      <c r="D1080" s="12" t="str">
        <f t="shared" si="33"/>
        <v>2079,'112524','TC0101_2'</v>
      </c>
      <c r="E1080" s="12" t="str">
        <f t="shared" si="32"/>
        <v>INSERT INTO grupos (id,matricula,grupo) values (2079,'112524','TC0101_2');</v>
      </c>
    </row>
    <row r="1081" spans="1:5" ht="43.5" x14ac:dyDescent="0.35">
      <c r="A1081">
        <v>2080</v>
      </c>
      <c r="B1081" t="s">
        <v>2759</v>
      </c>
      <c r="C1081" t="s">
        <v>1843</v>
      </c>
      <c r="D1081" s="12" t="str">
        <f t="shared" si="33"/>
        <v>2080,'112524','TC0102_2'</v>
      </c>
      <c r="E1081" s="12" t="str">
        <f t="shared" si="32"/>
        <v>INSERT INTO grupos (id,matricula,grupo) values (2080,'112524','TC0102_2');</v>
      </c>
    </row>
    <row r="1082" spans="1:5" ht="43.5" x14ac:dyDescent="0.35">
      <c r="A1082">
        <v>2081</v>
      </c>
      <c r="B1082" t="s">
        <v>2760</v>
      </c>
      <c r="C1082" t="s">
        <v>1782</v>
      </c>
      <c r="D1082" s="12" t="str">
        <f t="shared" si="33"/>
        <v>2081,'112525','AUTO 1° A'</v>
      </c>
      <c r="E1082" s="12" t="str">
        <f t="shared" si="32"/>
        <v>INSERT INTO grupos (id,matricula,grupo) values (2081,'112525','AUTO 1° A');</v>
      </c>
    </row>
    <row r="1083" spans="1:5" ht="43.5" x14ac:dyDescent="0.35">
      <c r="A1083">
        <v>2082</v>
      </c>
      <c r="B1083" t="s">
        <v>2760</v>
      </c>
      <c r="C1083" t="s">
        <v>2704</v>
      </c>
      <c r="D1083" s="12" t="str">
        <f t="shared" si="33"/>
        <v>2082,'112525','TC0102_3'</v>
      </c>
      <c r="E1083" s="12" t="str">
        <f t="shared" si="32"/>
        <v>INSERT INTO grupos (id,matricula,grupo) values (2082,'112525','TC0102_3');</v>
      </c>
    </row>
    <row r="1084" spans="1:5" ht="43.5" x14ac:dyDescent="0.35">
      <c r="A1084">
        <v>2083</v>
      </c>
      <c r="B1084" t="s">
        <v>2760</v>
      </c>
      <c r="C1084" t="s">
        <v>1807</v>
      </c>
      <c r="D1084" s="12" t="str">
        <f t="shared" si="33"/>
        <v>2083,'112525','TC0103_1'</v>
      </c>
      <c r="E1084" s="12" t="str">
        <f t="shared" si="32"/>
        <v>INSERT INTO grupos (id,matricula,grupo) values (2083,'112525','TC0103_1');</v>
      </c>
    </row>
    <row r="1085" spans="1:5" ht="43.5" x14ac:dyDescent="0.35">
      <c r="A1085">
        <v>2084</v>
      </c>
      <c r="B1085" t="s">
        <v>2761</v>
      </c>
      <c r="C1085" t="s">
        <v>1783</v>
      </c>
      <c r="D1085" s="12" t="str">
        <f t="shared" si="33"/>
        <v>2084,'112526','AERO 1°A'</v>
      </c>
      <c r="E1085" s="12" t="str">
        <f t="shared" si="32"/>
        <v>INSERT INTO grupos (id,matricula,grupo) values (2084,'112526','AERO 1°A');</v>
      </c>
    </row>
    <row r="1086" spans="1:5" ht="43.5" x14ac:dyDescent="0.35">
      <c r="A1086">
        <v>2085</v>
      </c>
      <c r="B1086" t="s">
        <v>2761</v>
      </c>
      <c r="C1086" t="s">
        <v>1816</v>
      </c>
      <c r="D1086" s="12" t="str">
        <f t="shared" si="33"/>
        <v>2085,'112526','TC0101_1'</v>
      </c>
      <c r="E1086" s="12" t="str">
        <f t="shared" si="32"/>
        <v>INSERT INTO grupos (id,matricula,grupo) values (2085,'112526','TC0101_1');</v>
      </c>
    </row>
    <row r="1087" spans="1:5" ht="43.5" x14ac:dyDescent="0.35">
      <c r="A1087">
        <v>2086</v>
      </c>
      <c r="B1087" t="s">
        <v>2761</v>
      </c>
      <c r="C1087" t="s">
        <v>1842</v>
      </c>
      <c r="D1087" s="12" t="str">
        <f t="shared" si="33"/>
        <v>2086,'112526','TC0102_1'</v>
      </c>
      <c r="E1087" s="12" t="str">
        <f t="shared" si="32"/>
        <v>INSERT INTO grupos (id,matricula,grupo) values (2086,'112526','TC0102_1');</v>
      </c>
    </row>
    <row r="1088" spans="1:5" ht="43.5" x14ac:dyDescent="0.35">
      <c r="A1088">
        <v>2087</v>
      </c>
      <c r="B1088" t="s">
        <v>2762</v>
      </c>
      <c r="C1088" t="s">
        <v>1773</v>
      </c>
      <c r="D1088" s="12" t="str">
        <f t="shared" si="33"/>
        <v>2087,'112527','AUTO 1° B'</v>
      </c>
      <c r="E1088" s="12" t="str">
        <f t="shared" si="32"/>
        <v>INSERT INTO grupos (id,matricula,grupo) values (2087,'112527','AUTO 1° B');</v>
      </c>
    </row>
    <row r="1089" spans="1:5" ht="43.5" x14ac:dyDescent="0.35">
      <c r="A1089">
        <v>2088</v>
      </c>
      <c r="B1089" t="s">
        <v>2762</v>
      </c>
      <c r="C1089" t="s">
        <v>2498</v>
      </c>
      <c r="D1089" s="12" t="str">
        <f t="shared" si="33"/>
        <v>2088,'112527','TC0102_4'</v>
      </c>
      <c r="E1089" s="12" t="str">
        <f t="shared" si="32"/>
        <v>INSERT INTO grupos (id,matricula,grupo) values (2088,'112527','TC0102_4');</v>
      </c>
    </row>
    <row r="1090" spans="1:5" ht="43.5" x14ac:dyDescent="0.35">
      <c r="A1090">
        <v>2089</v>
      </c>
      <c r="B1090" t="s">
        <v>2762</v>
      </c>
      <c r="C1090" t="s">
        <v>1808</v>
      </c>
      <c r="D1090" s="12" t="str">
        <f t="shared" si="33"/>
        <v>2089,'112527','TC0103_2'</v>
      </c>
      <c r="E1090" s="12" t="str">
        <f t="shared" ref="E1090:E1153" si="34">CONCATENATE($D$1,D1090,");")</f>
        <v>INSERT INTO grupos (id,matricula,grupo) values (2089,'112527','TC0103_2');</v>
      </c>
    </row>
    <row r="1091" spans="1:5" ht="43.5" x14ac:dyDescent="0.35">
      <c r="A1091">
        <v>2090</v>
      </c>
      <c r="B1091" t="s">
        <v>2763</v>
      </c>
      <c r="C1091" t="s">
        <v>1783</v>
      </c>
      <c r="D1091" s="12" t="str">
        <f t="shared" ref="D1091:D1154" si="35">CONCATENATE(A1091,",'",TRIM(B1091),"','",C1091,"'")</f>
        <v>2090,'112528','AERO 1°A'</v>
      </c>
      <c r="E1091" s="12" t="str">
        <f t="shared" si="34"/>
        <v>INSERT INTO grupos (id,matricula,grupo) values (2090,'112528','AERO 1°A');</v>
      </c>
    </row>
    <row r="1092" spans="1:5" ht="43.5" x14ac:dyDescent="0.35">
      <c r="A1092">
        <v>2091</v>
      </c>
      <c r="B1092" t="s">
        <v>2763</v>
      </c>
      <c r="C1092" t="s">
        <v>1816</v>
      </c>
      <c r="D1092" s="12" t="str">
        <f t="shared" si="35"/>
        <v>2091,'112528','TC0101_1'</v>
      </c>
      <c r="E1092" s="12" t="str">
        <f t="shared" si="34"/>
        <v>INSERT INTO grupos (id,matricula,grupo) values (2091,'112528','TC0101_1');</v>
      </c>
    </row>
    <row r="1093" spans="1:5" ht="43.5" x14ac:dyDescent="0.35">
      <c r="A1093">
        <v>2092</v>
      </c>
      <c r="B1093" t="s">
        <v>2763</v>
      </c>
      <c r="C1093" t="s">
        <v>1842</v>
      </c>
      <c r="D1093" s="12" t="str">
        <f t="shared" si="35"/>
        <v>2092,'112528','TC0102_1'</v>
      </c>
      <c r="E1093" s="12" t="str">
        <f t="shared" si="34"/>
        <v>INSERT INTO grupos (id,matricula,grupo) values (2092,'112528','TC0102_1');</v>
      </c>
    </row>
    <row r="1094" spans="1:5" ht="43.5" x14ac:dyDescent="0.35">
      <c r="A1094">
        <v>2093</v>
      </c>
      <c r="B1094" t="s">
        <v>2764</v>
      </c>
      <c r="C1094" t="s">
        <v>1783</v>
      </c>
      <c r="D1094" s="12" t="str">
        <f t="shared" si="35"/>
        <v>2093,'112529','AERO 1°A'</v>
      </c>
      <c r="E1094" s="12" t="str">
        <f t="shared" si="34"/>
        <v>INSERT INTO grupos (id,matricula,grupo) values (2093,'112529','AERO 1°A');</v>
      </c>
    </row>
    <row r="1095" spans="1:5" ht="43.5" x14ac:dyDescent="0.35">
      <c r="A1095">
        <v>2094</v>
      </c>
      <c r="B1095" t="s">
        <v>2764</v>
      </c>
      <c r="C1095" t="s">
        <v>1817</v>
      </c>
      <c r="D1095" s="12" t="str">
        <f t="shared" si="35"/>
        <v>2094,'112529','TC0101_2'</v>
      </c>
      <c r="E1095" s="12" t="str">
        <f t="shared" si="34"/>
        <v>INSERT INTO grupos (id,matricula,grupo) values (2094,'112529','TC0101_2');</v>
      </c>
    </row>
    <row r="1096" spans="1:5" ht="43.5" x14ac:dyDescent="0.35">
      <c r="A1096">
        <v>2095</v>
      </c>
      <c r="B1096" t="s">
        <v>2764</v>
      </c>
      <c r="C1096" t="s">
        <v>1843</v>
      </c>
      <c r="D1096" s="12" t="str">
        <f t="shared" si="35"/>
        <v>2095,'112529','TC0102_2'</v>
      </c>
      <c r="E1096" s="12" t="str">
        <f t="shared" si="34"/>
        <v>INSERT INTO grupos (id,matricula,grupo) values (2095,'112529','TC0102_2');</v>
      </c>
    </row>
    <row r="1097" spans="1:5" ht="43.5" x14ac:dyDescent="0.35">
      <c r="A1097">
        <v>2096</v>
      </c>
      <c r="B1097" t="s">
        <v>2765</v>
      </c>
      <c r="C1097" t="s">
        <v>1783</v>
      </c>
      <c r="D1097" s="12" t="str">
        <f t="shared" si="35"/>
        <v>2096,'112535','AERO 1°A'</v>
      </c>
      <c r="E1097" s="12" t="str">
        <f t="shared" si="34"/>
        <v>INSERT INTO grupos (id,matricula,grupo) values (2096,'112535','AERO 1°A');</v>
      </c>
    </row>
    <row r="1098" spans="1:5" ht="43.5" x14ac:dyDescent="0.35">
      <c r="A1098">
        <v>2097</v>
      </c>
      <c r="B1098" t="s">
        <v>2765</v>
      </c>
      <c r="C1098" t="s">
        <v>1817</v>
      </c>
      <c r="D1098" s="12" t="str">
        <f t="shared" si="35"/>
        <v>2097,'112535','TC0101_2'</v>
      </c>
      <c r="E1098" s="12" t="str">
        <f t="shared" si="34"/>
        <v>INSERT INTO grupos (id,matricula,grupo) values (2097,'112535','TC0101_2');</v>
      </c>
    </row>
    <row r="1099" spans="1:5" ht="43.5" x14ac:dyDescent="0.35">
      <c r="A1099">
        <v>2098</v>
      </c>
      <c r="B1099" t="s">
        <v>2765</v>
      </c>
      <c r="C1099" t="s">
        <v>1843</v>
      </c>
      <c r="D1099" s="12" t="str">
        <f t="shared" si="35"/>
        <v>2098,'112535','TC0102_2'</v>
      </c>
      <c r="E1099" s="12" t="str">
        <f t="shared" si="34"/>
        <v>INSERT INTO grupos (id,matricula,grupo) values (2098,'112535','TC0102_2');</v>
      </c>
    </row>
    <row r="1100" spans="1:5" ht="43.5" x14ac:dyDescent="0.35">
      <c r="A1100">
        <v>2099</v>
      </c>
      <c r="B1100" t="s">
        <v>2766</v>
      </c>
      <c r="C1100" t="s">
        <v>1773</v>
      </c>
      <c r="D1100" s="12" t="str">
        <f t="shared" si="35"/>
        <v>2099,'112536','AUTO 1° B'</v>
      </c>
      <c r="E1100" s="12" t="str">
        <f t="shared" si="34"/>
        <v>INSERT INTO grupos (id,matricula,grupo) values (2099,'112536','AUTO 1° B');</v>
      </c>
    </row>
    <row r="1101" spans="1:5" ht="43.5" x14ac:dyDescent="0.35">
      <c r="A1101">
        <v>2100</v>
      </c>
      <c r="B1101" t="s">
        <v>2766</v>
      </c>
      <c r="C1101" t="s">
        <v>2498</v>
      </c>
      <c r="D1101" s="12" t="str">
        <f t="shared" si="35"/>
        <v>2100,'112536','TC0102_4'</v>
      </c>
      <c r="E1101" s="12" t="str">
        <f t="shared" si="34"/>
        <v>INSERT INTO grupos (id,matricula,grupo) values (2100,'112536','TC0102_4');</v>
      </c>
    </row>
    <row r="1102" spans="1:5" ht="43.5" x14ac:dyDescent="0.35">
      <c r="A1102">
        <v>2101</v>
      </c>
      <c r="B1102" t="s">
        <v>2766</v>
      </c>
      <c r="C1102" t="s">
        <v>1808</v>
      </c>
      <c r="D1102" s="12" t="str">
        <f t="shared" si="35"/>
        <v>2101,'112536','TC0103_2'</v>
      </c>
      <c r="E1102" s="12" t="str">
        <f t="shared" si="34"/>
        <v>INSERT INTO grupos (id,matricula,grupo) values (2101,'112536','TC0103_2');</v>
      </c>
    </row>
    <row r="1103" spans="1:5" ht="43.5" x14ac:dyDescent="0.35">
      <c r="A1103">
        <v>2102</v>
      </c>
      <c r="B1103" t="s">
        <v>2767</v>
      </c>
      <c r="C1103" t="s">
        <v>1784</v>
      </c>
      <c r="D1103" s="12" t="str">
        <f t="shared" si="35"/>
        <v>2102,'112538','PSI 1°'</v>
      </c>
      <c r="E1103" s="12" t="str">
        <f t="shared" si="34"/>
        <v>INSERT INTO grupos (id,matricula,grupo) values (2102,'112538','PSI 1°');</v>
      </c>
    </row>
    <row r="1104" spans="1:5" ht="43.5" x14ac:dyDescent="0.35">
      <c r="A1104">
        <v>2103</v>
      </c>
      <c r="B1104" t="s">
        <v>2767</v>
      </c>
      <c r="C1104" t="s">
        <v>2704</v>
      </c>
      <c r="D1104" s="12" t="str">
        <f t="shared" si="35"/>
        <v>2103,'112538','TC0102_3'</v>
      </c>
      <c r="E1104" s="12" t="str">
        <f t="shared" si="34"/>
        <v>INSERT INTO grupos (id,matricula,grupo) values (2103,'112538','TC0102_3');</v>
      </c>
    </row>
    <row r="1105" spans="1:5" ht="43.5" x14ac:dyDescent="0.35">
      <c r="A1105">
        <v>2104</v>
      </c>
      <c r="B1105" t="s">
        <v>2767</v>
      </c>
      <c r="C1105" t="s">
        <v>1807</v>
      </c>
      <c r="D1105" s="12" t="str">
        <f t="shared" si="35"/>
        <v>2104,'112538','TC0103_1'</v>
      </c>
      <c r="E1105" s="12" t="str">
        <f t="shared" si="34"/>
        <v>INSERT INTO grupos (id,matricula,grupo) values (2104,'112538','TC0103_1');</v>
      </c>
    </row>
    <row r="1106" spans="1:5" ht="43.5" x14ac:dyDescent="0.35">
      <c r="A1106">
        <v>2105</v>
      </c>
      <c r="B1106" t="s">
        <v>2768</v>
      </c>
      <c r="C1106" t="s">
        <v>1784</v>
      </c>
      <c r="D1106" s="12" t="str">
        <f t="shared" si="35"/>
        <v>2105,'112539','PSI 1°'</v>
      </c>
      <c r="E1106" s="12" t="str">
        <f t="shared" si="34"/>
        <v>INSERT INTO grupos (id,matricula,grupo) values (2105,'112539','PSI 1°');</v>
      </c>
    </row>
    <row r="1107" spans="1:5" ht="43.5" x14ac:dyDescent="0.35">
      <c r="A1107">
        <v>2106</v>
      </c>
      <c r="B1107" t="s">
        <v>2768</v>
      </c>
      <c r="C1107" t="s">
        <v>2498</v>
      </c>
      <c r="D1107" s="12" t="str">
        <f t="shared" si="35"/>
        <v>2106,'112539','TC0102_4'</v>
      </c>
      <c r="E1107" s="12" t="str">
        <f t="shared" si="34"/>
        <v>INSERT INTO grupos (id,matricula,grupo) values (2106,'112539','TC0102_4');</v>
      </c>
    </row>
    <row r="1108" spans="1:5" ht="43.5" x14ac:dyDescent="0.35">
      <c r="A1108">
        <v>2107</v>
      </c>
      <c r="B1108" t="s">
        <v>2768</v>
      </c>
      <c r="C1108" t="s">
        <v>1808</v>
      </c>
      <c r="D1108" s="12" t="str">
        <f t="shared" si="35"/>
        <v>2107,'112539','TC0103_2'</v>
      </c>
      <c r="E1108" s="12" t="str">
        <f t="shared" si="34"/>
        <v>INSERT INTO grupos (id,matricula,grupo) values (2107,'112539','TC0103_2');</v>
      </c>
    </row>
    <row r="1109" spans="1:5" ht="43.5" x14ac:dyDescent="0.35">
      <c r="A1109">
        <v>2108</v>
      </c>
      <c r="B1109" t="s">
        <v>2769</v>
      </c>
      <c r="C1109" t="s">
        <v>1783</v>
      </c>
      <c r="D1109" s="12" t="str">
        <f t="shared" si="35"/>
        <v>2108,'112544','AERO 1°A'</v>
      </c>
      <c r="E1109" s="12" t="str">
        <f t="shared" si="34"/>
        <v>INSERT INTO grupos (id,matricula,grupo) values (2108,'112544','AERO 1°A');</v>
      </c>
    </row>
    <row r="1110" spans="1:5" ht="43.5" x14ac:dyDescent="0.35">
      <c r="A1110">
        <v>2109</v>
      </c>
      <c r="B1110" t="s">
        <v>2769</v>
      </c>
      <c r="C1110" t="s">
        <v>1816</v>
      </c>
      <c r="D1110" s="12" t="str">
        <f t="shared" si="35"/>
        <v>2109,'112544','TC0101_1'</v>
      </c>
      <c r="E1110" s="12" t="str">
        <f t="shared" si="34"/>
        <v>INSERT INTO grupos (id,matricula,grupo) values (2109,'112544','TC0101_1');</v>
      </c>
    </row>
    <row r="1111" spans="1:5" ht="43.5" x14ac:dyDescent="0.35">
      <c r="A1111">
        <v>2110</v>
      </c>
      <c r="B1111" t="s">
        <v>2769</v>
      </c>
      <c r="C1111" t="s">
        <v>1842</v>
      </c>
      <c r="D1111" s="12" t="str">
        <f t="shared" si="35"/>
        <v>2110,'112544','TC0102_1'</v>
      </c>
      <c r="E1111" s="12" t="str">
        <f t="shared" si="34"/>
        <v>INSERT INTO grupos (id,matricula,grupo) values (2110,'112544','TC0102_1');</v>
      </c>
    </row>
    <row r="1112" spans="1:5" ht="43.5" x14ac:dyDescent="0.35">
      <c r="A1112">
        <v>2111</v>
      </c>
      <c r="B1112" t="s">
        <v>2770</v>
      </c>
      <c r="C1112" t="s">
        <v>1760</v>
      </c>
      <c r="D1112" s="12" t="str">
        <f t="shared" si="35"/>
        <v>2111,'112545','ARQ 1°'</v>
      </c>
      <c r="E1112" s="12" t="str">
        <f t="shared" si="34"/>
        <v>INSERT INTO grupos (id,matricula,grupo) values (2111,'112545','ARQ 1°');</v>
      </c>
    </row>
    <row r="1113" spans="1:5" ht="43.5" x14ac:dyDescent="0.35">
      <c r="A1113">
        <v>2112</v>
      </c>
      <c r="B1113" t="s">
        <v>2770</v>
      </c>
      <c r="C1113" t="s">
        <v>1816</v>
      </c>
      <c r="D1113" s="12" t="str">
        <f t="shared" si="35"/>
        <v>2112,'112545','TC0101_1'</v>
      </c>
      <c r="E1113" s="12" t="str">
        <f t="shared" si="34"/>
        <v>INSERT INTO grupos (id,matricula,grupo) values (2112,'112545','TC0101_1');</v>
      </c>
    </row>
    <row r="1114" spans="1:5" ht="43.5" x14ac:dyDescent="0.35">
      <c r="A1114">
        <v>2113</v>
      </c>
      <c r="B1114" t="s">
        <v>2770</v>
      </c>
      <c r="C1114" t="s">
        <v>1842</v>
      </c>
      <c r="D1114" s="12" t="str">
        <f t="shared" si="35"/>
        <v>2113,'112545','TC0102_1'</v>
      </c>
      <c r="E1114" s="12" t="str">
        <f t="shared" si="34"/>
        <v>INSERT INTO grupos (id,matricula,grupo) values (2113,'112545','TC0102_1');</v>
      </c>
    </row>
    <row r="1115" spans="1:5" ht="43.5" x14ac:dyDescent="0.35">
      <c r="A1115">
        <v>2114</v>
      </c>
      <c r="B1115" t="s">
        <v>2771</v>
      </c>
      <c r="C1115" t="s">
        <v>1783</v>
      </c>
      <c r="D1115" s="12" t="str">
        <f t="shared" si="35"/>
        <v>2114,'112546','AERO 1°A'</v>
      </c>
      <c r="E1115" s="12" t="str">
        <f t="shared" si="34"/>
        <v>INSERT INTO grupos (id,matricula,grupo) values (2114,'112546','AERO 1°A');</v>
      </c>
    </row>
    <row r="1116" spans="1:5" ht="43.5" x14ac:dyDescent="0.35">
      <c r="A1116">
        <v>2115</v>
      </c>
      <c r="B1116" t="s">
        <v>2771</v>
      </c>
      <c r="C1116" t="s">
        <v>1816</v>
      </c>
      <c r="D1116" s="12" t="str">
        <f t="shared" si="35"/>
        <v>2115,'112546','TC0101_1'</v>
      </c>
      <c r="E1116" s="12" t="str">
        <f t="shared" si="34"/>
        <v>INSERT INTO grupos (id,matricula,grupo) values (2115,'112546','TC0101_1');</v>
      </c>
    </row>
    <row r="1117" spans="1:5" ht="43.5" x14ac:dyDescent="0.35">
      <c r="A1117">
        <v>2116</v>
      </c>
      <c r="B1117" t="s">
        <v>2771</v>
      </c>
      <c r="C1117" t="s">
        <v>1842</v>
      </c>
      <c r="D1117" s="12" t="str">
        <f t="shared" si="35"/>
        <v>2116,'112546','TC0102_1'</v>
      </c>
      <c r="E1117" s="12" t="str">
        <f t="shared" si="34"/>
        <v>INSERT INTO grupos (id,matricula,grupo) values (2116,'112546','TC0102_1');</v>
      </c>
    </row>
    <row r="1118" spans="1:5" ht="43.5" x14ac:dyDescent="0.35">
      <c r="A1118">
        <v>2117</v>
      </c>
      <c r="B1118" t="s">
        <v>2772</v>
      </c>
      <c r="C1118" t="s">
        <v>1782</v>
      </c>
      <c r="D1118" s="12" t="str">
        <f t="shared" si="35"/>
        <v>2117,'112548','AUTO 1° A'</v>
      </c>
      <c r="E1118" s="12" t="str">
        <f t="shared" si="34"/>
        <v>INSERT INTO grupos (id,matricula,grupo) values (2117,'112548','AUTO 1° A');</v>
      </c>
    </row>
    <row r="1119" spans="1:5" ht="43.5" x14ac:dyDescent="0.35">
      <c r="A1119">
        <v>2118</v>
      </c>
      <c r="B1119" t="s">
        <v>2772</v>
      </c>
      <c r="C1119" t="s">
        <v>2704</v>
      </c>
      <c r="D1119" s="12" t="str">
        <f t="shared" si="35"/>
        <v>2118,'112548','TC0102_3'</v>
      </c>
      <c r="E1119" s="12" t="str">
        <f t="shared" si="34"/>
        <v>INSERT INTO grupos (id,matricula,grupo) values (2118,'112548','TC0102_3');</v>
      </c>
    </row>
    <row r="1120" spans="1:5" ht="43.5" x14ac:dyDescent="0.35">
      <c r="A1120">
        <v>2119</v>
      </c>
      <c r="B1120" t="s">
        <v>2772</v>
      </c>
      <c r="C1120" t="s">
        <v>1807</v>
      </c>
      <c r="D1120" s="12" t="str">
        <f t="shared" si="35"/>
        <v>2119,'112548','TC0103_1'</v>
      </c>
      <c r="E1120" s="12" t="str">
        <f t="shared" si="34"/>
        <v>INSERT INTO grupos (id,matricula,grupo) values (2119,'112548','TC0103_1');</v>
      </c>
    </row>
    <row r="1121" spans="1:5" ht="43.5" x14ac:dyDescent="0.35">
      <c r="A1121">
        <v>2120</v>
      </c>
      <c r="B1121" t="s">
        <v>2773</v>
      </c>
      <c r="C1121" t="s">
        <v>1768</v>
      </c>
      <c r="D1121" s="12" t="str">
        <f t="shared" si="35"/>
        <v>2120,'112550','ADMON 5°'</v>
      </c>
      <c r="E1121" s="12" t="str">
        <f t="shared" si="34"/>
        <v>INSERT INTO grupos (id,matricula,grupo) values (2120,'112550','ADMON 5°');</v>
      </c>
    </row>
    <row r="1122" spans="1:5" ht="43.5" x14ac:dyDescent="0.35">
      <c r="A1122">
        <v>2121</v>
      </c>
      <c r="B1122" t="s">
        <v>2774</v>
      </c>
      <c r="C1122" t="s">
        <v>1782</v>
      </c>
      <c r="D1122" s="12" t="str">
        <f t="shared" si="35"/>
        <v>2121,'112551','AUTO 1° A'</v>
      </c>
      <c r="E1122" s="12" t="str">
        <f t="shared" si="34"/>
        <v>INSERT INTO grupos (id,matricula,grupo) values (2121,'112551','AUTO 1° A');</v>
      </c>
    </row>
    <row r="1123" spans="1:5" ht="43.5" x14ac:dyDescent="0.35">
      <c r="A1123">
        <v>2122</v>
      </c>
      <c r="B1123" t="s">
        <v>2774</v>
      </c>
      <c r="C1123" t="s">
        <v>2498</v>
      </c>
      <c r="D1123" s="12" t="str">
        <f t="shared" si="35"/>
        <v>2122,'112551','TC0102_4'</v>
      </c>
      <c r="E1123" s="12" t="str">
        <f t="shared" si="34"/>
        <v>INSERT INTO grupos (id,matricula,grupo) values (2122,'112551','TC0102_4');</v>
      </c>
    </row>
    <row r="1124" spans="1:5" ht="43.5" x14ac:dyDescent="0.35">
      <c r="A1124">
        <v>2123</v>
      </c>
      <c r="B1124" t="s">
        <v>2774</v>
      </c>
      <c r="C1124" t="s">
        <v>1808</v>
      </c>
      <c r="D1124" s="12" t="str">
        <f t="shared" si="35"/>
        <v>2123,'112551','TC0103_2'</v>
      </c>
      <c r="E1124" s="12" t="str">
        <f t="shared" si="34"/>
        <v>INSERT INTO grupos (id,matricula,grupo) values (2123,'112551','TC0103_2');</v>
      </c>
    </row>
    <row r="1125" spans="1:5" ht="43.5" x14ac:dyDescent="0.35">
      <c r="A1125">
        <v>2124</v>
      </c>
      <c r="B1125" t="s">
        <v>2775</v>
      </c>
      <c r="C1125" t="s">
        <v>1783</v>
      </c>
      <c r="D1125" s="12" t="str">
        <f t="shared" si="35"/>
        <v>2124,'112552','AERO 1°A'</v>
      </c>
      <c r="E1125" s="12" t="str">
        <f t="shared" si="34"/>
        <v>INSERT INTO grupos (id,matricula,grupo) values (2124,'112552','AERO 1°A');</v>
      </c>
    </row>
    <row r="1126" spans="1:5" ht="43.5" x14ac:dyDescent="0.35">
      <c r="A1126">
        <v>2125</v>
      </c>
      <c r="B1126" t="s">
        <v>2775</v>
      </c>
      <c r="C1126" t="s">
        <v>1817</v>
      </c>
      <c r="D1126" s="12" t="str">
        <f t="shared" si="35"/>
        <v>2125,'112552','TC0101_2'</v>
      </c>
      <c r="E1126" s="12" t="str">
        <f t="shared" si="34"/>
        <v>INSERT INTO grupos (id,matricula,grupo) values (2125,'112552','TC0101_2');</v>
      </c>
    </row>
    <row r="1127" spans="1:5" ht="43.5" x14ac:dyDescent="0.35">
      <c r="A1127">
        <v>2126</v>
      </c>
      <c r="B1127" t="s">
        <v>2775</v>
      </c>
      <c r="C1127" t="s">
        <v>1843</v>
      </c>
      <c r="D1127" s="12" t="str">
        <f t="shared" si="35"/>
        <v>2126,'112552','TC0102_2'</v>
      </c>
      <c r="E1127" s="12" t="str">
        <f t="shared" si="34"/>
        <v>INSERT INTO grupos (id,matricula,grupo) values (2126,'112552','TC0102_2');</v>
      </c>
    </row>
    <row r="1128" spans="1:5" ht="43.5" x14ac:dyDescent="0.35">
      <c r="A1128">
        <v>2127</v>
      </c>
      <c r="B1128" t="s">
        <v>2776</v>
      </c>
      <c r="C1128" t="s">
        <v>1783</v>
      </c>
      <c r="D1128" s="12" t="str">
        <f t="shared" si="35"/>
        <v>2127,'112553','AERO 1°A'</v>
      </c>
      <c r="E1128" s="12" t="str">
        <f t="shared" si="34"/>
        <v>INSERT INTO grupos (id,matricula,grupo) values (2127,'112553','AERO 1°A');</v>
      </c>
    </row>
    <row r="1129" spans="1:5" ht="43.5" x14ac:dyDescent="0.35">
      <c r="A1129">
        <v>2128</v>
      </c>
      <c r="B1129" t="s">
        <v>2776</v>
      </c>
      <c r="C1129" t="s">
        <v>1817</v>
      </c>
      <c r="D1129" s="12" t="str">
        <f t="shared" si="35"/>
        <v>2128,'112553','TC0101_2'</v>
      </c>
      <c r="E1129" s="12" t="str">
        <f t="shared" si="34"/>
        <v>INSERT INTO grupos (id,matricula,grupo) values (2128,'112553','TC0101_2');</v>
      </c>
    </row>
    <row r="1130" spans="1:5" ht="43.5" x14ac:dyDescent="0.35">
      <c r="A1130">
        <v>2129</v>
      </c>
      <c r="B1130" t="s">
        <v>2776</v>
      </c>
      <c r="C1130" t="s">
        <v>1843</v>
      </c>
      <c r="D1130" s="12" t="str">
        <f t="shared" si="35"/>
        <v>2129,'112553','TC0102_2'</v>
      </c>
      <c r="E1130" s="12" t="str">
        <f t="shared" si="34"/>
        <v>INSERT INTO grupos (id,matricula,grupo) values (2129,'112553','TC0102_2');</v>
      </c>
    </row>
    <row r="1131" spans="1:5" ht="43.5" x14ac:dyDescent="0.35">
      <c r="A1131">
        <v>2130</v>
      </c>
      <c r="B1131" t="s">
        <v>2777</v>
      </c>
      <c r="C1131" t="s">
        <v>1782</v>
      </c>
      <c r="D1131" s="12" t="str">
        <f t="shared" si="35"/>
        <v>2130,'112554','AUTO 1° A'</v>
      </c>
      <c r="E1131" s="12" t="str">
        <f t="shared" si="34"/>
        <v>INSERT INTO grupos (id,matricula,grupo) values (2130,'112554','AUTO 1° A');</v>
      </c>
    </row>
    <row r="1132" spans="1:5" ht="43.5" x14ac:dyDescent="0.35">
      <c r="A1132">
        <v>2131</v>
      </c>
      <c r="B1132" t="s">
        <v>2777</v>
      </c>
      <c r="C1132" t="s">
        <v>2704</v>
      </c>
      <c r="D1132" s="12" t="str">
        <f t="shared" si="35"/>
        <v>2131,'112554','TC0102_3'</v>
      </c>
      <c r="E1132" s="12" t="str">
        <f t="shared" si="34"/>
        <v>INSERT INTO grupos (id,matricula,grupo) values (2131,'112554','TC0102_3');</v>
      </c>
    </row>
    <row r="1133" spans="1:5" ht="43.5" x14ac:dyDescent="0.35">
      <c r="A1133">
        <v>2132</v>
      </c>
      <c r="B1133" t="s">
        <v>2777</v>
      </c>
      <c r="C1133" t="s">
        <v>1807</v>
      </c>
      <c r="D1133" s="12" t="str">
        <f t="shared" si="35"/>
        <v>2132,'112554','TC0103_1'</v>
      </c>
      <c r="E1133" s="12" t="str">
        <f t="shared" si="34"/>
        <v>INSERT INTO grupos (id,matricula,grupo) values (2132,'112554','TC0103_1');</v>
      </c>
    </row>
    <row r="1134" spans="1:5" ht="43.5" x14ac:dyDescent="0.35">
      <c r="A1134">
        <v>2133</v>
      </c>
      <c r="B1134" t="s">
        <v>2778</v>
      </c>
      <c r="C1134" t="s">
        <v>1773</v>
      </c>
      <c r="D1134" s="12" t="str">
        <f t="shared" si="35"/>
        <v>2133,'112555','AUTO 1° B'</v>
      </c>
      <c r="E1134" s="12" t="str">
        <f t="shared" si="34"/>
        <v>INSERT INTO grupos (id,matricula,grupo) values (2133,'112555','AUTO 1° B');</v>
      </c>
    </row>
    <row r="1135" spans="1:5" ht="43.5" x14ac:dyDescent="0.35">
      <c r="A1135">
        <v>2134</v>
      </c>
      <c r="B1135" t="s">
        <v>2778</v>
      </c>
      <c r="C1135" t="s">
        <v>2498</v>
      </c>
      <c r="D1135" s="12" t="str">
        <f t="shared" si="35"/>
        <v>2134,'112555','TC0102_4'</v>
      </c>
      <c r="E1135" s="12" t="str">
        <f t="shared" si="34"/>
        <v>INSERT INTO grupos (id,matricula,grupo) values (2134,'112555','TC0102_4');</v>
      </c>
    </row>
    <row r="1136" spans="1:5" ht="43.5" x14ac:dyDescent="0.35">
      <c r="A1136">
        <v>2135</v>
      </c>
      <c r="B1136" t="s">
        <v>2778</v>
      </c>
      <c r="C1136" t="s">
        <v>1808</v>
      </c>
      <c r="D1136" s="12" t="str">
        <f t="shared" si="35"/>
        <v>2135,'112555','TC0103_2'</v>
      </c>
      <c r="E1136" s="12" t="str">
        <f t="shared" si="34"/>
        <v>INSERT INTO grupos (id,matricula,grupo) values (2135,'112555','TC0103_2');</v>
      </c>
    </row>
    <row r="1137" spans="1:5" ht="43.5" x14ac:dyDescent="0.35">
      <c r="A1137">
        <v>2136</v>
      </c>
      <c r="B1137" t="s">
        <v>2779</v>
      </c>
      <c r="C1137" t="s">
        <v>1784</v>
      </c>
      <c r="D1137" s="12" t="str">
        <f t="shared" si="35"/>
        <v>2136,'112557','PSI 1°'</v>
      </c>
      <c r="E1137" s="12" t="str">
        <f t="shared" si="34"/>
        <v>INSERT INTO grupos (id,matricula,grupo) values (2136,'112557','PSI 1°');</v>
      </c>
    </row>
    <row r="1138" spans="1:5" ht="43.5" x14ac:dyDescent="0.35">
      <c r="A1138">
        <v>2137</v>
      </c>
      <c r="B1138" t="s">
        <v>2779</v>
      </c>
      <c r="C1138" t="s">
        <v>2498</v>
      </c>
      <c r="D1138" s="12" t="str">
        <f t="shared" si="35"/>
        <v>2137,'112557','TC0102_4'</v>
      </c>
      <c r="E1138" s="12" t="str">
        <f t="shared" si="34"/>
        <v>INSERT INTO grupos (id,matricula,grupo) values (2137,'112557','TC0102_4');</v>
      </c>
    </row>
    <row r="1139" spans="1:5" ht="43.5" x14ac:dyDescent="0.35">
      <c r="A1139">
        <v>2138</v>
      </c>
      <c r="B1139" t="s">
        <v>2779</v>
      </c>
      <c r="C1139" t="s">
        <v>1808</v>
      </c>
      <c r="D1139" s="12" t="str">
        <f t="shared" si="35"/>
        <v>2138,'112557','TC0103_2'</v>
      </c>
      <c r="E1139" s="12" t="str">
        <f t="shared" si="34"/>
        <v>INSERT INTO grupos (id,matricula,grupo) values (2138,'112557','TC0103_2');</v>
      </c>
    </row>
    <row r="1140" spans="1:5" ht="43.5" x14ac:dyDescent="0.35">
      <c r="A1140">
        <v>2139</v>
      </c>
      <c r="B1140" t="s">
        <v>2780</v>
      </c>
      <c r="C1140" t="s">
        <v>1782</v>
      </c>
      <c r="D1140" s="12" t="str">
        <f t="shared" si="35"/>
        <v>2139,'112558','AUTO 1° A'</v>
      </c>
      <c r="E1140" s="12" t="str">
        <f t="shared" si="34"/>
        <v>INSERT INTO grupos (id,matricula,grupo) values (2139,'112558','AUTO 1° A');</v>
      </c>
    </row>
    <row r="1141" spans="1:5" ht="43.5" x14ac:dyDescent="0.35">
      <c r="A1141">
        <v>2140</v>
      </c>
      <c r="B1141" t="s">
        <v>2780</v>
      </c>
      <c r="C1141" t="s">
        <v>1808</v>
      </c>
      <c r="D1141" s="12" t="str">
        <f t="shared" si="35"/>
        <v>2140,'112558','TC0103_2'</v>
      </c>
      <c r="E1141" s="12" t="str">
        <f t="shared" si="34"/>
        <v>INSERT INTO grupos (id,matricula,grupo) values (2140,'112558','TC0103_2');</v>
      </c>
    </row>
    <row r="1142" spans="1:5" ht="43.5" x14ac:dyDescent="0.35">
      <c r="A1142">
        <v>2141</v>
      </c>
      <c r="B1142" t="s">
        <v>2781</v>
      </c>
      <c r="C1142" t="s">
        <v>1783</v>
      </c>
      <c r="D1142" s="12" t="str">
        <f t="shared" si="35"/>
        <v>2141,'112564','AERO 1°A'</v>
      </c>
      <c r="E1142" s="12" t="str">
        <f t="shared" si="34"/>
        <v>INSERT INTO grupos (id,matricula,grupo) values (2141,'112564','AERO 1°A');</v>
      </c>
    </row>
    <row r="1143" spans="1:5" ht="43.5" x14ac:dyDescent="0.35">
      <c r="A1143">
        <v>2142</v>
      </c>
      <c r="B1143" t="s">
        <v>2781</v>
      </c>
      <c r="C1143" t="s">
        <v>1817</v>
      </c>
      <c r="D1143" s="12" t="str">
        <f t="shared" si="35"/>
        <v>2142,'112564','TC0101_2'</v>
      </c>
      <c r="E1143" s="12" t="str">
        <f t="shared" si="34"/>
        <v>INSERT INTO grupos (id,matricula,grupo) values (2142,'112564','TC0101_2');</v>
      </c>
    </row>
    <row r="1144" spans="1:5" ht="43.5" x14ac:dyDescent="0.35">
      <c r="A1144">
        <v>2143</v>
      </c>
      <c r="B1144" t="s">
        <v>2781</v>
      </c>
      <c r="C1144" t="s">
        <v>1843</v>
      </c>
      <c r="D1144" s="12" t="str">
        <f t="shared" si="35"/>
        <v>2143,'112564','TC0102_2'</v>
      </c>
      <c r="E1144" s="12" t="str">
        <f t="shared" si="34"/>
        <v>INSERT INTO grupos (id,matricula,grupo) values (2143,'112564','TC0102_2');</v>
      </c>
    </row>
    <row r="1145" spans="1:5" ht="43.5" x14ac:dyDescent="0.35">
      <c r="A1145">
        <v>2144</v>
      </c>
      <c r="B1145" t="s">
        <v>2782</v>
      </c>
      <c r="C1145" t="s">
        <v>1783</v>
      </c>
      <c r="D1145" s="12" t="str">
        <f t="shared" si="35"/>
        <v>2144,'112566','AERO 1°A'</v>
      </c>
      <c r="E1145" s="12" t="str">
        <f t="shared" si="34"/>
        <v>INSERT INTO grupos (id,matricula,grupo) values (2144,'112566','AERO 1°A');</v>
      </c>
    </row>
    <row r="1146" spans="1:5" ht="43.5" x14ac:dyDescent="0.35">
      <c r="A1146">
        <v>2145</v>
      </c>
      <c r="B1146" t="s">
        <v>2782</v>
      </c>
      <c r="C1146" t="s">
        <v>1816</v>
      </c>
      <c r="D1146" s="12" t="str">
        <f t="shared" si="35"/>
        <v>2145,'112566','TC0101_1'</v>
      </c>
      <c r="E1146" s="12" t="str">
        <f t="shared" si="34"/>
        <v>INSERT INTO grupos (id,matricula,grupo) values (2145,'112566','TC0101_1');</v>
      </c>
    </row>
    <row r="1147" spans="1:5" ht="43.5" x14ac:dyDescent="0.35">
      <c r="A1147">
        <v>2146</v>
      </c>
      <c r="B1147" t="s">
        <v>2782</v>
      </c>
      <c r="C1147" t="s">
        <v>1842</v>
      </c>
      <c r="D1147" s="12" t="str">
        <f t="shared" si="35"/>
        <v>2146,'112566','TC0102_1'</v>
      </c>
      <c r="E1147" s="12" t="str">
        <f t="shared" si="34"/>
        <v>INSERT INTO grupos (id,matricula,grupo) values (2146,'112566','TC0102_1');</v>
      </c>
    </row>
    <row r="1148" spans="1:5" ht="43.5" x14ac:dyDescent="0.35">
      <c r="A1148">
        <v>2147</v>
      </c>
      <c r="B1148" t="s">
        <v>2783</v>
      </c>
      <c r="C1148" t="s">
        <v>1783</v>
      </c>
      <c r="D1148" s="12" t="str">
        <f t="shared" si="35"/>
        <v>2147,'112567','AERO 1°A'</v>
      </c>
      <c r="E1148" s="12" t="str">
        <f t="shared" si="34"/>
        <v>INSERT INTO grupos (id,matricula,grupo) values (2147,'112567','AERO 1°A');</v>
      </c>
    </row>
    <row r="1149" spans="1:5" ht="43.5" x14ac:dyDescent="0.35">
      <c r="A1149">
        <v>2148</v>
      </c>
      <c r="B1149" t="s">
        <v>2783</v>
      </c>
      <c r="C1149" t="s">
        <v>1817</v>
      </c>
      <c r="D1149" s="12" t="str">
        <f t="shared" si="35"/>
        <v>2148,'112567','TC0101_2'</v>
      </c>
      <c r="E1149" s="12" t="str">
        <f t="shared" si="34"/>
        <v>INSERT INTO grupos (id,matricula,grupo) values (2148,'112567','TC0101_2');</v>
      </c>
    </row>
    <row r="1150" spans="1:5" ht="43.5" x14ac:dyDescent="0.35">
      <c r="A1150">
        <v>2149</v>
      </c>
      <c r="B1150" t="s">
        <v>2783</v>
      </c>
      <c r="C1150" t="s">
        <v>1843</v>
      </c>
      <c r="D1150" s="12" t="str">
        <f t="shared" si="35"/>
        <v>2149,'112567','TC0102_2'</v>
      </c>
      <c r="E1150" s="12" t="str">
        <f t="shared" si="34"/>
        <v>INSERT INTO grupos (id,matricula,grupo) values (2149,'112567','TC0102_2');</v>
      </c>
    </row>
    <row r="1151" spans="1:5" ht="43.5" x14ac:dyDescent="0.35">
      <c r="A1151">
        <v>2150</v>
      </c>
      <c r="B1151" t="s">
        <v>2784</v>
      </c>
      <c r="C1151" t="s">
        <v>1773</v>
      </c>
      <c r="D1151" s="12" t="str">
        <f t="shared" si="35"/>
        <v>2150,'112568','AUTO 1° B'</v>
      </c>
      <c r="E1151" s="12" t="str">
        <f t="shared" si="34"/>
        <v>INSERT INTO grupos (id,matricula,grupo) values (2150,'112568','AUTO 1° B');</v>
      </c>
    </row>
    <row r="1152" spans="1:5" ht="43.5" x14ac:dyDescent="0.35">
      <c r="A1152">
        <v>2151</v>
      </c>
      <c r="B1152" t="s">
        <v>2784</v>
      </c>
      <c r="C1152" t="s">
        <v>2704</v>
      </c>
      <c r="D1152" s="12" t="str">
        <f t="shared" si="35"/>
        <v>2151,'112568','TC0102_3'</v>
      </c>
      <c r="E1152" s="12" t="str">
        <f t="shared" si="34"/>
        <v>INSERT INTO grupos (id,matricula,grupo) values (2151,'112568','TC0102_3');</v>
      </c>
    </row>
    <row r="1153" spans="1:5" ht="43.5" x14ac:dyDescent="0.35">
      <c r="A1153">
        <v>2152</v>
      </c>
      <c r="B1153" t="s">
        <v>2784</v>
      </c>
      <c r="C1153" t="s">
        <v>1807</v>
      </c>
      <c r="D1153" s="12" t="str">
        <f t="shared" si="35"/>
        <v>2152,'112568','TC0103_1'</v>
      </c>
      <c r="E1153" s="12" t="str">
        <f t="shared" si="34"/>
        <v>INSERT INTO grupos (id,matricula,grupo) values (2152,'112568','TC0103_1');</v>
      </c>
    </row>
    <row r="1154" spans="1:5" ht="43.5" x14ac:dyDescent="0.35">
      <c r="A1154">
        <v>2153</v>
      </c>
      <c r="B1154" t="s">
        <v>2785</v>
      </c>
      <c r="C1154" t="s">
        <v>1783</v>
      </c>
      <c r="D1154" s="12" t="str">
        <f t="shared" si="35"/>
        <v>2153,'112569','AERO 1°A'</v>
      </c>
      <c r="E1154" s="12" t="str">
        <f t="shared" ref="E1154:E1217" si="36">CONCATENATE($D$1,D1154,");")</f>
        <v>INSERT INTO grupos (id,matricula,grupo) values (2153,'112569','AERO 1°A');</v>
      </c>
    </row>
    <row r="1155" spans="1:5" ht="43.5" x14ac:dyDescent="0.35">
      <c r="A1155">
        <v>2154</v>
      </c>
      <c r="B1155" t="s">
        <v>2785</v>
      </c>
      <c r="C1155" t="s">
        <v>1816</v>
      </c>
      <c r="D1155" s="12" t="str">
        <f t="shared" ref="D1155:D1218" si="37">CONCATENATE(A1155,",'",TRIM(B1155),"','",C1155,"'")</f>
        <v>2154,'112569','TC0101_1'</v>
      </c>
      <c r="E1155" s="12" t="str">
        <f t="shared" si="36"/>
        <v>INSERT INTO grupos (id,matricula,grupo) values (2154,'112569','TC0101_1');</v>
      </c>
    </row>
    <row r="1156" spans="1:5" ht="43.5" x14ac:dyDescent="0.35">
      <c r="A1156">
        <v>2155</v>
      </c>
      <c r="B1156" t="s">
        <v>2785</v>
      </c>
      <c r="C1156" t="s">
        <v>1842</v>
      </c>
      <c r="D1156" s="12" t="str">
        <f t="shared" si="37"/>
        <v>2155,'112569','TC0102_1'</v>
      </c>
      <c r="E1156" s="12" t="str">
        <f t="shared" si="36"/>
        <v>INSERT INTO grupos (id,matricula,grupo) values (2155,'112569','TC0102_1');</v>
      </c>
    </row>
    <row r="1157" spans="1:5" ht="43.5" x14ac:dyDescent="0.35">
      <c r="A1157">
        <v>2156</v>
      </c>
      <c r="B1157" t="s">
        <v>2786</v>
      </c>
      <c r="C1157" t="s">
        <v>1760</v>
      </c>
      <c r="D1157" s="12" t="str">
        <f t="shared" si="37"/>
        <v>2156,'112570','ARQ 1°'</v>
      </c>
      <c r="E1157" s="12" t="str">
        <f t="shared" si="36"/>
        <v>INSERT INTO grupos (id,matricula,grupo) values (2156,'112570','ARQ 1°');</v>
      </c>
    </row>
    <row r="1158" spans="1:5" ht="43.5" x14ac:dyDescent="0.35">
      <c r="A1158">
        <v>2157</v>
      </c>
      <c r="B1158" t="s">
        <v>2786</v>
      </c>
      <c r="C1158" t="s">
        <v>1816</v>
      </c>
      <c r="D1158" s="12" t="str">
        <f t="shared" si="37"/>
        <v>2157,'112570','TC0101_1'</v>
      </c>
      <c r="E1158" s="12" t="str">
        <f t="shared" si="36"/>
        <v>INSERT INTO grupos (id,matricula,grupo) values (2157,'112570','TC0101_1');</v>
      </c>
    </row>
    <row r="1159" spans="1:5" ht="43.5" x14ac:dyDescent="0.35">
      <c r="A1159">
        <v>2158</v>
      </c>
      <c r="B1159" t="s">
        <v>2786</v>
      </c>
      <c r="C1159" t="s">
        <v>1842</v>
      </c>
      <c r="D1159" s="12" t="str">
        <f t="shared" si="37"/>
        <v>2158,'112570','TC0102_1'</v>
      </c>
      <c r="E1159" s="12" t="str">
        <f t="shared" si="36"/>
        <v>INSERT INTO grupos (id,matricula,grupo) values (2158,'112570','TC0102_1');</v>
      </c>
    </row>
    <row r="1160" spans="1:5" ht="43.5" x14ac:dyDescent="0.35">
      <c r="A1160">
        <v>2159</v>
      </c>
      <c r="B1160" t="s">
        <v>2787</v>
      </c>
      <c r="C1160" t="s">
        <v>1782</v>
      </c>
      <c r="D1160" s="12" t="str">
        <f t="shared" si="37"/>
        <v>2159,'112577','AUTO 1° A'</v>
      </c>
      <c r="E1160" s="12" t="str">
        <f t="shared" si="36"/>
        <v>INSERT INTO grupos (id,matricula,grupo) values (2159,'112577','AUTO 1° A');</v>
      </c>
    </row>
    <row r="1161" spans="1:5" ht="43.5" x14ac:dyDescent="0.35">
      <c r="A1161">
        <v>2160</v>
      </c>
      <c r="B1161" t="s">
        <v>2787</v>
      </c>
      <c r="C1161" t="s">
        <v>2704</v>
      </c>
      <c r="D1161" s="12" t="str">
        <f t="shared" si="37"/>
        <v>2160,'112577','TC0102_3'</v>
      </c>
      <c r="E1161" s="12" t="str">
        <f t="shared" si="36"/>
        <v>INSERT INTO grupos (id,matricula,grupo) values (2160,'112577','TC0102_3');</v>
      </c>
    </row>
    <row r="1162" spans="1:5" ht="43.5" x14ac:dyDescent="0.35">
      <c r="A1162">
        <v>2161</v>
      </c>
      <c r="B1162" t="s">
        <v>2787</v>
      </c>
      <c r="C1162" t="s">
        <v>1807</v>
      </c>
      <c r="D1162" s="12" t="str">
        <f t="shared" si="37"/>
        <v>2161,'112577','TC0103_1'</v>
      </c>
      <c r="E1162" s="12" t="str">
        <f t="shared" si="36"/>
        <v>INSERT INTO grupos (id,matricula,grupo) values (2161,'112577','TC0103_1');</v>
      </c>
    </row>
    <row r="1163" spans="1:5" ht="43.5" x14ac:dyDescent="0.35">
      <c r="A1163">
        <v>2162</v>
      </c>
      <c r="B1163" t="s">
        <v>2788</v>
      </c>
      <c r="C1163" t="s">
        <v>1784</v>
      </c>
      <c r="D1163" s="12" t="str">
        <f t="shared" si="37"/>
        <v>2162,'112579','PSI 1°'</v>
      </c>
      <c r="E1163" s="12" t="str">
        <f t="shared" si="36"/>
        <v>INSERT INTO grupos (id,matricula,grupo) values (2162,'112579','PSI 1°');</v>
      </c>
    </row>
    <row r="1164" spans="1:5" ht="43.5" x14ac:dyDescent="0.35">
      <c r="A1164">
        <v>2163</v>
      </c>
      <c r="B1164" t="s">
        <v>2788</v>
      </c>
      <c r="C1164" t="s">
        <v>2704</v>
      </c>
      <c r="D1164" s="12" t="str">
        <f t="shared" si="37"/>
        <v>2163,'112579','TC0102_3'</v>
      </c>
      <c r="E1164" s="12" t="str">
        <f t="shared" si="36"/>
        <v>INSERT INTO grupos (id,matricula,grupo) values (2163,'112579','TC0102_3');</v>
      </c>
    </row>
    <row r="1165" spans="1:5" ht="43.5" x14ac:dyDescent="0.35">
      <c r="A1165">
        <v>2164</v>
      </c>
      <c r="B1165" t="s">
        <v>2788</v>
      </c>
      <c r="C1165" t="s">
        <v>1807</v>
      </c>
      <c r="D1165" s="12" t="str">
        <f t="shared" si="37"/>
        <v>2164,'112579','TC0103_1'</v>
      </c>
      <c r="E1165" s="12" t="str">
        <f t="shared" si="36"/>
        <v>INSERT INTO grupos (id,matricula,grupo) values (2164,'112579','TC0103_1');</v>
      </c>
    </row>
    <row r="1166" spans="1:5" ht="43.5" x14ac:dyDescent="0.35">
      <c r="A1166">
        <v>2165</v>
      </c>
      <c r="B1166" t="s">
        <v>1061</v>
      </c>
      <c r="C1166" t="s">
        <v>1797</v>
      </c>
      <c r="D1166" s="12" t="str">
        <f t="shared" si="37"/>
        <v>2165,'112362','TIDIOMAS_1'</v>
      </c>
      <c r="E1166" s="12" t="str">
        <f t="shared" si="36"/>
        <v>INSERT INTO grupos (id,matricula,grupo) values (2165,'112362','TIDIOMAS_1');</v>
      </c>
    </row>
    <row r="1167" spans="1:5" ht="43.5" x14ac:dyDescent="0.35">
      <c r="A1167">
        <v>2166</v>
      </c>
      <c r="B1167" t="s">
        <v>1069</v>
      </c>
      <c r="C1167" t="s">
        <v>1797</v>
      </c>
      <c r="D1167" s="12" t="str">
        <f t="shared" si="37"/>
        <v>2166,'112472','TIDIOMAS_1'</v>
      </c>
      <c r="E1167" s="12" t="str">
        <f t="shared" si="36"/>
        <v>INSERT INTO grupos (id,matricula,grupo) values (2166,'112472','TIDIOMAS_1');</v>
      </c>
    </row>
    <row r="1168" spans="1:5" ht="43.5" x14ac:dyDescent="0.35">
      <c r="A1168">
        <v>2167</v>
      </c>
      <c r="B1168" t="s">
        <v>1070</v>
      </c>
      <c r="C1168" t="s">
        <v>1797</v>
      </c>
      <c r="D1168" s="12" t="str">
        <f t="shared" si="37"/>
        <v>2167,'112473','TIDIOMAS_1'</v>
      </c>
      <c r="E1168" s="12" t="str">
        <f t="shared" si="36"/>
        <v>INSERT INTO grupos (id,matricula,grupo) values (2167,'112473','TIDIOMAS_1');</v>
      </c>
    </row>
    <row r="1169" spans="1:5" ht="43.5" x14ac:dyDescent="0.35">
      <c r="A1169">
        <v>2168</v>
      </c>
      <c r="B1169" t="s">
        <v>1092</v>
      </c>
      <c r="C1169" t="s">
        <v>1797</v>
      </c>
      <c r="D1169" s="12" t="str">
        <f t="shared" si="37"/>
        <v>2168,'112496','TIDIOMAS_1'</v>
      </c>
      <c r="E1169" s="12" t="str">
        <f t="shared" si="36"/>
        <v>INSERT INTO grupos (id,matricula,grupo) values (2168,'112496','TIDIOMAS_1');</v>
      </c>
    </row>
    <row r="1170" spans="1:5" ht="43.5" x14ac:dyDescent="0.35">
      <c r="A1170">
        <v>2169</v>
      </c>
      <c r="B1170" t="s">
        <v>1107</v>
      </c>
      <c r="C1170" t="s">
        <v>1797</v>
      </c>
      <c r="D1170" s="12" t="str">
        <f t="shared" si="37"/>
        <v>2169,'112511','TIDIOMAS_1'</v>
      </c>
      <c r="E1170" s="12" t="str">
        <f t="shared" si="36"/>
        <v>INSERT INTO grupos (id,matricula,grupo) values (2169,'112511','TIDIOMAS_1');</v>
      </c>
    </row>
    <row r="1171" spans="1:5" ht="43.5" x14ac:dyDescent="0.35">
      <c r="A1171">
        <v>2170</v>
      </c>
      <c r="B1171" t="s">
        <v>1111</v>
      </c>
      <c r="C1171" t="s">
        <v>1797</v>
      </c>
      <c r="D1171" s="12" t="str">
        <f t="shared" si="37"/>
        <v>2170,'112515','TIDIOMAS_1'</v>
      </c>
      <c r="E1171" s="12" t="str">
        <f t="shared" si="36"/>
        <v>INSERT INTO grupos (id,matricula,grupo) values (2170,'112515','TIDIOMAS_1');</v>
      </c>
    </row>
    <row r="1172" spans="1:5" ht="43.5" x14ac:dyDescent="0.35">
      <c r="A1172">
        <v>2171</v>
      </c>
      <c r="B1172" t="s">
        <v>1114</v>
      </c>
      <c r="C1172" t="s">
        <v>1797</v>
      </c>
      <c r="D1172" s="12" t="str">
        <f t="shared" si="37"/>
        <v>2171,'112518','TIDIOMAS_1'</v>
      </c>
      <c r="E1172" s="12" t="str">
        <f t="shared" si="36"/>
        <v>INSERT INTO grupos (id,matricula,grupo) values (2171,'112518','TIDIOMAS_1');</v>
      </c>
    </row>
    <row r="1173" spans="1:5" ht="43.5" x14ac:dyDescent="0.35">
      <c r="A1173">
        <v>2172</v>
      </c>
      <c r="B1173" t="s">
        <v>1121</v>
      </c>
      <c r="C1173" t="s">
        <v>1797</v>
      </c>
      <c r="D1173" s="12" t="str">
        <f t="shared" si="37"/>
        <v>2172,'112526','TIDIOMAS_1'</v>
      </c>
      <c r="E1173" s="12" t="str">
        <f t="shared" si="36"/>
        <v>INSERT INTO grupos (id,matricula,grupo) values (2172,'112526','TIDIOMAS_1');</v>
      </c>
    </row>
    <row r="1174" spans="1:5" ht="43.5" x14ac:dyDescent="0.35">
      <c r="A1174">
        <v>2173</v>
      </c>
      <c r="B1174" t="s">
        <v>1124</v>
      </c>
      <c r="C1174" t="s">
        <v>1797</v>
      </c>
      <c r="D1174" s="12" t="str">
        <f t="shared" si="37"/>
        <v>2173,'112529','TIDIOMAS_1'</v>
      </c>
      <c r="E1174" s="12" t="str">
        <f t="shared" si="36"/>
        <v>INSERT INTO grupos (id,matricula,grupo) values (2173,'112529','TIDIOMAS_1');</v>
      </c>
    </row>
    <row r="1175" spans="1:5" ht="43.5" x14ac:dyDescent="0.35">
      <c r="A1175">
        <v>2174</v>
      </c>
      <c r="B1175" t="s">
        <v>1128</v>
      </c>
      <c r="C1175" t="s">
        <v>1797</v>
      </c>
      <c r="D1175" s="12" t="str">
        <f t="shared" si="37"/>
        <v>2174,'112539','TIDIOMAS_1'</v>
      </c>
      <c r="E1175" s="12" t="str">
        <f t="shared" si="36"/>
        <v>INSERT INTO grupos (id,matricula,grupo) values (2174,'112539','TIDIOMAS_1');</v>
      </c>
    </row>
    <row r="1176" spans="1:5" ht="43.5" x14ac:dyDescent="0.35">
      <c r="A1176">
        <v>2175</v>
      </c>
      <c r="B1176" t="s">
        <v>1132</v>
      </c>
      <c r="C1176" t="s">
        <v>1797</v>
      </c>
      <c r="D1176" s="12" t="str">
        <f t="shared" si="37"/>
        <v>2175,'112548','TIDIOMAS_1'</v>
      </c>
      <c r="E1176" s="12" t="str">
        <f t="shared" si="36"/>
        <v>INSERT INTO grupos (id,matricula,grupo) values (2175,'112548','TIDIOMAS_1');</v>
      </c>
    </row>
    <row r="1177" spans="1:5" ht="43.5" x14ac:dyDescent="0.35">
      <c r="A1177">
        <v>2176</v>
      </c>
      <c r="B1177" t="s">
        <v>1138</v>
      </c>
      <c r="C1177" t="s">
        <v>1797</v>
      </c>
      <c r="D1177" s="12" t="str">
        <f t="shared" si="37"/>
        <v>2176,'112555','TIDIOMAS_1'</v>
      </c>
      <c r="E1177" s="12" t="str">
        <f t="shared" si="36"/>
        <v>INSERT INTO grupos (id,matricula,grupo) values (2176,'112555','TIDIOMAS_1');</v>
      </c>
    </row>
    <row r="1178" spans="1:5" ht="43.5" x14ac:dyDescent="0.35">
      <c r="A1178">
        <v>2177</v>
      </c>
      <c r="B1178" t="s">
        <v>1141</v>
      </c>
      <c r="C1178" t="s">
        <v>1797</v>
      </c>
      <c r="D1178" s="12" t="str">
        <f t="shared" si="37"/>
        <v>2177,'112564','TIDIOMAS_1'</v>
      </c>
      <c r="E1178" s="12" t="str">
        <f t="shared" si="36"/>
        <v>INSERT INTO grupos (id,matricula,grupo) values (2177,'112564','TIDIOMAS_1');</v>
      </c>
    </row>
    <row r="1179" spans="1:5" ht="43.5" x14ac:dyDescent="0.35">
      <c r="A1179">
        <v>2178</v>
      </c>
      <c r="B1179" t="s">
        <v>1137</v>
      </c>
      <c r="C1179" t="s">
        <v>1800</v>
      </c>
      <c r="D1179" s="12" t="str">
        <f t="shared" si="37"/>
        <v>2178,'112554','TIDIOMAS_2'</v>
      </c>
      <c r="E1179" s="12" t="str">
        <f t="shared" si="36"/>
        <v>INSERT INTO grupos (id,matricula,grupo) values (2178,'112554','TIDIOMAS_2');</v>
      </c>
    </row>
    <row r="1180" spans="1:5" ht="43.5" x14ac:dyDescent="0.35">
      <c r="A1180">
        <v>2179</v>
      </c>
      <c r="B1180" t="s">
        <v>1140</v>
      </c>
      <c r="C1180" t="s">
        <v>1800</v>
      </c>
      <c r="D1180" s="12" t="str">
        <f t="shared" si="37"/>
        <v>2179,'112558','TIDIOMAS_2'</v>
      </c>
      <c r="E1180" s="12" t="str">
        <f t="shared" si="36"/>
        <v>INSERT INTO grupos (id,matricula,grupo) values (2179,'112558','TIDIOMAS_2');</v>
      </c>
    </row>
    <row r="1181" spans="1:5" ht="43.5" x14ac:dyDescent="0.35">
      <c r="A1181">
        <v>2180</v>
      </c>
      <c r="B1181" t="s">
        <v>1142</v>
      </c>
      <c r="C1181" t="s">
        <v>1800</v>
      </c>
      <c r="D1181" s="12" t="str">
        <f t="shared" si="37"/>
        <v>2180,'112566','TIDIOMAS_2'</v>
      </c>
      <c r="E1181" s="12" t="str">
        <f t="shared" si="36"/>
        <v>INSERT INTO grupos (id,matricula,grupo) values (2180,'112566','TIDIOMAS_2');</v>
      </c>
    </row>
    <row r="1182" spans="1:5" ht="43.5" x14ac:dyDescent="0.35">
      <c r="A1182">
        <v>2181</v>
      </c>
      <c r="B1182" t="s">
        <v>1027</v>
      </c>
      <c r="C1182" t="s">
        <v>1799</v>
      </c>
      <c r="D1182" s="12" t="str">
        <f t="shared" si="37"/>
        <v>2181,'112259','TIDIOMAS_3'</v>
      </c>
      <c r="E1182" s="12" t="str">
        <f t="shared" si="36"/>
        <v>INSERT INTO grupos (id,matricula,grupo) values (2181,'112259','TIDIOMAS_3');</v>
      </c>
    </row>
    <row r="1183" spans="1:5" ht="43.5" x14ac:dyDescent="0.35">
      <c r="A1183">
        <v>2182</v>
      </c>
      <c r="B1183" t="s">
        <v>1063</v>
      </c>
      <c r="C1183" t="s">
        <v>1799</v>
      </c>
      <c r="D1183" s="12" t="str">
        <f t="shared" si="37"/>
        <v>2182,'112466','TIDIOMAS_3'</v>
      </c>
      <c r="E1183" s="12" t="str">
        <f t="shared" si="36"/>
        <v>INSERT INTO grupos (id,matricula,grupo) values (2182,'112466','TIDIOMAS_3');</v>
      </c>
    </row>
    <row r="1184" spans="1:5" ht="43.5" x14ac:dyDescent="0.35">
      <c r="A1184">
        <v>2183</v>
      </c>
      <c r="B1184" t="s">
        <v>1064</v>
      </c>
      <c r="C1184" t="s">
        <v>1799</v>
      </c>
      <c r="D1184" s="12" t="str">
        <f t="shared" si="37"/>
        <v>2183,'112467','TIDIOMAS_3'</v>
      </c>
      <c r="E1184" s="12" t="str">
        <f t="shared" si="36"/>
        <v>INSERT INTO grupos (id,matricula,grupo) values (2183,'112467','TIDIOMAS_3');</v>
      </c>
    </row>
    <row r="1185" spans="1:5" ht="43.5" x14ac:dyDescent="0.35">
      <c r="A1185">
        <v>2184</v>
      </c>
      <c r="B1185" t="s">
        <v>1065</v>
      </c>
      <c r="C1185" t="s">
        <v>1799</v>
      </c>
      <c r="D1185" s="12" t="str">
        <f t="shared" si="37"/>
        <v>2184,'112468','TIDIOMAS_3'</v>
      </c>
      <c r="E1185" s="12" t="str">
        <f t="shared" si="36"/>
        <v>INSERT INTO grupos (id,matricula,grupo) values (2184,'112468','TIDIOMAS_3');</v>
      </c>
    </row>
    <row r="1186" spans="1:5" ht="43.5" x14ac:dyDescent="0.35">
      <c r="A1186">
        <v>2185</v>
      </c>
      <c r="B1186" t="s">
        <v>1066</v>
      </c>
      <c r="C1186" t="s">
        <v>1799</v>
      </c>
      <c r="D1186" s="12" t="str">
        <f t="shared" si="37"/>
        <v>2185,'112469','TIDIOMAS_3'</v>
      </c>
      <c r="E1186" s="12" t="str">
        <f t="shared" si="36"/>
        <v>INSERT INTO grupos (id,matricula,grupo) values (2185,'112469','TIDIOMAS_3');</v>
      </c>
    </row>
    <row r="1187" spans="1:5" ht="43.5" x14ac:dyDescent="0.35">
      <c r="A1187">
        <v>2186</v>
      </c>
      <c r="B1187" t="s">
        <v>1067</v>
      </c>
      <c r="C1187" t="s">
        <v>1799</v>
      </c>
      <c r="D1187" s="12" t="str">
        <f t="shared" si="37"/>
        <v>2186,'112470','TIDIOMAS_3'</v>
      </c>
      <c r="E1187" s="12" t="str">
        <f t="shared" si="36"/>
        <v>INSERT INTO grupos (id,matricula,grupo) values (2186,'112470','TIDIOMAS_3');</v>
      </c>
    </row>
    <row r="1188" spans="1:5" ht="43.5" x14ac:dyDescent="0.35">
      <c r="A1188">
        <v>2187</v>
      </c>
      <c r="B1188" t="s">
        <v>1068</v>
      </c>
      <c r="C1188" t="s">
        <v>1799</v>
      </c>
      <c r="D1188" s="12" t="str">
        <f t="shared" si="37"/>
        <v>2187,'112471','TIDIOMAS_3'</v>
      </c>
      <c r="E1188" s="12" t="str">
        <f t="shared" si="36"/>
        <v>INSERT INTO grupos (id,matricula,grupo) values (2187,'112471','TIDIOMAS_3');</v>
      </c>
    </row>
    <row r="1189" spans="1:5" ht="43.5" x14ac:dyDescent="0.35">
      <c r="A1189">
        <v>2188</v>
      </c>
      <c r="B1189" t="s">
        <v>1072</v>
      </c>
      <c r="C1189" t="s">
        <v>1799</v>
      </c>
      <c r="D1189" s="12" t="str">
        <f t="shared" si="37"/>
        <v>2188,'112475','TIDIOMAS_3'</v>
      </c>
      <c r="E1189" s="12" t="str">
        <f t="shared" si="36"/>
        <v>INSERT INTO grupos (id,matricula,grupo) values (2188,'112475','TIDIOMAS_3');</v>
      </c>
    </row>
    <row r="1190" spans="1:5" ht="43.5" x14ac:dyDescent="0.35">
      <c r="A1190">
        <v>2189</v>
      </c>
      <c r="B1190" t="s">
        <v>1080</v>
      </c>
      <c r="C1190" t="s">
        <v>1799</v>
      </c>
      <c r="D1190" s="12" t="str">
        <f t="shared" si="37"/>
        <v>2189,'112483','TIDIOMAS_3'</v>
      </c>
      <c r="E1190" s="12" t="str">
        <f t="shared" si="36"/>
        <v>INSERT INTO grupos (id,matricula,grupo) values (2189,'112483','TIDIOMAS_3');</v>
      </c>
    </row>
    <row r="1191" spans="1:5" ht="43.5" x14ac:dyDescent="0.35">
      <c r="A1191">
        <v>2190</v>
      </c>
      <c r="B1191" t="s">
        <v>1085</v>
      </c>
      <c r="C1191" t="s">
        <v>1799</v>
      </c>
      <c r="D1191" s="12" t="str">
        <f t="shared" si="37"/>
        <v>2190,'112489','TIDIOMAS_3'</v>
      </c>
      <c r="E1191" s="12" t="str">
        <f t="shared" si="36"/>
        <v>INSERT INTO grupos (id,matricula,grupo) values (2190,'112489','TIDIOMAS_3');</v>
      </c>
    </row>
    <row r="1192" spans="1:5" ht="43.5" x14ac:dyDescent="0.35">
      <c r="A1192">
        <v>2191</v>
      </c>
      <c r="B1192" t="s">
        <v>1093</v>
      </c>
      <c r="C1192" t="s">
        <v>1799</v>
      </c>
      <c r="D1192" s="12" t="str">
        <f t="shared" si="37"/>
        <v>2191,'112497','TIDIOMAS_3'</v>
      </c>
      <c r="E1192" s="12" t="str">
        <f t="shared" si="36"/>
        <v>INSERT INTO grupos (id,matricula,grupo) values (2191,'112497','TIDIOMAS_3');</v>
      </c>
    </row>
    <row r="1193" spans="1:5" ht="43.5" x14ac:dyDescent="0.35">
      <c r="A1193">
        <v>2192</v>
      </c>
      <c r="B1193" t="s">
        <v>1102</v>
      </c>
      <c r="C1193" t="s">
        <v>1799</v>
      </c>
      <c r="D1193" s="12" t="str">
        <f t="shared" si="37"/>
        <v>2192,'112506','TIDIOMAS_3'</v>
      </c>
      <c r="E1193" s="12" t="str">
        <f t="shared" si="36"/>
        <v>INSERT INTO grupos (id,matricula,grupo) values (2192,'112506','TIDIOMAS_3');</v>
      </c>
    </row>
    <row r="1194" spans="1:5" ht="43.5" x14ac:dyDescent="0.35">
      <c r="A1194">
        <v>2193</v>
      </c>
      <c r="B1194" t="s">
        <v>1103</v>
      </c>
      <c r="C1194" t="s">
        <v>1799</v>
      </c>
      <c r="D1194" s="12" t="str">
        <f t="shared" si="37"/>
        <v>2193,'112507','TIDIOMAS_3'</v>
      </c>
      <c r="E1194" s="12" t="str">
        <f t="shared" si="36"/>
        <v>INSERT INTO grupos (id,matricula,grupo) values (2193,'112507','TIDIOMAS_3');</v>
      </c>
    </row>
    <row r="1195" spans="1:5" ht="43.5" x14ac:dyDescent="0.35">
      <c r="A1195">
        <v>2194</v>
      </c>
      <c r="B1195" t="s">
        <v>1112</v>
      </c>
      <c r="C1195" t="s">
        <v>1799</v>
      </c>
      <c r="D1195" s="12" t="str">
        <f t="shared" si="37"/>
        <v>2194,'112516','TIDIOMAS_3'</v>
      </c>
      <c r="E1195" s="12" t="str">
        <f t="shared" si="36"/>
        <v>INSERT INTO grupos (id,matricula,grupo) values (2194,'112516','TIDIOMAS_3');</v>
      </c>
    </row>
    <row r="1196" spans="1:5" ht="43.5" x14ac:dyDescent="0.35">
      <c r="A1196">
        <v>2195</v>
      </c>
      <c r="B1196" t="s">
        <v>1119</v>
      </c>
      <c r="C1196" t="s">
        <v>1799</v>
      </c>
      <c r="D1196" s="12" t="str">
        <f t="shared" si="37"/>
        <v>2195,'112524','TIDIOMAS_3'</v>
      </c>
      <c r="E1196" s="12" t="str">
        <f t="shared" si="36"/>
        <v>INSERT INTO grupos (id,matricula,grupo) values (2195,'112524','TIDIOMAS_3');</v>
      </c>
    </row>
    <row r="1197" spans="1:5" ht="43.5" x14ac:dyDescent="0.35">
      <c r="A1197">
        <v>2196</v>
      </c>
      <c r="B1197" t="s">
        <v>1130</v>
      </c>
      <c r="C1197" t="s">
        <v>1799</v>
      </c>
      <c r="D1197" s="12" t="str">
        <f t="shared" si="37"/>
        <v>2196,'112545','TIDIOMAS_3'</v>
      </c>
      <c r="E1197" s="12" t="str">
        <f t="shared" si="36"/>
        <v>INSERT INTO grupos (id,matricula,grupo) values (2196,'112545','TIDIOMAS_3');</v>
      </c>
    </row>
    <row r="1198" spans="1:5" ht="43.5" x14ac:dyDescent="0.35">
      <c r="A1198">
        <v>2197</v>
      </c>
      <c r="B1198" t="s">
        <v>1131</v>
      </c>
      <c r="C1198" t="s">
        <v>1799</v>
      </c>
      <c r="D1198" s="12" t="str">
        <f t="shared" si="37"/>
        <v>2197,'112546','TIDIOMAS_3'</v>
      </c>
      <c r="E1198" s="12" t="str">
        <f t="shared" si="36"/>
        <v>INSERT INTO grupos (id,matricula,grupo) values (2197,'112546','TIDIOMAS_3');</v>
      </c>
    </row>
    <row r="1199" spans="1:5" ht="43.5" x14ac:dyDescent="0.35">
      <c r="A1199">
        <v>2198</v>
      </c>
      <c r="B1199" t="s">
        <v>941</v>
      </c>
      <c r="C1199" t="s">
        <v>1793</v>
      </c>
      <c r="D1199" s="12" t="str">
        <f t="shared" si="37"/>
        <v>2198,'112158','TIDIOMAS_4'</v>
      </c>
      <c r="E1199" s="12" t="str">
        <f t="shared" si="36"/>
        <v>INSERT INTO grupos (id,matricula,grupo) values (2198,'112158','TIDIOMAS_4');</v>
      </c>
    </row>
    <row r="1200" spans="1:5" ht="43.5" x14ac:dyDescent="0.35">
      <c r="A1200">
        <v>2199</v>
      </c>
      <c r="B1200" t="s">
        <v>952</v>
      </c>
      <c r="C1200" t="s">
        <v>1793</v>
      </c>
      <c r="D1200" s="12" t="str">
        <f t="shared" si="37"/>
        <v>2199,'112170','TIDIOMAS_4'</v>
      </c>
      <c r="E1200" s="12" t="str">
        <f t="shared" si="36"/>
        <v>INSERT INTO grupos (id,matricula,grupo) values (2199,'112170','TIDIOMAS_4');</v>
      </c>
    </row>
    <row r="1201" spans="1:5" ht="43.5" x14ac:dyDescent="0.35">
      <c r="A1201">
        <v>2200</v>
      </c>
      <c r="B1201" t="s">
        <v>969</v>
      </c>
      <c r="C1201" t="s">
        <v>1793</v>
      </c>
      <c r="D1201" s="12" t="str">
        <f t="shared" si="37"/>
        <v>2200,'112187','TIDIOMAS_4'</v>
      </c>
      <c r="E1201" s="12" t="str">
        <f t="shared" si="36"/>
        <v>INSERT INTO grupos (id,matricula,grupo) values (2200,'112187','TIDIOMAS_4');</v>
      </c>
    </row>
    <row r="1202" spans="1:5" ht="43.5" x14ac:dyDescent="0.35">
      <c r="A1202">
        <v>2201</v>
      </c>
      <c r="B1202" t="s">
        <v>979</v>
      </c>
      <c r="C1202" t="s">
        <v>1793</v>
      </c>
      <c r="D1202" s="12" t="str">
        <f t="shared" si="37"/>
        <v>2201,'112197','TIDIOMAS_4'</v>
      </c>
      <c r="E1202" s="12" t="str">
        <f t="shared" si="36"/>
        <v>INSERT INTO grupos (id,matricula,grupo) values (2201,'112197','TIDIOMAS_4');</v>
      </c>
    </row>
    <row r="1203" spans="1:5" ht="43.5" x14ac:dyDescent="0.35">
      <c r="A1203">
        <v>2202</v>
      </c>
      <c r="B1203" t="s">
        <v>1021</v>
      </c>
      <c r="C1203" t="s">
        <v>1793</v>
      </c>
      <c r="D1203" s="12" t="str">
        <f t="shared" si="37"/>
        <v>2202,'112253','TIDIOMAS_4'</v>
      </c>
      <c r="E1203" s="12" t="str">
        <f t="shared" si="36"/>
        <v>INSERT INTO grupos (id,matricula,grupo) values (2202,'112253','TIDIOMAS_4');</v>
      </c>
    </row>
    <row r="1204" spans="1:5" ht="43.5" x14ac:dyDescent="0.35">
      <c r="A1204">
        <v>2203</v>
      </c>
      <c r="B1204" t="s">
        <v>1023</v>
      </c>
      <c r="C1204" t="s">
        <v>1793</v>
      </c>
      <c r="D1204" s="12" t="str">
        <f t="shared" si="37"/>
        <v>2203,'112255','TIDIOMAS_4'</v>
      </c>
      <c r="E1204" s="12" t="str">
        <f t="shared" si="36"/>
        <v>INSERT INTO grupos (id,matricula,grupo) values (2203,'112255','TIDIOMAS_4');</v>
      </c>
    </row>
    <row r="1205" spans="1:5" ht="43.5" x14ac:dyDescent="0.35">
      <c r="A1205">
        <v>2204</v>
      </c>
      <c r="B1205" t="s">
        <v>1030</v>
      </c>
      <c r="C1205" t="s">
        <v>1793</v>
      </c>
      <c r="D1205" s="12" t="str">
        <f t="shared" si="37"/>
        <v>2204,'112264','TIDIOMAS_4'</v>
      </c>
      <c r="E1205" s="12" t="str">
        <f t="shared" si="36"/>
        <v>INSERT INTO grupos (id,matricula,grupo) values (2204,'112264','TIDIOMAS_4');</v>
      </c>
    </row>
    <row r="1206" spans="1:5" ht="43.5" x14ac:dyDescent="0.35">
      <c r="A1206">
        <v>2205</v>
      </c>
      <c r="B1206" t="s">
        <v>1031</v>
      </c>
      <c r="C1206" t="s">
        <v>1793</v>
      </c>
      <c r="D1206" s="12" t="str">
        <f t="shared" si="37"/>
        <v>2205,'112266','TIDIOMAS_4'</v>
      </c>
      <c r="E1206" s="12" t="str">
        <f t="shared" si="36"/>
        <v>INSERT INTO grupos (id,matricula,grupo) values (2205,'112266','TIDIOMAS_4');</v>
      </c>
    </row>
    <row r="1207" spans="1:5" ht="43.5" x14ac:dyDescent="0.35">
      <c r="A1207">
        <v>2206</v>
      </c>
      <c r="B1207" t="s">
        <v>1073</v>
      </c>
      <c r="C1207" t="s">
        <v>1793</v>
      </c>
      <c r="D1207" s="12" t="str">
        <f t="shared" si="37"/>
        <v>2206,'112476','TIDIOMAS_4'</v>
      </c>
      <c r="E1207" s="12" t="str">
        <f t="shared" si="36"/>
        <v>INSERT INTO grupos (id,matricula,grupo) values (2206,'112476','TIDIOMAS_4');</v>
      </c>
    </row>
    <row r="1208" spans="1:5" ht="43.5" x14ac:dyDescent="0.35">
      <c r="A1208">
        <v>2207</v>
      </c>
      <c r="B1208" t="s">
        <v>1078</v>
      </c>
      <c r="C1208" t="s">
        <v>1793</v>
      </c>
      <c r="D1208" s="12" t="str">
        <f t="shared" si="37"/>
        <v>2207,'112481','TIDIOMAS_4'</v>
      </c>
      <c r="E1208" s="12" t="str">
        <f t="shared" si="36"/>
        <v>INSERT INTO grupos (id,matricula,grupo) values (2207,'112481','TIDIOMAS_4');</v>
      </c>
    </row>
    <row r="1209" spans="1:5" ht="43.5" x14ac:dyDescent="0.35">
      <c r="A1209">
        <v>2208</v>
      </c>
      <c r="B1209" t="s">
        <v>1087</v>
      </c>
      <c r="C1209" t="s">
        <v>1793</v>
      </c>
      <c r="D1209" s="12" t="str">
        <f t="shared" si="37"/>
        <v>2208,'112491','TIDIOMAS_4'</v>
      </c>
      <c r="E1209" s="12" t="str">
        <f t="shared" si="36"/>
        <v>INSERT INTO grupos (id,matricula,grupo) values (2208,'112491','TIDIOMAS_4');</v>
      </c>
    </row>
    <row r="1210" spans="1:5" ht="43.5" x14ac:dyDescent="0.35">
      <c r="A1210">
        <v>2209</v>
      </c>
      <c r="B1210" t="s">
        <v>1094</v>
      </c>
      <c r="C1210" t="s">
        <v>1793</v>
      </c>
      <c r="D1210" s="12" t="str">
        <f t="shared" si="37"/>
        <v>2209,'112498','TIDIOMAS_4'</v>
      </c>
      <c r="E1210" s="12" t="str">
        <f t="shared" si="36"/>
        <v>INSERT INTO grupos (id,matricula,grupo) values (2209,'112498','TIDIOMAS_4');</v>
      </c>
    </row>
    <row r="1211" spans="1:5" ht="43.5" x14ac:dyDescent="0.35">
      <c r="A1211">
        <v>2210</v>
      </c>
      <c r="B1211" t="s">
        <v>1098</v>
      </c>
      <c r="C1211" t="s">
        <v>1793</v>
      </c>
      <c r="D1211" s="12" t="str">
        <f t="shared" si="37"/>
        <v>2210,'112502','TIDIOMAS_4'</v>
      </c>
      <c r="E1211" s="12" t="str">
        <f t="shared" si="36"/>
        <v>INSERT INTO grupos (id,matricula,grupo) values (2210,'112502','TIDIOMAS_4');</v>
      </c>
    </row>
    <row r="1212" spans="1:5" ht="43.5" x14ac:dyDescent="0.35">
      <c r="A1212">
        <v>2211</v>
      </c>
      <c r="B1212" t="s">
        <v>1101</v>
      </c>
      <c r="C1212" t="s">
        <v>1793</v>
      </c>
      <c r="D1212" s="12" t="str">
        <f t="shared" si="37"/>
        <v>2211,'112505','TIDIOMAS_4'</v>
      </c>
      <c r="E1212" s="12" t="str">
        <f t="shared" si="36"/>
        <v>INSERT INTO grupos (id,matricula,grupo) values (2211,'112505','TIDIOMAS_4');</v>
      </c>
    </row>
    <row r="1213" spans="1:5" ht="43.5" x14ac:dyDescent="0.35">
      <c r="A1213">
        <v>2212</v>
      </c>
      <c r="B1213" t="s">
        <v>1104</v>
      </c>
      <c r="C1213" t="s">
        <v>1793</v>
      </c>
      <c r="D1213" s="12" t="str">
        <f t="shared" si="37"/>
        <v>2212,'112508','TIDIOMAS_4'</v>
      </c>
      <c r="E1213" s="12" t="str">
        <f t="shared" si="36"/>
        <v>INSERT INTO grupos (id,matricula,grupo) values (2212,'112508','TIDIOMAS_4');</v>
      </c>
    </row>
    <row r="1214" spans="1:5" ht="43.5" x14ac:dyDescent="0.35">
      <c r="A1214">
        <v>2213</v>
      </c>
      <c r="B1214" t="s">
        <v>1106</v>
      </c>
      <c r="C1214" t="s">
        <v>1793</v>
      </c>
      <c r="D1214" s="12" t="str">
        <f t="shared" si="37"/>
        <v>2213,'112510','TIDIOMAS_4'</v>
      </c>
      <c r="E1214" s="12" t="str">
        <f t="shared" si="36"/>
        <v>INSERT INTO grupos (id,matricula,grupo) values (2213,'112510','TIDIOMAS_4');</v>
      </c>
    </row>
    <row r="1215" spans="1:5" ht="43.5" x14ac:dyDescent="0.35">
      <c r="A1215">
        <v>2214</v>
      </c>
      <c r="B1215" t="s">
        <v>1113</v>
      </c>
      <c r="C1215" t="s">
        <v>1793</v>
      </c>
      <c r="D1215" s="12" t="str">
        <f t="shared" si="37"/>
        <v>2214,'112517','TIDIOMAS_4'</v>
      </c>
      <c r="E1215" s="12" t="str">
        <f t="shared" si="36"/>
        <v>INSERT INTO grupos (id,matricula,grupo) values (2214,'112517','TIDIOMAS_4');</v>
      </c>
    </row>
    <row r="1216" spans="1:5" ht="43.5" x14ac:dyDescent="0.35">
      <c r="A1216">
        <v>2215</v>
      </c>
      <c r="B1216" t="s">
        <v>1118</v>
      </c>
      <c r="C1216" t="s">
        <v>1793</v>
      </c>
      <c r="D1216" s="12" t="str">
        <f t="shared" si="37"/>
        <v>2215,'112523','TIDIOMAS_4'</v>
      </c>
      <c r="E1216" s="12" t="str">
        <f t="shared" si="36"/>
        <v>INSERT INTO grupos (id,matricula,grupo) values (2215,'112523','TIDIOMAS_4');</v>
      </c>
    </row>
    <row r="1217" spans="1:5" ht="43.5" x14ac:dyDescent="0.35">
      <c r="A1217">
        <v>2216</v>
      </c>
      <c r="B1217" t="s">
        <v>1126</v>
      </c>
      <c r="C1217" t="s">
        <v>1793</v>
      </c>
      <c r="D1217" s="12" t="str">
        <f t="shared" si="37"/>
        <v>2216,'112536','TIDIOMAS_4'</v>
      </c>
      <c r="E1217" s="12" t="str">
        <f t="shared" si="36"/>
        <v>INSERT INTO grupos (id,matricula,grupo) values (2216,'112536','TIDIOMAS_4');</v>
      </c>
    </row>
    <row r="1218" spans="1:5" ht="43.5" x14ac:dyDescent="0.35">
      <c r="A1218">
        <v>2217</v>
      </c>
      <c r="B1218" t="s">
        <v>1147</v>
      </c>
      <c r="C1218" t="s">
        <v>1793</v>
      </c>
      <c r="D1218" s="12" t="str">
        <f t="shared" si="37"/>
        <v>2217,'112577','TIDIOMAS_4'</v>
      </c>
      <c r="E1218" s="12" t="str">
        <f t="shared" ref="E1218:E1280" si="38">CONCATENATE($D$1,D1218,");")</f>
        <v>INSERT INTO grupos (id,matricula,grupo) values (2217,'112577','TIDIOMAS_4');</v>
      </c>
    </row>
    <row r="1219" spans="1:5" ht="43.5" x14ac:dyDescent="0.35">
      <c r="A1219">
        <v>2218</v>
      </c>
      <c r="B1219" t="s">
        <v>886</v>
      </c>
      <c r="C1219" t="s">
        <v>1794</v>
      </c>
      <c r="D1219" s="12" t="str">
        <f t="shared" ref="D1219:D1280" si="39">CONCATENATE(A1219,",'",TRIM(B1219),"','",C1219,"'")</f>
        <v>2218,'111775','TIDIOMAS_5'</v>
      </c>
      <c r="E1219" s="12" t="str">
        <f t="shared" si="38"/>
        <v>INSERT INTO grupos (id,matricula,grupo) values (2218,'111775','TIDIOMAS_5');</v>
      </c>
    </row>
    <row r="1220" spans="1:5" ht="43.5" x14ac:dyDescent="0.35">
      <c r="A1220">
        <v>2219</v>
      </c>
      <c r="B1220" t="s">
        <v>929</v>
      </c>
      <c r="C1220" t="s">
        <v>1794</v>
      </c>
      <c r="D1220" s="12" t="str">
        <f t="shared" si="39"/>
        <v>2219,'112143','TIDIOMAS_5'</v>
      </c>
      <c r="E1220" s="12" t="str">
        <f t="shared" si="38"/>
        <v>INSERT INTO grupos (id,matricula,grupo) values (2219,'112143','TIDIOMAS_5');</v>
      </c>
    </row>
    <row r="1221" spans="1:5" ht="43.5" x14ac:dyDescent="0.35">
      <c r="A1221">
        <v>2220</v>
      </c>
      <c r="B1221" t="s">
        <v>956</v>
      </c>
      <c r="C1221" t="s">
        <v>1794</v>
      </c>
      <c r="D1221" s="12" t="str">
        <f t="shared" si="39"/>
        <v>2220,'112174','TIDIOMAS_5'</v>
      </c>
      <c r="E1221" s="12" t="str">
        <f t="shared" si="38"/>
        <v>INSERT INTO grupos (id,matricula,grupo) values (2220,'112174','TIDIOMAS_5');</v>
      </c>
    </row>
    <row r="1222" spans="1:5" ht="43.5" x14ac:dyDescent="0.35">
      <c r="A1222">
        <v>2221</v>
      </c>
      <c r="B1222" t="s">
        <v>973</v>
      </c>
      <c r="C1222" t="s">
        <v>1794</v>
      </c>
      <c r="D1222" s="12" t="str">
        <f t="shared" si="39"/>
        <v>2221,'112191','TIDIOMAS_5'</v>
      </c>
      <c r="E1222" s="12" t="str">
        <f t="shared" si="38"/>
        <v>INSERT INTO grupos (id,matricula,grupo) values (2221,'112191','TIDIOMAS_5');</v>
      </c>
    </row>
    <row r="1223" spans="1:5" ht="43.5" x14ac:dyDescent="0.35">
      <c r="A1223">
        <v>2222</v>
      </c>
      <c r="B1223" t="s">
        <v>980</v>
      </c>
      <c r="C1223" t="s">
        <v>1794</v>
      </c>
      <c r="D1223" s="12" t="str">
        <f t="shared" si="39"/>
        <v>2222,'112198','TIDIOMAS_5'</v>
      </c>
      <c r="E1223" s="12" t="str">
        <f t="shared" si="38"/>
        <v>INSERT INTO grupos (id,matricula,grupo) values (2222,'112198','TIDIOMAS_5');</v>
      </c>
    </row>
    <row r="1224" spans="1:5" ht="43.5" x14ac:dyDescent="0.35">
      <c r="A1224">
        <v>2223</v>
      </c>
      <c r="B1224" t="s">
        <v>984</v>
      </c>
      <c r="C1224" t="s">
        <v>1794</v>
      </c>
      <c r="D1224" s="12" t="str">
        <f t="shared" si="39"/>
        <v>2223,'112204','TIDIOMAS_5'</v>
      </c>
      <c r="E1224" s="12" t="str">
        <f t="shared" si="38"/>
        <v>INSERT INTO grupos (id,matricula,grupo) values (2223,'112204','TIDIOMAS_5');</v>
      </c>
    </row>
    <row r="1225" spans="1:5" ht="43.5" x14ac:dyDescent="0.35">
      <c r="A1225">
        <v>2224</v>
      </c>
      <c r="B1225" t="s">
        <v>993</v>
      </c>
      <c r="C1225" t="s">
        <v>1794</v>
      </c>
      <c r="D1225" s="12" t="str">
        <f t="shared" si="39"/>
        <v>2224,'112219','TIDIOMAS_5'</v>
      </c>
      <c r="E1225" s="12" t="str">
        <f t="shared" si="38"/>
        <v>INSERT INTO grupos (id,matricula,grupo) values (2224,'112219','TIDIOMAS_5');</v>
      </c>
    </row>
    <row r="1226" spans="1:5" ht="43.5" x14ac:dyDescent="0.35">
      <c r="A1226">
        <v>2225</v>
      </c>
      <c r="B1226" t="s">
        <v>1003</v>
      </c>
      <c r="C1226" t="s">
        <v>1794</v>
      </c>
      <c r="D1226" s="12" t="str">
        <f t="shared" si="39"/>
        <v>2225,'112232','TIDIOMAS_5'</v>
      </c>
      <c r="E1226" s="12" t="str">
        <f t="shared" si="38"/>
        <v>INSERT INTO grupos (id,matricula,grupo) values (2225,'112232','TIDIOMAS_5');</v>
      </c>
    </row>
    <row r="1227" spans="1:5" ht="43.5" x14ac:dyDescent="0.35">
      <c r="A1227">
        <v>2226</v>
      </c>
      <c r="B1227" t="s">
        <v>1004</v>
      </c>
      <c r="C1227" t="s">
        <v>1794</v>
      </c>
      <c r="D1227" s="12" t="str">
        <f t="shared" si="39"/>
        <v>2226,'112233','TIDIOMAS_5'</v>
      </c>
      <c r="E1227" s="12" t="str">
        <f t="shared" si="38"/>
        <v>INSERT INTO grupos (id,matricula,grupo) values (2226,'112233','TIDIOMAS_5');</v>
      </c>
    </row>
    <row r="1228" spans="1:5" ht="43.5" x14ac:dyDescent="0.35">
      <c r="A1228">
        <v>2227</v>
      </c>
      <c r="B1228" t="s">
        <v>1008</v>
      </c>
      <c r="C1228" t="s">
        <v>1794</v>
      </c>
      <c r="D1228" s="12" t="str">
        <f t="shared" si="39"/>
        <v>2227,'112237','TIDIOMAS_5'</v>
      </c>
      <c r="E1228" s="12" t="str">
        <f t="shared" si="38"/>
        <v>INSERT INTO grupos (id,matricula,grupo) values (2227,'112237','TIDIOMAS_5');</v>
      </c>
    </row>
    <row r="1229" spans="1:5" ht="43.5" x14ac:dyDescent="0.35">
      <c r="A1229">
        <v>2228</v>
      </c>
      <c r="B1229" t="s">
        <v>1012</v>
      </c>
      <c r="C1229" t="s">
        <v>1794</v>
      </c>
      <c r="D1229" s="12" t="str">
        <f t="shared" si="39"/>
        <v>2228,'112242','TIDIOMAS_5'</v>
      </c>
      <c r="E1229" s="12" t="str">
        <f t="shared" si="38"/>
        <v>INSERT INTO grupos (id,matricula,grupo) values (2228,'112242','TIDIOMAS_5');</v>
      </c>
    </row>
    <row r="1230" spans="1:5" ht="43.5" x14ac:dyDescent="0.35">
      <c r="A1230">
        <v>2229</v>
      </c>
      <c r="B1230" t="s">
        <v>1036</v>
      </c>
      <c r="C1230" t="s">
        <v>1794</v>
      </c>
      <c r="D1230" s="12" t="str">
        <f t="shared" si="39"/>
        <v>2229,'112272','TIDIOMAS_5'</v>
      </c>
      <c r="E1230" s="12" t="str">
        <f t="shared" si="38"/>
        <v>INSERT INTO grupos (id,matricula,grupo) values (2229,'112272','TIDIOMAS_5');</v>
      </c>
    </row>
    <row r="1231" spans="1:5" ht="43.5" x14ac:dyDescent="0.35">
      <c r="A1231">
        <v>2230</v>
      </c>
      <c r="B1231" t="s">
        <v>1059</v>
      </c>
      <c r="C1231" t="s">
        <v>1794</v>
      </c>
      <c r="D1231" s="12" t="str">
        <f t="shared" si="39"/>
        <v>2230,'112353','TIDIOMAS_5'</v>
      </c>
      <c r="E1231" s="12" t="str">
        <f t="shared" si="38"/>
        <v>INSERT INTO grupos (id,matricula,grupo) values (2230,'112353','TIDIOMAS_5');</v>
      </c>
    </row>
    <row r="1232" spans="1:5" ht="43.5" x14ac:dyDescent="0.35">
      <c r="A1232">
        <v>2231</v>
      </c>
      <c r="B1232" t="s">
        <v>1060</v>
      </c>
      <c r="C1232" t="s">
        <v>1794</v>
      </c>
      <c r="D1232" s="12" t="str">
        <f t="shared" si="39"/>
        <v>2231,'112358','TIDIOMAS_5'</v>
      </c>
      <c r="E1232" s="12" t="str">
        <f t="shared" si="38"/>
        <v>INSERT INTO grupos (id,matricula,grupo) values (2231,'112358','TIDIOMAS_5');</v>
      </c>
    </row>
    <row r="1233" spans="1:5" ht="43.5" x14ac:dyDescent="0.35">
      <c r="A1233">
        <v>2232</v>
      </c>
      <c r="B1233" t="s">
        <v>1146</v>
      </c>
      <c r="C1233" t="s">
        <v>1794</v>
      </c>
      <c r="D1233" s="12" t="str">
        <f t="shared" si="39"/>
        <v>2232,'112570','TIDIOMAS_5'</v>
      </c>
      <c r="E1233" s="12" t="str">
        <f t="shared" si="38"/>
        <v>INSERT INTO grupos (id,matricula,grupo) values (2232,'112570','TIDIOMAS_5');</v>
      </c>
    </row>
    <row r="1234" spans="1:5" ht="43.5" x14ac:dyDescent="0.35">
      <c r="A1234">
        <v>2233</v>
      </c>
      <c r="B1234" t="s">
        <v>985</v>
      </c>
      <c r="C1234" t="s">
        <v>1795</v>
      </c>
      <c r="D1234" s="12" t="str">
        <f t="shared" si="39"/>
        <v>2233,'112206','TIDIOMAS_6'</v>
      </c>
      <c r="E1234" s="12" t="str">
        <f t="shared" si="38"/>
        <v>INSERT INTO grupos (id,matricula,grupo) values (2233,'112206','TIDIOMAS_6');</v>
      </c>
    </row>
    <row r="1235" spans="1:5" ht="43.5" x14ac:dyDescent="0.35">
      <c r="A1235">
        <v>2234</v>
      </c>
      <c r="B1235" t="s">
        <v>986</v>
      </c>
      <c r="C1235" t="s">
        <v>1795</v>
      </c>
      <c r="D1235" s="12" t="str">
        <f t="shared" si="39"/>
        <v>2234,'112210','TIDIOMAS_6'</v>
      </c>
      <c r="E1235" s="12" t="str">
        <f t="shared" si="38"/>
        <v>INSERT INTO grupos (id,matricula,grupo) values (2234,'112210','TIDIOMAS_6');</v>
      </c>
    </row>
    <row r="1236" spans="1:5" ht="43.5" x14ac:dyDescent="0.35">
      <c r="A1236">
        <v>2235</v>
      </c>
      <c r="B1236" t="s">
        <v>1011</v>
      </c>
      <c r="C1236" t="s">
        <v>1795</v>
      </c>
      <c r="D1236" s="12" t="str">
        <f t="shared" si="39"/>
        <v>2235,'112241','TIDIOMAS_6'</v>
      </c>
      <c r="E1236" s="12" t="str">
        <f t="shared" si="38"/>
        <v>INSERT INTO grupos (id,matricula,grupo) values (2235,'112241','TIDIOMAS_6');</v>
      </c>
    </row>
    <row r="1237" spans="1:5" ht="43.5" x14ac:dyDescent="0.35">
      <c r="A1237">
        <v>2236</v>
      </c>
      <c r="B1237" t="s">
        <v>1020</v>
      </c>
      <c r="C1237" t="s">
        <v>1795</v>
      </c>
      <c r="D1237" s="12" t="str">
        <f t="shared" si="39"/>
        <v>2236,'112252','TIDIOMAS_6'</v>
      </c>
      <c r="E1237" s="12" t="str">
        <f t="shared" si="38"/>
        <v>INSERT INTO grupos (id,matricula,grupo) values (2236,'112252','TIDIOMAS_6');</v>
      </c>
    </row>
    <row r="1238" spans="1:5" ht="43.5" x14ac:dyDescent="0.35">
      <c r="A1238">
        <v>2237</v>
      </c>
      <c r="B1238" t="s">
        <v>1040</v>
      </c>
      <c r="C1238" t="s">
        <v>1795</v>
      </c>
      <c r="D1238" s="12" t="str">
        <f t="shared" si="39"/>
        <v>2237,'112280','TIDIOMAS_6'</v>
      </c>
      <c r="E1238" s="12" t="str">
        <f t="shared" si="38"/>
        <v>INSERT INTO grupos (id,matricula,grupo) values (2237,'112280','TIDIOMAS_6');</v>
      </c>
    </row>
    <row r="1239" spans="1:5" ht="43.5" x14ac:dyDescent="0.35">
      <c r="A1239">
        <v>2238</v>
      </c>
      <c r="B1239" t="s">
        <v>1042</v>
      </c>
      <c r="C1239" t="s">
        <v>1795</v>
      </c>
      <c r="D1239" s="12" t="str">
        <f t="shared" si="39"/>
        <v>2238,'112283','TIDIOMAS_6'</v>
      </c>
      <c r="E1239" s="12" t="str">
        <f t="shared" si="38"/>
        <v>INSERT INTO grupos (id,matricula,grupo) values (2238,'112283','TIDIOMAS_6');</v>
      </c>
    </row>
    <row r="1240" spans="1:5" ht="43.5" x14ac:dyDescent="0.35">
      <c r="A1240">
        <v>2239</v>
      </c>
      <c r="B1240" t="s">
        <v>1044</v>
      </c>
      <c r="C1240" t="s">
        <v>1795</v>
      </c>
      <c r="D1240" s="12" t="str">
        <f t="shared" si="39"/>
        <v>2239,'112292','TIDIOMAS_6'</v>
      </c>
      <c r="E1240" s="12" t="str">
        <f t="shared" si="38"/>
        <v>INSERT INTO grupos (id,matricula,grupo) values (2239,'112292','TIDIOMAS_6');</v>
      </c>
    </row>
    <row r="1241" spans="1:5" ht="43.5" x14ac:dyDescent="0.35">
      <c r="A1241">
        <v>2240</v>
      </c>
      <c r="B1241" t="s">
        <v>1047</v>
      </c>
      <c r="C1241" t="s">
        <v>1795</v>
      </c>
      <c r="D1241" s="12" t="str">
        <f t="shared" si="39"/>
        <v>2240,'112298','TIDIOMAS_6'</v>
      </c>
      <c r="E1241" s="12" t="str">
        <f t="shared" si="38"/>
        <v>INSERT INTO grupos (id,matricula,grupo) values (2240,'112298','TIDIOMAS_6');</v>
      </c>
    </row>
    <row r="1242" spans="1:5" ht="43.5" x14ac:dyDescent="0.35">
      <c r="A1242">
        <v>2241</v>
      </c>
      <c r="B1242" t="s">
        <v>1062</v>
      </c>
      <c r="C1242" t="s">
        <v>1795</v>
      </c>
      <c r="D1242" s="12" t="str">
        <f t="shared" si="39"/>
        <v>2241,'112465','TIDIOMAS_6'</v>
      </c>
      <c r="E1242" s="12" t="str">
        <f t="shared" si="38"/>
        <v>INSERT INTO grupos (id,matricula,grupo) values (2241,'112465','TIDIOMAS_6');</v>
      </c>
    </row>
    <row r="1243" spans="1:5" ht="43.5" x14ac:dyDescent="0.35">
      <c r="A1243">
        <v>2242</v>
      </c>
      <c r="B1243" t="s">
        <v>1081</v>
      </c>
      <c r="C1243" t="s">
        <v>1795</v>
      </c>
      <c r="D1243" s="12" t="str">
        <f t="shared" si="39"/>
        <v>2242,'112484','TIDIOMAS_6'</v>
      </c>
      <c r="E1243" s="12" t="str">
        <f t="shared" si="38"/>
        <v>INSERT INTO grupos (id,matricula,grupo) values (2242,'112484','TIDIOMAS_6');</v>
      </c>
    </row>
    <row r="1244" spans="1:5" ht="43.5" x14ac:dyDescent="0.35">
      <c r="A1244">
        <v>2243</v>
      </c>
      <c r="B1244" t="s">
        <v>1082</v>
      </c>
      <c r="C1244" t="s">
        <v>1795</v>
      </c>
      <c r="D1244" s="12" t="str">
        <f t="shared" si="39"/>
        <v>2243,'112485','TIDIOMAS_6'</v>
      </c>
      <c r="E1244" s="12" t="str">
        <f t="shared" si="38"/>
        <v>INSERT INTO grupos (id,matricula,grupo) values (2243,'112485','TIDIOMAS_6');</v>
      </c>
    </row>
    <row r="1245" spans="1:5" ht="43.5" x14ac:dyDescent="0.35">
      <c r="A1245">
        <v>2244</v>
      </c>
      <c r="B1245" t="s">
        <v>1083</v>
      </c>
      <c r="C1245" t="s">
        <v>1795</v>
      </c>
      <c r="D1245" s="12" t="str">
        <f t="shared" si="39"/>
        <v>2244,'112486','TIDIOMAS_6'</v>
      </c>
      <c r="E1245" s="12" t="str">
        <f t="shared" si="38"/>
        <v>INSERT INTO grupos (id,matricula,grupo) values (2244,'112486','TIDIOMAS_6');</v>
      </c>
    </row>
    <row r="1246" spans="1:5" ht="43.5" x14ac:dyDescent="0.35">
      <c r="A1246">
        <v>2245</v>
      </c>
      <c r="B1246" t="s">
        <v>1095</v>
      </c>
      <c r="C1246" t="s">
        <v>1795</v>
      </c>
      <c r="D1246" s="12" t="str">
        <f t="shared" si="39"/>
        <v>2245,'112499','TIDIOMAS_6'</v>
      </c>
      <c r="E1246" s="12" t="str">
        <f t="shared" si="38"/>
        <v>INSERT INTO grupos (id,matricula,grupo) values (2245,'112499','TIDIOMAS_6');</v>
      </c>
    </row>
    <row r="1247" spans="1:5" ht="43.5" x14ac:dyDescent="0.35">
      <c r="A1247">
        <v>2246</v>
      </c>
      <c r="B1247" t="s">
        <v>1099</v>
      </c>
      <c r="C1247" t="s">
        <v>1795</v>
      </c>
      <c r="D1247" s="12" t="str">
        <f t="shared" si="39"/>
        <v>2246,'112503','TIDIOMAS_6'</v>
      </c>
      <c r="E1247" s="12" t="str">
        <f t="shared" si="38"/>
        <v>INSERT INTO grupos (id,matricula,grupo) values (2246,'112503','TIDIOMAS_6');</v>
      </c>
    </row>
    <row r="1248" spans="1:5" ht="43.5" x14ac:dyDescent="0.35">
      <c r="A1248">
        <v>2247</v>
      </c>
      <c r="B1248" t="s">
        <v>1109</v>
      </c>
      <c r="C1248" t="s">
        <v>1795</v>
      </c>
      <c r="D1248" s="12" t="str">
        <f t="shared" si="39"/>
        <v>2247,'112513','TIDIOMAS_6'</v>
      </c>
      <c r="E1248" s="12" t="str">
        <f t="shared" si="38"/>
        <v>INSERT INTO grupos (id,matricula,grupo) values (2247,'112513','TIDIOMAS_6');</v>
      </c>
    </row>
    <row r="1249" spans="1:5" ht="43.5" x14ac:dyDescent="0.35">
      <c r="A1249">
        <v>2248</v>
      </c>
      <c r="B1249" t="s">
        <v>1120</v>
      </c>
      <c r="C1249" t="s">
        <v>1795</v>
      </c>
      <c r="D1249" s="12" t="str">
        <f t="shared" si="39"/>
        <v>2248,'112525','TIDIOMAS_6'</v>
      </c>
      <c r="E1249" s="12" t="str">
        <f t="shared" si="38"/>
        <v>INSERT INTO grupos (id,matricula,grupo) values (2248,'112525','TIDIOMAS_6');</v>
      </c>
    </row>
    <row r="1250" spans="1:5" ht="43.5" x14ac:dyDescent="0.35">
      <c r="A1250">
        <v>2249</v>
      </c>
      <c r="B1250" t="s">
        <v>1134</v>
      </c>
      <c r="C1250" t="s">
        <v>1795</v>
      </c>
      <c r="D1250" s="12" t="str">
        <f t="shared" si="39"/>
        <v>2249,'112551','TIDIOMAS_6'</v>
      </c>
      <c r="E1250" s="12" t="str">
        <f t="shared" si="38"/>
        <v>INSERT INTO grupos (id,matricula,grupo) values (2249,'112551','TIDIOMAS_6');</v>
      </c>
    </row>
    <row r="1251" spans="1:5" ht="43.5" x14ac:dyDescent="0.35">
      <c r="A1251">
        <v>2250</v>
      </c>
      <c r="B1251" t="s">
        <v>951</v>
      </c>
      <c r="C1251" t="s">
        <v>1796</v>
      </c>
      <c r="D1251" s="12" t="str">
        <f t="shared" si="39"/>
        <v>2250,'112169','TIDIOMAS_7'</v>
      </c>
      <c r="E1251" s="12" t="str">
        <f t="shared" si="38"/>
        <v>INSERT INTO grupos (id,matricula,grupo) values (2250,'112169','TIDIOMAS_7');</v>
      </c>
    </row>
    <row r="1252" spans="1:5" ht="43.5" x14ac:dyDescent="0.35">
      <c r="A1252">
        <v>2251</v>
      </c>
      <c r="B1252" t="s">
        <v>955</v>
      </c>
      <c r="C1252" t="s">
        <v>1796</v>
      </c>
      <c r="D1252" s="12" t="str">
        <f t="shared" si="39"/>
        <v>2251,'112173','TIDIOMAS_7'</v>
      </c>
      <c r="E1252" s="12" t="str">
        <f t="shared" si="38"/>
        <v>INSERT INTO grupos (id,matricula,grupo) values (2251,'112173','TIDIOMAS_7');</v>
      </c>
    </row>
    <row r="1253" spans="1:5" ht="43.5" x14ac:dyDescent="0.35">
      <c r="A1253">
        <v>2252</v>
      </c>
      <c r="B1253" t="s">
        <v>974</v>
      </c>
      <c r="C1253" t="s">
        <v>1796</v>
      </c>
      <c r="D1253" s="12" t="str">
        <f t="shared" si="39"/>
        <v>2252,'112192','TIDIOMAS_7'</v>
      </c>
      <c r="E1253" s="12" t="str">
        <f t="shared" si="38"/>
        <v>INSERT INTO grupos (id,matricula,grupo) values (2252,'112192','TIDIOMAS_7');</v>
      </c>
    </row>
    <row r="1254" spans="1:5" ht="43.5" x14ac:dyDescent="0.35">
      <c r="A1254">
        <v>2253</v>
      </c>
      <c r="B1254" t="s">
        <v>978</v>
      </c>
      <c r="C1254" t="s">
        <v>1796</v>
      </c>
      <c r="D1254" s="12" t="str">
        <f t="shared" si="39"/>
        <v>2253,'112196','TIDIOMAS_7'</v>
      </c>
      <c r="E1254" s="12" t="str">
        <f t="shared" si="38"/>
        <v>INSERT INTO grupos (id,matricula,grupo) values (2253,'112196','TIDIOMAS_7');</v>
      </c>
    </row>
    <row r="1255" spans="1:5" ht="43.5" x14ac:dyDescent="0.35">
      <c r="A1255">
        <v>2254</v>
      </c>
      <c r="B1255" t="s">
        <v>988</v>
      </c>
      <c r="C1255" t="s">
        <v>1796</v>
      </c>
      <c r="D1255" s="12" t="str">
        <f t="shared" si="39"/>
        <v>2254,'112213','TIDIOMAS_7'</v>
      </c>
      <c r="E1255" s="12" t="str">
        <f t="shared" si="38"/>
        <v>INSERT INTO grupos (id,matricula,grupo) values (2254,'112213','TIDIOMAS_7');</v>
      </c>
    </row>
    <row r="1256" spans="1:5" ht="43.5" x14ac:dyDescent="0.35">
      <c r="A1256">
        <v>2255</v>
      </c>
      <c r="B1256" t="s">
        <v>1029</v>
      </c>
      <c r="C1256" t="s">
        <v>1796</v>
      </c>
      <c r="D1256" s="12" t="str">
        <f t="shared" si="39"/>
        <v>2255,'112262','TIDIOMAS_7'</v>
      </c>
      <c r="E1256" s="12" t="str">
        <f t="shared" si="38"/>
        <v>INSERT INTO grupos (id,matricula,grupo) values (2255,'112262','TIDIOMAS_7');</v>
      </c>
    </row>
    <row r="1257" spans="1:5" ht="43.5" x14ac:dyDescent="0.35">
      <c r="A1257">
        <v>2256</v>
      </c>
      <c r="B1257" t="s">
        <v>1046</v>
      </c>
      <c r="C1257" t="s">
        <v>1796</v>
      </c>
      <c r="D1257" s="12" t="str">
        <f t="shared" si="39"/>
        <v>2256,'112296','TIDIOMAS_7'</v>
      </c>
      <c r="E1257" s="12" t="str">
        <f t="shared" si="38"/>
        <v>INSERT INTO grupos (id,matricula,grupo) values (2256,'112296','TIDIOMAS_7');</v>
      </c>
    </row>
    <row r="1258" spans="1:5" ht="43.5" x14ac:dyDescent="0.35">
      <c r="A1258">
        <v>2257</v>
      </c>
      <c r="B1258" t="s">
        <v>1058</v>
      </c>
      <c r="C1258" t="s">
        <v>1796</v>
      </c>
      <c r="D1258" s="12" t="str">
        <f t="shared" si="39"/>
        <v>2257,'112346','TIDIOMAS_7'</v>
      </c>
      <c r="E1258" s="12" t="str">
        <f t="shared" si="38"/>
        <v>INSERT INTO grupos (id,matricula,grupo) values (2257,'112346','TIDIOMAS_7');</v>
      </c>
    </row>
    <row r="1259" spans="1:5" ht="43.5" x14ac:dyDescent="0.35">
      <c r="A1259">
        <v>2258</v>
      </c>
      <c r="B1259" t="s">
        <v>1075</v>
      </c>
      <c r="C1259" t="s">
        <v>1796</v>
      </c>
      <c r="D1259" s="12" t="str">
        <f t="shared" si="39"/>
        <v>2258,'112478','TIDIOMAS_7'</v>
      </c>
      <c r="E1259" s="12" t="str">
        <f t="shared" si="38"/>
        <v>INSERT INTO grupos (id,matricula,grupo) values (2258,'112478','TIDIOMAS_7');</v>
      </c>
    </row>
    <row r="1260" spans="1:5" ht="43.5" x14ac:dyDescent="0.35">
      <c r="A1260">
        <v>2259</v>
      </c>
      <c r="B1260" t="s">
        <v>1084</v>
      </c>
      <c r="C1260" t="s">
        <v>1796</v>
      </c>
      <c r="D1260" s="12" t="str">
        <f t="shared" si="39"/>
        <v>2259,'112488','TIDIOMAS_7'</v>
      </c>
      <c r="E1260" s="12" t="str">
        <f t="shared" si="38"/>
        <v>INSERT INTO grupos (id,matricula,grupo) values (2259,'112488','TIDIOMAS_7');</v>
      </c>
    </row>
    <row r="1261" spans="1:5" ht="43.5" x14ac:dyDescent="0.35">
      <c r="A1261">
        <v>2260</v>
      </c>
      <c r="B1261" t="s">
        <v>1115</v>
      </c>
      <c r="C1261" t="s">
        <v>1796</v>
      </c>
      <c r="D1261" s="12" t="str">
        <f t="shared" si="39"/>
        <v>2260,'112520','TIDIOMAS_7'</v>
      </c>
      <c r="E1261" s="12" t="str">
        <f t="shared" si="38"/>
        <v>INSERT INTO grupos (id,matricula,grupo) values (2260,'112520','TIDIOMAS_7');</v>
      </c>
    </row>
    <row r="1262" spans="1:5" ht="43.5" x14ac:dyDescent="0.35">
      <c r="A1262">
        <v>2261</v>
      </c>
      <c r="B1262" t="s">
        <v>1117</v>
      </c>
      <c r="C1262" t="s">
        <v>1796</v>
      </c>
      <c r="D1262" s="12" t="str">
        <f t="shared" si="39"/>
        <v>2261,'112522','TIDIOMAS_7'</v>
      </c>
      <c r="E1262" s="12" t="str">
        <f t="shared" si="38"/>
        <v>INSERT INTO grupos (id,matricula,grupo) values (2261,'112522','TIDIOMAS_7');</v>
      </c>
    </row>
    <row r="1263" spans="1:5" ht="43.5" x14ac:dyDescent="0.35">
      <c r="A1263">
        <v>2262</v>
      </c>
      <c r="B1263" t="s">
        <v>1129</v>
      </c>
      <c r="C1263" t="s">
        <v>1796</v>
      </c>
      <c r="D1263" s="12" t="str">
        <f t="shared" si="39"/>
        <v>2262,'112544','TIDIOMAS_7'</v>
      </c>
      <c r="E1263" s="12" t="str">
        <f t="shared" si="38"/>
        <v>INSERT INTO grupos (id,matricula,grupo) values (2262,'112544','TIDIOMAS_7');</v>
      </c>
    </row>
    <row r="1264" spans="1:5" ht="43.5" x14ac:dyDescent="0.35">
      <c r="A1264">
        <v>2263</v>
      </c>
      <c r="B1264" t="s">
        <v>1135</v>
      </c>
      <c r="C1264" t="s">
        <v>1796</v>
      </c>
      <c r="D1264" s="12" t="str">
        <f t="shared" si="39"/>
        <v>2263,'112552','TIDIOMAS_7'</v>
      </c>
      <c r="E1264" s="12" t="str">
        <f t="shared" si="38"/>
        <v>INSERT INTO grupos (id,matricula,grupo) values (2263,'112552','TIDIOMAS_7');</v>
      </c>
    </row>
    <row r="1265" spans="1:5" ht="43.5" x14ac:dyDescent="0.35">
      <c r="A1265">
        <v>2264</v>
      </c>
      <c r="B1265" t="s">
        <v>1143</v>
      </c>
      <c r="C1265" t="s">
        <v>1796</v>
      </c>
      <c r="D1265" s="12" t="str">
        <f t="shared" si="39"/>
        <v>2264,'112567','TIDIOMAS_7'</v>
      </c>
      <c r="E1265" s="12" t="str">
        <f t="shared" si="38"/>
        <v>INSERT INTO grupos (id,matricula,grupo) values (2264,'112567','TIDIOMAS_7');</v>
      </c>
    </row>
    <row r="1266" spans="1:5" ht="43.5" x14ac:dyDescent="0.35">
      <c r="A1266">
        <v>2265</v>
      </c>
      <c r="B1266" t="s">
        <v>1148</v>
      </c>
      <c r="C1266" t="s">
        <v>1796</v>
      </c>
      <c r="D1266" s="12" t="str">
        <f t="shared" si="39"/>
        <v>2265,'112579','TIDIOMAS_7'</v>
      </c>
      <c r="E1266" s="12" t="str">
        <f t="shared" si="38"/>
        <v>INSERT INTO grupos (id,matricula,grupo) values (2265,'112579','TIDIOMAS_7');</v>
      </c>
    </row>
    <row r="1267" spans="1:5" ht="43.5" x14ac:dyDescent="0.35">
      <c r="A1267">
        <v>2266</v>
      </c>
      <c r="B1267" t="s">
        <v>600</v>
      </c>
      <c r="C1267" t="s">
        <v>1798</v>
      </c>
      <c r="D1267" s="12" t="str">
        <f t="shared" si="39"/>
        <v>2266,'008268','TIDIOMAS_8'</v>
      </c>
      <c r="E1267" s="12" t="str">
        <f t="shared" si="38"/>
        <v>INSERT INTO grupos (id,matricula,grupo) values (2266,'008268','TIDIOMAS_8');</v>
      </c>
    </row>
    <row r="1268" spans="1:5" ht="43.5" x14ac:dyDescent="0.35">
      <c r="A1268">
        <v>2267</v>
      </c>
      <c r="B1268" t="s">
        <v>933</v>
      </c>
      <c r="C1268" t="s">
        <v>1798</v>
      </c>
      <c r="D1268" s="12" t="str">
        <f t="shared" si="39"/>
        <v>2267,'112148','TIDIOMAS_8'</v>
      </c>
      <c r="E1268" s="12" t="str">
        <f t="shared" si="38"/>
        <v>INSERT INTO grupos (id,matricula,grupo) values (2267,'112148','TIDIOMAS_8');</v>
      </c>
    </row>
    <row r="1269" spans="1:5" ht="43.5" x14ac:dyDescent="0.35">
      <c r="A1269">
        <v>2268</v>
      </c>
      <c r="B1269" t="s">
        <v>943</v>
      </c>
      <c r="C1269" t="s">
        <v>1798</v>
      </c>
      <c r="D1269" s="12" t="str">
        <f t="shared" si="39"/>
        <v>2268,'112160','TIDIOMAS_8'</v>
      </c>
      <c r="E1269" s="12" t="str">
        <f t="shared" si="38"/>
        <v>INSERT INTO grupos (id,matricula,grupo) values (2268,'112160','TIDIOMAS_8');</v>
      </c>
    </row>
    <row r="1270" spans="1:5" ht="43.5" x14ac:dyDescent="0.35">
      <c r="A1270">
        <v>2269</v>
      </c>
      <c r="B1270" t="s">
        <v>964</v>
      </c>
      <c r="C1270" t="s">
        <v>1798</v>
      </c>
      <c r="D1270" s="12" t="str">
        <f t="shared" si="39"/>
        <v>2269,'112182','TIDIOMAS_8'</v>
      </c>
      <c r="E1270" s="12" t="str">
        <f t="shared" si="38"/>
        <v>INSERT INTO grupos (id,matricula,grupo) values (2269,'112182','TIDIOMAS_8');</v>
      </c>
    </row>
    <row r="1271" spans="1:5" ht="43.5" x14ac:dyDescent="0.35">
      <c r="A1271">
        <v>2270</v>
      </c>
      <c r="B1271" t="s">
        <v>977</v>
      </c>
      <c r="C1271" t="s">
        <v>1798</v>
      </c>
      <c r="D1271" s="12" t="str">
        <f t="shared" si="39"/>
        <v>2270,'112195','TIDIOMAS_8'</v>
      </c>
      <c r="E1271" s="12" t="str">
        <f t="shared" si="38"/>
        <v>INSERT INTO grupos (id,matricula,grupo) values (2270,'112195','TIDIOMAS_8');</v>
      </c>
    </row>
    <row r="1272" spans="1:5" ht="43.5" x14ac:dyDescent="0.35">
      <c r="A1272">
        <v>2271</v>
      </c>
      <c r="B1272" t="s">
        <v>982</v>
      </c>
      <c r="C1272" t="s">
        <v>1798</v>
      </c>
      <c r="D1272" s="12" t="str">
        <f t="shared" si="39"/>
        <v>2271,'112201','TIDIOMAS_8'</v>
      </c>
      <c r="E1272" s="12" t="str">
        <f t="shared" si="38"/>
        <v>INSERT INTO grupos (id,matricula,grupo) values (2271,'112201','TIDIOMAS_8');</v>
      </c>
    </row>
    <row r="1273" spans="1:5" ht="43.5" x14ac:dyDescent="0.35">
      <c r="A1273">
        <v>2272</v>
      </c>
      <c r="B1273" t="s">
        <v>995</v>
      </c>
      <c r="C1273" t="s">
        <v>1798</v>
      </c>
      <c r="D1273" s="12" t="str">
        <f t="shared" si="39"/>
        <v>2272,'112222','TIDIOMAS_8'</v>
      </c>
      <c r="E1273" s="12" t="str">
        <f t="shared" si="38"/>
        <v>INSERT INTO grupos (id,matricula,grupo) values (2272,'112222','TIDIOMAS_8');</v>
      </c>
    </row>
    <row r="1274" spans="1:5" ht="43.5" x14ac:dyDescent="0.35">
      <c r="A1274">
        <v>2273</v>
      </c>
      <c r="B1274" t="s">
        <v>999</v>
      </c>
      <c r="C1274" t="s">
        <v>1798</v>
      </c>
      <c r="D1274" s="12" t="str">
        <f t="shared" si="39"/>
        <v>2273,'112226','TIDIOMAS_8'</v>
      </c>
      <c r="E1274" s="12" t="str">
        <f t="shared" si="38"/>
        <v>INSERT INTO grupos (id,matricula,grupo) values (2273,'112226','TIDIOMAS_8');</v>
      </c>
    </row>
    <row r="1275" spans="1:5" ht="43.5" x14ac:dyDescent="0.35">
      <c r="A1275">
        <v>2274</v>
      </c>
      <c r="B1275" t="s">
        <v>1035</v>
      </c>
      <c r="C1275" t="s">
        <v>1798</v>
      </c>
      <c r="D1275" s="12" t="str">
        <f t="shared" si="39"/>
        <v>2274,'112271','TIDIOMAS_8'</v>
      </c>
      <c r="E1275" s="12" t="str">
        <f t="shared" si="38"/>
        <v>INSERT INTO grupos (id,matricula,grupo) values (2274,'112271','TIDIOMAS_8');</v>
      </c>
    </row>
    <row r="1276" spans="1:5" ht="43.5" x14ac:dyDescent="0.35">
      <c r="A1276">
        <v>2275</v>
      </c>
      <c r="B1276" t="s">
        <v>1037</v>
      </c>
      <c r="C1276" t="s">
        <v>1798</v>
      </c>
      <c r="D1276" s="12" t="str">
        <f t="shared" si="39"/>
        <v>2275,'112275','TIDIOMAS_8'</v>
      </c>
      <c r="E1276" s="12" t="str">
        <f t="shared" si="38"/>
        <v>INSERT INTO grupos (id,matricula,grupo) values (2275,'112275','TIDIOMAS_8');</v>
      </c>
    </row>
    <row r="1277" spans="1:5" ht="43.5" x14ac:dyDescent="0.35">
      <c r="A1277">
        <v>2276</v>
      </c>
      <c r="B1277" t="s">
        <v>1041</v>
      </c>
      <c r="C1277" t="s">
        <v>1798</v>
      </c>
      <c r="D1277" s="12" t="str">
        <f t="shared" si="39"/>
        <v>2276,'112282','TIDIOMAS_8'</v>
      </c>
      <c r="E1277" s="12" t="str">
        <f t="shared" si="38"/>
        <v>INSERT INTO grupos (id,matricula,grupo) values (2276,'112282','TIDIOMAS_8');</v>
      </c>
    </row>
    <row r="1278" spans="1:5" ht="43.5" x14ac:dyDescent="0.35">
      <c r="A1278">
        <v>2277</v>
      </c>
      <c r="B1278" t="s">
        <v>1056</v>
      </c>
      <c r="C1278" t="s">
        <v>1798</v>
      </c>
      <c r="D1278" s="12" t="str">
        <f t="shared" si="39"/>
        <v>2277,'112316','TIDIOMAS_8'</v>
      </c>
      <c r="E1278" s="12" t="str">
        <f t="shared" si="38"/>
        <v>INSERT INTO grupos (id,matricula,grupo) values (2277,'112316','TIDIOMAS_8');</v>
      </c>
    </row>
    <row r="1279" spans="1:5" ht="43.5" x14ac:dyDescent="0.35">
      <c r="A1279">
        <v>2278</v>
      </c>
      <c r="B1279" t="s">
        <v>1071</v>
      </c>
      <c r="C1279" t="s">
        <v>1798</v>
      </c>
      <c r="D1279" s="12" t="str">
        <f t="shared" si="39"/>
        <v>2278,'112474','TIDIOMAS_8'</v>
      </c>
      <c r="E1279" s="12" t="str">
        <f t="shared" si="38"/>
        <v>INSERT INTO grupos (id,matricula,grupo) values (2278,'112474','TIDIOMAS_8');</v>
      </c>
    </row>
    <row r="1280" spans="1:5" ht="43.5" x14ac:dyDescent="0.35">
      <c r="A1280">
        <v>2279</v>
      </c>
      <c r="B1280" t="s">
        <v>1122</v>
      </c>
      <c r="C1280" t="s">
        <v>1798</v>
      </c>
      <c r="D1280" s="12" t="str">
        <f t="shared" si="39"/>
        <v>2279,'112527','TIDIOMAS_8'</v>
      </c>
      <c r="E1280" s="12" t="str">
        <f t="shared" si="38"/>
        <v>INSERT INTO grupos (id,matricula,grupo) values (2279,'112527','TIDIOMAS_8');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82D4-6A26-4023-AC54-E2FEDA130945}">
  <dimension ref="A1:F4"/>
  <sheetViews>
    <sheetView workbookViewId="0">
      <selection activeCell="B3" sqref="B3"/>
    </sheetView>
  </sheetViews>
  <sheetFormatPr baseColWidth="10" defaultRowHeight="14.5" x14ac:dyDescent="0.35"/>
  <cols>
    <col min="6" max="6" width="54.54296875" customWidth="1"/>
  </cols>
  <sheetData>
    <row r="1" spans="1:6" x14ac:dyDescent="0.35">
      <c r="A1" s="4" t="s">
        <v>4</v>
      </c>
      <c r="B1" s="4" t="s">
        <v>3112</v>
      </c>
      <c r="C1" s="4" t="s">
        <v>3113</v>
      </c>
      <c r="D1" s="4" t="s">
        <v>1742</v>
      </c>
      <c r="E1" t="s">
        <v>3120</v>
      </c>
    </row>
    <row r="2" spans="1:6" ht="43.5" x14ac:dyDescent="0.35">
      <c r="A2">
        <v>1</v>
      </c>
      <c r="B2" t="s">
        <v>3114</v>
      </c>
      <c r="C2" t="s">
        <v>3115</v>
      </c>
      <c r="D2" t="s">
        <v>2243</v>
      </c>
      <c r="E2" t="str">
        <f>CONCATENATE(A2,",'",B2,"','",C2,"','",D2,"'")</f>
        <v>1,'DIRECCION GENERAL EDUCATIVA','OLIVER LOPEZ ROCIO','FEMENINO'</v>
      </c>
      <c r="F2" s="12" t="str">
        <f>_xlfn.CONCAT($E$1,E2,");")</f>
        <v>INSERT INTO departamentos (id, departamento, jefe, sexo) VALUES (1,'DIRECCION GENERAL EDUCATIVA','OLIVER LOPEZ ROCIO','FEMENINO');</v>
      </c>
    </row>
    <row r="3" spans="1:6" ht="43.5" x14ac:dyDescent="0.35">
      <c r="A3">
        <v>2</v>
      </c>
      <c r="B3" t="s">
        <v>3116</v>
      </c>
      <c r="C3" t="s">
        <v>3117</v>
      </c>
      <c r="D3" t="s">
        <v>2242</v>
      </c>
      <c r="E3" t="str">
        <f t="shared" ref="E3:E4" si="0">CONCATENATE(A3,",'",B3,"','",C3,"','",D3,"'")</f>
        <v>2,'JEFATURA ACADÉMICA','CALERA SUAREZ ALEJANDRO','MASCULINO'</v>
      </c>
      <c r="F3" s="12" t="str">
        <f t="shared" ref="F3:F4" si="1">_xlfn.CONCAT($E$1,E3,");")</f>
        <v>INSERT INTO departamentos (id, departamento, jefe, sexo) VALUES (2,'JEFATURA ACADÉMICA','CALERA SUAREZ ALEJANDRO','MASCULINO');</v>
      </c>
    </row>
    <row r="4" spans="1:6" ht="43.5" x14ac:dyDescent="0.35">
      <c r="A4">
        <v>3</v>
      </c>
      <c r="B4" t="s">
        <v>3118</v>
      </c>
      <c r="C4" t="s">
        <v>3119</v>
      </c>
      <c r="D4" t="s">
        <v>2243</v>
      </c>
      <c r="E4" t="str">
        <f t="shared" si="0"/>
        <v>3,'PROYECTOS ACADEMICOS','NAVARRO SOTO MARIA DOLORES','FEMENINO'</v>
      </c>
      <c r="F4" s="12" t="str">
        <f t="shared" si="1"/>
        <v>INSERT INTO departamentos (id, departamento, jefe, sexo) VALUES (3,'PROYECTOS ACADEMICOS','NAVARRO SOTO MARIA DOLORES','FEMENINO');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2858B-7334-4FE9-9420-D5D285FDD0CD}">
  <dimension ref="A1:H15"/>
  <sheetViews>
    <sheetView topLeftCell="D13" workbookViewId="0">
      <selection activeCell="F23" sqref="F23"/>
    </sheetView>
  </sheetViews>
  <sheetFormatPr baseColWidth="10" defaultRowHeight="14.5" x14ac:dyDescent="0.35"/>
  <cols>
    <col min="1" max="1" width="2.81640625" customWidth="1"/>
    <col min="2" max="2" width="20" bestFit="1" customWidth="1"/>
    <col min="3" max="3" width="53.1796875" bestFit="1" customWidth="1"/>
    <col min="4" max="4" width="33.90625" bestFit="1" customWidth="1"/>
    <col min="5" max="5" width="11.1796875" bestFit="1" customWidth="1"/>
    <col min="6" max="6" width="5.81640625" bestFit="1" customWidth="1"/>
    <col min="7" max="7" width="32.7265625" style="12" customWidth="1"/>
    <col min="8" max="8" width="32.7265625" customWidth="1"/>
  </cols>
  <sheetData>
    <row r="1" spans="1:8" ht="43.5" x14ac:dyDescent="0.35">
      <c r="A1" s="4" t="s">
        <v>4</v>
      </c>
      <c r="B1" s="4" t="s">
        <v>3112</v>
      </c>
      <c r="C1" s="4" t="s">
        <v>1722</v>
      </c>
      <c r="D1" s="4" t="s">
        <v>3121</v>
      </c>
      <c r="E1" s="4" t="s">
        <v>1742</v>
      </c>
      <c r="F1" s="4" t="s">
        <v>3122</v>
      </c>
      <c r="G1" s="12" t="s">
        <v>3130</v>
      </c>
    </row>
    <row r="2" spans="1:8" ht="101.5" x14ac:dyDescent="0.35">
      <c r="A2">
        <v>1</v>
      </c>
      <c r="B2" t="s">
        <v>3116</v>
      </c>
      <c r="C2" t="s">
        <v>1727</v>
      </c>
      <c r="D2" t="s">
        <v>1994</v>
      </c>
      <c r="E2" t="s">
        <v>2242</v>
      </c>
      <c r="F2">
        <v>0</v>
      </c>
      <c r="G2" s="12" t="str">
        <f>CONCATENATE(A2,",'",B2,"','",C2,"','",D2,"','",E2,"','",F2,"'")</f>
        <v>1,'JEFATURA ACADÉMICA','ADMINISTRACION Y DIRECCION DE NEGOCIOS','PEÑA CAMACHO RODRIGO','MASCULINO','0'</v>
      </c>
      <c r="H2" s="12" t="str">
        <f>_xlfn.CONCAT($G$1,G2,");")</f>
        <v>INSERT INTO carreras (id, departamento, carrera, coordinador, sexo, sello) VALUES (1,'JEFATURA ACADÉMICA','ADMINISTRACION Y DIRECCION DE NEGOCIOS','PEÑA CAMACHO RODRIGO','MASCULINO','0');</v>
      </c>
    </row>
    <row r="3" spans="1:8" ht="101.5" x14ac:dyDescent="0.35">
      <c r="A3">
        <v>2</v>
      </c>
      <c r="B3" t="s">
        <v>3116</v>
      </c>
      <c r="C3" t="s">
        <v>1732</v>
      </c>
      <c r="D3" t="s">
        <v>3123</v>
      </c>
      <c r="E3" t="s">
        <v>2243</v>
      </c>
      <c r="F3">
        <v>0</v>
      </c>
      <c r="G3" s="12" t="str">
        <f t="shared" ref="G3:G15" si="0">CONCATENATE(A3,",'",B3,"','",C3,"','",D3,"','",E3,"','",F3,"'")</f>
        <v>2,'JEFATURA ACADÉMICA','DERECHO','OCEGUERA LOPEZ BEATRIZ ALEJANDRA','FEMENINO','0'</v>
      </c>
      <c r="H3" s="12" t="str">
        <f t="shared" ref="H3:H15" si="1">_xlfn.CONCAT($G$1,G3,");")</f>
        <v>INSERT INTO carreras (id, departamento, carrera, coordinador, sexo, sello) VALUES (2,'JEFATURA ACADÉMICA','DERECHO','OCEGUERA LOPEZ BEATRIZ ALEJANDRA','FEMENINO','0');</v>
      </c>
    </row>
    <row r="4" spans="1:8" ht="101.5" x14ac:dyDescent="0.35">
      <c r="A4">
        <v>3</v>
      </c>
      <c r="B4" t="s">
        <v>3116</v>
      </c>
      <c r="C4" t="s">
        <v>1724</v>
      </c>
      <c r="D4" t="s">
        <v>1994</v>
      </c>
      <c r="E4" t="s">
        <v>2242</v>
      </c>
      <c r="F4">
        <v>0</v>
      </c>
      <c r="G4" s="12" t="str">
        <f t="shared" si="0"/>
        <v>3,'JEFATURA ACADÉMICA','NUTRICION Y GASTRONOMIA','PEÑA CAMACHO RODRIGO','MASCULINO','0'</v>
      </c>
      <c r="H4" s="12" t="str">
        <f t="shared" si="1"/>
        <v>INSERT INTO carreras (id, departamento, carrera, coordinador, sexo, sello) VALUES (3,'JEFATURA ACADÉMICA','NUTRICION Y GASTRONOMIA','PEÑA CAMACHO RODRIGO','MASCULINO','0');</v>
      </c>
    </row>
    <row r="5" spans="1:8" ht="101.5" x14ac:dyDescent="0.35">
      <c r="A5">
        <v>4</v>
      </c>
      <c r="B5" t="s">
        <v>3116</v>
      </c>
      <c r="C5" t="s">
        <v>1726</v>
      </c>
      <c r="D5" t="s">
        <v>3123</v>
      </c>
      <c r="E5" t="s">
        <v>2243</v>
      </c>
      <c r="F5">
        <v>0</v>
      </c>
      <c r="G5" s="12" t="str">
        <f t="shared" si="0"/>
        <v>4,'JEFATURA ACADÉMICA','PSICOLOGIA','OCEGUERA LOPEZ BEATRIZ ALEJANDRA','FEMENINO','0'</v>
      </c>
      <c r="H5" s="12" t="str">
        <f t="shared" si="1"/>
        <v>INSERT INTO carreras (id, departamento, carrera, coordinador, sexo, sello) VALUES (4,'JEFATURA ACADÉMICA','PSICOLOGIA','OCEGUERA LOPEZ BEATRIZ ALEJANDRA','FEMENINO','0');</v>
      </c>
    </row>
    <row r="6" spans="1:8" ht="101.5" x14ac:dyDescent="0.35">
      <c r="A6">
        <v>5</v>
      </c>
      <c r="B6" t="s">
        <v>3116</v>
      </c>
      <c r="C6" t="s">
        <v>1730</v>
      </c>
      <c r="D6" t="s">
        <v>3124</v>
      </c>
      <c r="E6" t="s">
        <v>2242</v>
      </c>
      <c r="F6">
        <v>0</v>
      </c>
      <c r="G6" s="12" t="str">
        <f t="shared" si="0"/>
        <v>5,'JEFATURA ACADÉMICA','ANIMACION DIGITAL Y VIDEOJUEGOS','VAZQUEZ CARRASCO CHRISTIAN ALAIN','MASCULINO','0'</v>
      </c>
      <c r="H6" s="12" t="str">
        <f t="shared" si="1"/>
        <v>INSERT INTO carreras (id, departamento, carrera, coordinador, sexo, sello) VALUES (5,'JEFATURA ACADÉMICA','ANIMACION DIGITAL Y VIDEOJUEGOS','VAZQUEZ CARRASCO CHRISTIAN ALAIN','MASCULINO','0');</v>
      </c>
    </row>
    <row r="7" spans="1:8" ht="101.5" x14ac:dyDescent="0.35">
      <c r="A7">
        <v>6</v>
      </c>
      <c r="B7" t="s">
        <v>3116</v>
      </c>
      <c r="C7" t="s">
        <v>1729</v>
      </c>
      <c r="D7" t="s">
        <v>3124</v>
      </c>
      <c r="E7" t="s">
        <v>2242</v>
      </c>
      <c r="F7">
        <v>0</v>
      </c>
      <c r="G7" s="12" t="str">
        <f t="shared" si="0"/>
        <v>6,'JEFATURA ACADÉMICA','ARQUITECTURA','VAZQUEZ CARRASCO CHRISTIAN ALAIN','MASCULINO','0'</v>
      </c>
      <c r="H7" s="12" t="str">
        <f t="shared" si="1"/>
        <v>INSERT INTO carreras (id, departamento, carrera, coordinador, sexo, sello) VALUES (6,'JEFATURA ACADÉMICA','ARQUITECTURA','VAZQUEZ CARRASCO CHRISTIAN ALAIN','MASCULINO','0');</v>
      </c>
    </row>
    <row r="8" spans="1:8" ht="101.5" x14ac:dyDescent="0.35">
      <c r="A8">
        <v>7</v>
      </c>
      <c r="B8" t="s">
        <v>3116</v>
      </c>
      <c r="C8" t="s">
        <v>1733</v>
      </c>
      <c r="D8" t="s">
        <v>3124</v>
      </c>
      <c r="E8" t="s">
        <v>2242</v>
      </c>
      <c r="F8">
        <v>0</v>
      </c>
      <c r="G8" s="12" t="str">
        <f t="shared" si="0"/>
        <v>7,'JEFATURA ACADÉMICA','DISEÑO GRAFICO Y DIGITAL','VAZQUEZ CARRASCO CHRISTIAN ALAIN','MASCULINO','0'</v>
      </c>
      <c r="H8" s="12" t="str">
        <f t="shared" si="1"/>
        <v>INSERT INTO carreras (id, departamento, carrera, coordinador, sexo, sello) VALUES (7,'JEFATURA ACADÉMICA','DISEÑO GRAFICO Y DIGITAL','VAZQUEZ CARRASCO CHRISTIAN ALAIN','MASCULINO','0');</v>
      </c>
    </row>
    <row r="9" spans="1:8" ht="101.5" x14ac:dyDescent="0.35">
      <c r="A9">
        <v>8</v>
      </c>
      <c r="B9" t="s">
        <v>3116</v>
      </c>
      <c r="C9" t="s">
        <v>1725</v>
      </c>
      <c r="D9" t="s">
        <v>3125</v>
      </c>
      <c r="E9" t="s">
        <v>2242</v>
      </c>
      <c r="F9">
        <v>0</v>
      </c>
      <c r="G9" s="12" t="str">
        <f t="shared" si="0"/>
        <v>8,'JEFATURA ACADÉMICA','INGENIERIA AEROESPACIAL','SANTANA ROSAS JUAN MANUEL','MASCULINO','0'</v>
      </c>
      <c r="H9" s="12" t="str">
        <f t="shared" si="1"/>
        <v>INSERT INTO carreras (id, departamento, carrera, coordinador, sexo, sello) VALUES (8,'JEFATURA ACADÉMICA','INGENIERIA AEROESPACIAL','SANTANA ROSAS JUAN MANUEL','MASCULINO','0');</v>
      </c>
    </row>
    <row r="10" spans="1:8" ht="101.5" x14ac:dyDescent="0.35">
      <c r="A10">
        <v>9</v>
      </c>
      <c r="B10" t="s">
        <v>3116</v>
      </c>
      <c r="C10" t="s">
        <v>1723</v>
      </c>
      <c r="D10" t="s">
        <v>3126</v>
      </c>
      <c r="E10" t="s">
        <v>2242</v>
      </c>
      <c r="F10">
        <v>0</v>
      </c>
      <c r="G10" s="12" t="str">
        <f t="shared" si="0"/>
        <v>9,'JEFATURA ACADÉMICA','INGENIERIA CIBERNETICA Y EN SISTEMAS COMPUTACIONALES','CARRILLO TOVAR CHRISTIAN','MASCULINO','0'</v>
      </c>
      <c r="H10" s="12" t="str">
        <f t="shared" si="1"/>
        <v>INSERT INTO carreras (id, departamento, carrera, coordinador, sexo, sello) VALUES (9,'JEFATURA ACADÉMICA','INGENIERIA CIBERNETICA Y EN SISTEMAS COMPUTACIONALES','CARRILLO TOVAR CHRISTIAN','MASCULINO','0');</v>
      </c>
    </row>
    <row r="11" spans="1:8" ht="101.5" x14ac:dyDescent="0.35">
      <c r="A11">
        <v>10</v>
      </c>
      <c r="B11" t="s">
        <v>3116</v>
      </c>
      <c r="C11" t="s">
        <v>1728</v>
      </c>
      <c r="D11" t="s">
        <v>3126</v>
      </c>
      <c r="E11" t="s">
        <v>2242</v>
      </c>
      <c r="F11">
        <v>0</v>
      </c>
      <c r="G11" s="12" t="str">
        <f t="shared" si="0"/>
        <v>10,'JEFATURA ACADÉMICA','INGENIERIA INDUSTRIAL Y EN SISTEMAS ORGANIZACIONALES','CARRILLO TOVAR CHRISTIAN','MASCULINO','0'</v>
      </c>
      <c r="H11" s="12" t="str">
        <f t="shared" si="1"/>
        <v>INSERT INTO carreras (id, departamento, carrera, coordinador, sexo, sello) VALUES (10,'JEFATURA ACADÉMICA','INGENIERIA INDUSTRIAL Y EN SISTEMAS ORGANIZACIONALES','CARRILLO TOVAR CHRISTIAN','MASCULINO','0');</v>
      </c>
    </row>
    <row r="12" spans="1:8" ht="101.5" x14ac:dyDescent="0.35">
      <c r="A12">
        <v>11</v>
      </c>
      <c r="B12" t="s">
        <v>3116</v>
      </c>
      <c r="C12" t="s">
        <v>3127</v>
      </c>
      <c r="D12" t="s">
        <v>3126</v>
      </c>
      <c r="E12" t="s">
        <v>2242</v>
      </c>
      <c r="F12">
        <v>0</v>
      </c>
      <c r="G12" s="12" t="str">
        <f t="shared" si="0"/>
        <v>11,'JEFATURA ACADÉMICA','INGENIERIA EN INTELIGENCIA ARTIFICIAL','CARRILLO TOVAR CHRISTIAN','MASCULINO','0'</v>
      </c>
      <c r="H12" s="12" t="str">
        <f t="shared" si="1"/>
        <v>INSERT INTO carreras (id, departamento, carrera, coordinador, sexo, sello) VALUES (11,'JEFATURA ACADÉMICA','INGENIERIA EN INTELIGENCIA ARTIFICIAL','CARRILLO TOVAR CHRISTIAN','MASCULINO','0');</v>
      </c>
    </row>
    <row r="13" spans="1:8" ht="101.5" x14ac:dyDescent="0.35">
      <c r="A13">
        <v>12</v>
      </c>
      <c r="B13" t="s">
        <v>3116</v>
      </c>
      <c r="C13" t="s">
        <v>3128</v>
      </c>
      <c r="D13" t="s">
        <v>3126</v>
      </c>
      <c r="E13" t="s">
        <v>2242</v>
      </c>
      <c r="F13">
        <v>0</v>
      </c>
      <c r="G13" s="12" t="str">
        <f t="shared" si="0"/>
        <v>12,'JEFATURA ACADÉMICA','INGENIERIA AUTOMOTRIZ','CARRILLO TOVAR CHRISTIAN','MASCULINO','0'</v>
      </c>
      <c r="H13" s="12" t="str">
        <f t="shared" si="1"/>
        <v>INSERT INTO carreras (id, departamento, carrera, coordinador, sexo, sello) VALUES (12,'JEFATURA ACADÉMICA','INGENIERIA AUTOMOTRIZ','CARRILLO TOVAR CHRISTIAN','MASCULINO','0');</v>
      </c>
    </row>
    <row r="14" spans="1:8" ht="101.5" x14ac:dyDescent="0.35">
      <c r="A14">
        <v>13</v>
      </c>
      <c r="B14" t="s">
        <v>3116</v>
      </c>
      <c r="C14" t="s">
        <v>1791</v>
      </c>
      <c r="D14" t="s">
        <v>3129</v>
      </c>
      <c r="E14" t="s">
        <v>2242</v>
      </c>
      <c r="F14">
        <v>0</v>
      </c>
      <c r="G14" s="12" t="str">
        <f t="shared" si="0"/>
        <v>13,'JEFATURA ACADÉMICA','IDIOMAS','ALANIZ OLGUIN CARLOS IVAN ','MASCULINO','0'</v>
      </c>
      <c r="H14" s="12" t="str">
        <f t="shared" si="1"/>
        <v>INSERT INTO carreras (id, departamento, carrera, coordinador, sexo, sello) VALUES (13,'JEFATURA ACADÉMICA','IDIOMAS','ALANIZ OLGUIN CARLOS IVAN ','MASCULINO','0');</v>
      </c>
    </row>
    <row r="15" spans="1:8" ht="101.5" x14ac:dyDescent="0.35">
      <c r="A15">
        <v>14</v>
      </c>
      <c r="B15" t="s">
        <v>3116</v>
      </c>
      <c r="C15" t="s">
        <v>1792</v>
      </c>
      <c r="D15" t="s">
        <v>3123</v>
      </c>
      <c r="E15" t="s">
        <v>2243</v>
      </c>
      <c r="F15">
        <v>1</v>
      </c>
      <c r="G15" s="12" t="str">
        <f t="shared" si="0"/>
        <v>14,'JEFATURA ACADÉMICA','MATERIAS INSTITUCIONALES','OCEGUERA LOPEZ BEATRIZ ALEJANDRA','FEMENINO','1'</v>
      </c>
      <c r="H15" s="12" t="str">
        <f t="shared" si="1"/>
        <v>INSERT INTO carreras (id, departamento, carrera, coordinador, sexo, sello) VALUES (14,'JEFATURA ACADÉMICA','MATERIAS INSTITUCIONALES','OCEGUERA LOPEZ BEATRIZ ALEJANDRA','FEMENINO','1');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2EC39-1AB2-49FB-A061-AA47FF7CC7DB}">
  <dimension ref="A1:L15"/>
  <sheetViews>
    <sheetView tabSelected="1" topLeftCell="I1" workbookViewId="0">
      <selection activeCell="O30" sqref="O30"/>
    </sheetView>
  </sheetViews>
  <sheetFormatPr baseColWidth="10" defaultRowHeight="14.5" x14ac:dyDescent="0.35"/>
  <sheetData>
    <row r="1" spans="1:12" s="15" customFormat="1" x14ac:dyDescent="0.35">
      <c r="A1" s="17" t="s">
        <v>4</v>
      </c>
      <c r="B1" s="5" t="s">
        <v>0</v>
      </c>
      <c r="C1" s="18" t="s">
        <v>2790</v>
      </c>
      <c r="D1" s="4" t="s">
        <v>2951</v>
      </c>
      <c r="E1" s="9" t="s">
        <v>2</v>
      </c>
      <c r="F1" s="4" t="s">
        <v>1150</v>
      </c>
      <c r="G1" s="5" t="s">
        <v>1722</v>
      </c>
      <c r="H1" s="18" t="s">
        <v>1735</v>
      </c>
      <c r="I1" s="4" t="s">
        <v>1742</v>
      </c>
      <c r="J1" s="18" t="s">
        <v>1785</v>
      </c>
      <c r="K1" s="2" t="str">
        <f>CONCATENATE("INSERT INTO participantes (",L1,") VALUES (")</f>
        <v>INSERT INTO participantes (id,nivel,correo,matricula,clave,nombre,carrera,grado,sexo,situacion,evaluados,num_evaluados,total_evaluaciones,ultimo_acceso,nivel_acceso) VALUES (</v>
      </c>
      <c r="L1" s="3" t="s">
        <v>3</v>
      </c>
    </row>
    <row r="2" spans="1:12" x14ac:dyDescent="0.35">
      <c r="A2">
        <v>9001</v>
      </c>
      <c r="B2" t="s">
        <v>3131</v>
      </c>
      <c r="C2" t="s">
        <v>3132</v>
      </c>
      <c r="D2" t="s">
        <v>1727</v>
      </c>
      <c r="E2" t="s">
        <v>1149</v>
      </c>
      <c r="F2" t="s">
        <v>1994</v>
      </c>
      <c r="I2" t="s">
        <v>2242</v>
      </c>
      <c r="K2" s="2" t="str">
        <f>CONCATENATE(A2,",'",B2,"','",C2,"','",D2,"','",E2,"','",F2,"','",G2,"','",H2,"','",UPPER(I2),"','",UPPER(J2),"','',0,0,'','COORDINADOR'")</f>
        <v>9001,'LICENCIATURAS','coordinacion.nutricion','ADMINISTRACION Y DIRECCION DE NEGOCIOS','TOMAR DEL SND','PEÑA CAMACHO RODRIGO','','','MASCULINO','','',0,0,'','COORDINADOR'</v>
      </c>
      <c r="L2" s="2" t="str">
        <f>CONCATENATE($K$1,K2,");")</f>
        <v>INSERT INTO participantes (id,nivel,correo,matricula,clave,nombre,carrera,grado,sexo,situacion,evaluados,num_evaluados,total_evaluaciones,ultimo_acceso,nivel_acceso) VALUES (9001,'LICENCIATURAS','coordinacion.nutricion','ADMINISTRACION Y DIRECCION DE NEGOCIOS','TOMAR DEL SND','PEÑA CAMACHO RODRIGO','','','MASCULINO','','',0,0,'','COORDINADOR');</v>
      </c>
    </row>
    <row r="3" spans="1:12" x14ac:dyDescent="0.35">
      <c r="A3">
        <v>9002</v>
      </c>
      <c r="B3" t="s">
        <v>3131</v>
      </c>
      <c r="C3" t="s">
        <v>3133</v>
      </c>
      <c r="D3" t="s">
        <v>1732</v>
      </c>
      <c r="E3" t="s">
        <v>1149</v>
      </c>
      <c r="F3" t="s">
        <v>3123</v>
      </c>
      <c r="I3" t="s">
        <v>2243</v>
      </c>
      <c r="K3" s="2" t="str">
        <f t="shared" ref="K3:K15" si="0">CONCATENATE(A3,",'",B3,"','",C3,"','",D3,"','",E3,"','",F3,"','",G3,"','",H3,"','",UPPER(I3),"','",UPPER(J3),"','',0,0,'','COORDINADOR'")</f>
        <v>9002,'LICENCIATURAS','jefatura.materiassello ','DERECHO','TOMAR DEL SND','OCEGUERA LOPEZ BEATRIZ ALEJANDRA','','','FEMENINO','','',0,0,'','COORDINADOR'</v>
      </c>
      <c r="L3" s="2" t="str">
        <f t="shared" ref="L3:L15" si="1">CONCATENATE($K$1,K3,");")</f>
        <v>INSERT INTO participantes (id,nivel,correo,matricula,clave,nombre,carrera,grado,sexo,situacion,evaluados,num_evaluados,total_evaluaciones,ultimo_acceso,nivel_acceso) VALUES (9002,'LICENCIATURAS','jefatura.materiassello ','DERECHO','TOMAR DEL SND','OCEGUERA LOPEZ BEATRIZ ALEJANDRA','','','FEMENINO','','',0,0,'','COORDINADOR');</v>
      </c>
    </row>
    <row r="4" spans="1:12" x14ac:dyDescent="0.35">
      <c r="A4">
        <v>9003</v>
      </c>
      <c r="B4" t="s">
        <v>3131</v>
      </c>
      <c r="C4" t="s">
        <v>3134</v>
      </c>
      <c r="D4" t="s">
        <v>1724</v>
      </c>
      <c r="E4" t="s">
        <v>1149</v>
      </c>
      <c r="F4" t="s">
        <v>1994</v>
      </c>
      <c r="I4" t="s">
        <v>2242</v>
      </c>
      <c r="K4" s="2" t="str">
        <f t="shared" si="0"/>
        <v>9003,'LICENCIATURAS','coordinacion.nutricion ','NUTRICION Y GASTRONOMIA','TOMAR DEL SND','PEÑA CAMACHO RODRIGO','','','MASCULINO','','',0,0,'','COORDINADOR'</v>
      </c>
      <c r="L4" s="2" t="str">
        <f t="shared" si="1"/>
        <v>INSERT INTO participantes (id,nivel,correo,matricula,clave,nombre,carrera,grado,sexo,situacion,evaluados,num_evaluados,total_evaluaciones,ultimo_acceso,nivel_acceso) VALUES (9003,'LICENCIATURAS','coordinacion.nutricion ','NUTRICION Y GASTRONOMIA','TOMAR DEL SND','PEÑA CAMACHO RODRIGO','','','MASCULINO','','',0,0,'','COORDINADOR');</v>
      </c>
    </row>
    <row r="5" spans="1:12" x14ac:dyDescent="0.35">
      <c r="A5">
        <v>9004</v>
      </c>
      <c r="B5" t="s">
        <v>3131</v>
      </c>
      <c r="C5" t="s">
        <v>3133</v>
      </c>
      <c r="D5" t="s">
        <v>1726</v>
      </c>
      <c r="E5" t="s">
        <v>1149</v>
      </c>
      <c r="F5" t="s">
        <v>3123</v>
      </c>
      <c r="I5" t="s">
        <v>2243</v>
      </c>
      <c r="K5" s="2" t="str">
        <f t="shared" si="0"/>
        <v>9004,'LICENCIATURAS','jefatura.materiassello ','PSICOLOGIA','TOMAR DEL SND','OCEGUERA LOPEZ BEATRIZ ALEJANDRA','','','FEMENINO','','',0,0,'','COORDINADOR'</v>
      </c>
      <c r="L5" s="2" t="str">
        <f t="shared" si="1"/>
        <v>INSERT INTO participantes (id,nivel,correo,matricula,clave,nombre,carrera,grado,sexo,situacion,evaluados,num_evaluados,total_evaluaciones,ultimo_acceso,nivel_acceso) VALUES (9004,'LICENCIATURAS','jefatura.materiassello ','PSICOLOGIA','TOMAR DEL SND','OCEGUERA LOPEZ BEATRIZ ALEJANDRA','','','FEMENINO','','',0,0,'','COORDINADOR');</v>
      </c>
    </row>
    <row r="6" spans="1:12" x14ac:dyDescent="0.35">
      <c r="A6">
        <v>9005</v>
      </c>
      <c r="B6" t="s">
        <v>3131</v>
      </c>
      <c r="C6" t="s">
        <v>3135</v>
      </c>
      <c r="D6" t="s">
        <v>1730</v>
      </c>
      <c r="E6" t="s">
        <v>1149</v>
      </c>
      <c r="F6" t="s">
        <v>3124</v>
      </c>
      <c r="I6" t="s">
        <v>2242</v>
      </c>
      <c r="K6" s="2" t="str">
        <f t="shared" si="0"/>
        <v>9005,'LICENCIATURAS','coordinacion.animacion ','ANIMACION DIGITAL Y VIDEOJUEGOS','TOMAR DEL SND','VAZQUEZ CARRASCO CHRISTIAN ALAIN','','','MASCULINO','','',0,0,'','COORDINADOR'</v>
      </c>
      <c r="L6" s="2" t="str">
        <f t="shared" si="1"/>
        <v>INSERT INTO participantes (id,nivel,correo,matricula,clave,nombre,carrera,grado,sexo,situacion,evaluados,num_evaluados,total_evaluaciones,ultimo_acceso,nivel_acceso) VALUES (9005,'LICENCIATURAS','coordinacion.animacion ','ANIMACION DIGITAL Y VIDEOJUEGOS','TOMAR DEL SND','VAZQUEZ CARRASCO CHRISTIAN ALAIN','','','MASCULINO','','',0,0,'','COORDINADOR');</v>
      </c>
    </row>
    <row r="7" spans="1:12" x14ac:dyDescent="0.35">
      <c r="A7">
        <v>9006</v>
      </c>
      <c r="B7" t="s">
        <v>3131</v>
      </c>
      <c r="C7" t="s">
        <v>3136</v>
      </c>
      <c r="D7" t="s">
        <v>1729</v>
      </c>
      <c r="E7" t="s">
        <v>1149</v>
      </c>
      <c r="F7" t="s">
        <v>3124</v>
      </c>
      <c r="I7" t="s">
        <v>2242</v>
      </c>
      <c r="K7" s="2" t="str">
        <f t="shared" si="0"/>
        <v>9006,'LICENCIATURAS','coordinacion.animacion  ','ARQUITECTURA','TOMAR DEL SND','VAZQUEZ CARRASCO CHRISTIAN ALAIN','','','MASCULINO','','',0,0,'','COORDINADOR'</v>
      </c>
      <c r="L7" s="2" t="str">
        <f t="shared" si="1"/>
        <v>INSERT INTO participantes (id,nivel,correo,matricula,clave,nombre,carrera,grado,sexo,situacion,evaluados,num_evaluados,total_evaluaciones,ultimo_acceso,nivel_acceso) VALUES (9006,'LICENCIATURAS','coordinacion.animacion  ','ARQUITECTURA','TOMAR DEL SND','VAZQUEZ CARRASCO CHRISTIAN ALAIN','','','MASCULINO','','',0,0,'','COORDINADOR');</v>
      </c>
    </row>
    <row r="8" spans="1:12" x14ac:dyDescent="0.35">
      <c r="A8">
        <v>9007</v>
      </c>
      <c r="B8" t="s">
        <v>3131</v>
      </c>
      <c r="C8" t="s">
        <v>3136</v>
      </c>
      <c r="D8" t="s">
        <v>1733</v>
      </c>
      <c r="E8" t="s">
        <v>1149</v>
      </c>
      <c r="F8" t="s">
        <v>3124</v>
      </c>
      <c r="I8" t="s">
        <v>2242</v>
      </c>
      <c r="K8" s="2" t="str">
        <f t="shared" si="0"/>
        <v>9007,'LICENCIATURAS','coordinacion.animacion  ','DISEÑO GRAFICO Y DIGITAL','TOMAR DEL SND','VAZQUEZ CARRASCO CHRISTIAN ALAIN','','','MASCULINO','','',0,0,'','COORDINADOR'</v>
      </c>
      <c r="L8" s="2" t="str">
        <f t="shared" si="1"/>
        <v>INSERT INTO participantes (id,nivel,correo,matricula,clave,nombre,carrera,grado,sexo,situacion,evaluados,num_evaluados,total_evaluaciones,ultimo_acceso,nivel_acceso) VALUES (9007,'LICENCIATURAS','coordinacion.animacion  ','DISEÑO GRAFICO Y DIGITAL','TOMAR DEL SND','VAZQUEZ CARRASCO CHRISTIAN ALAIN','','','MASCULINO','','',0,0,'','COORDINADOR');</v>
      </c>
    </row>
    <row r="9" spans="1:12" x14ac:dyDescent="0.35">
      <c r="A9">
        <v>9008</v>
      </c>
      <c r="B9" t="s">
        <v>3131</v>
      </c>
      <c r="C9" t="s">
        <v>3137</v>
      </c>
      <c r="D9" t="s">
        <v>1725</v>
      </c>
      <c r="E9" t="s">
        <v>1149</v>
      </c>
      <c r="F9" t="s">
        <v>3125</v>
      </c>
      <c r="I9" t="s">
        <v>2242</v>
      </c>
      <c r="K9" s="2" t="str">
        <f t="shared" si="0"/>
        <v>9008,'LICENCIATURAS','coordinacion.aeroespacial ','INGENIERIA AEROESPACIAL','TOMAR DEL SND','SANTANA ROSAS JUAN MANUEL','','','MASCULINO','','',0,0,'','COORDINADOR'</v>
      </c>
      <c r="L9" s="2" t="str">
        <f t="shared" si="1"/>
        <v>INSERT INTO participantes (id,nivel,correo,matricula,clave,nombre,carrera,grado,sexo,situacion,evaluados,num_evaluados,total_evaluaciones,ultimo_acceso,nivel_acceso) VALUES (9008,'LICENCIATURAS','coordinacion.aeroespacial ','INGENIERIA AEROESPACIAL','TOMAR DEL SND','SANTANA ROSAS JUAN MANUEL','','','MASCULINO','','',0,0,'','COORDINADOR');</v>
      </c>
    </row>
    <row r="10" spans="1:12" x14ac:dyDescent="0.35">
      <c r="A10">
        <v>9009</v>
      </c>
      <c r="B10" t="s">
        <v>3131</v>
      </c>
      <c r="C10" t="s">
        <v>3138</v>
      </c>
      <c r="D10" t="s">
        <v>1723</v>
      </c>
      <c r="E10" t="s">
        <v>1149</v>
      </c>
      <c r="F10" t="s">
        <v>3126</v>
      </c>
      <c r="I10" t="s">
        <v>2242</v>
      </c>
      <c r="K10" s="2" t="str">
        <f t="shared" si="0"/>
        <v>9009,'LICENCIATURAS','coordinacion.ingenierias ','INGENIERIA CIBERNETICA Y EN SISTEMAS COMPUTACIONALES','TOMAR DEL SND','CARRILLO TOVAR CHRISTIAN','','','MASCULINO','','',0,0,'','COORDINADOR'</v>
      </c>
      <c r="L10" s="2" t="str">
        <f t="shared" si="1"/>
        <v>INSERT INTO participantes (id,nivel,correo,matricula,clave,nombre,carrera,grado,sexo,situacion,evaluados,num_evaluados,total_evaluaciones,ultimo_acceso,nivel_acceso) VALUES (9009,'LICENCIATURAS','coordinacion.ingenierias ','INGENIERIA CIBERNETICA Y EN SISTEMAS COMPUTACIONALES','TOMAR DEL SND','CARRILLO TOVAR CHRISTIAN','','','MASCULINO','','',0,0,'','COORDINADOR');</v>
      </c>
    </row>
    <row r="11" spans="1:12" x14ac:dyDescent="0.35">
      <c r="A11">
        <v>9010</v>
      </c>
      <c r="B11" t="s">
        <v>3131</v>
      </c>
      <c r="C11" t="s">
        <v>3138</v>
      </c>
      <c r="D11" t="s">
        <v>1728</v>
      </c>
      <c r="E11" t="s">
        <v>1149</v>
      </c>
      <c r="F11" t="s">
        <v>3126</v>
      </c>
      <c r="I11" t="s">
        <v>2242</v>
      </c>
      <c r="K11" s="2" t="str">
        <f t="shared" si="0"/>
        <v>9010,'LICENCIATURAS','coordinacion.ingenierias ','INGENIERIA INDUSTRIAL Y EN SISTEMAS ORGANIZACIONALES','TOMAR DEL SND','CARRILLO TOVAR CHRISTIAN','','','MASCULINO','','',0,0,'','COORDINADOR'</v>
      </c>
      <c r="L11" s="2" t="str">
        <f t="shared" si="1"/>
        <v>INSERT INTO participantes (id,nivel,correo,matricula,clave,nombre,carrera,grado,sexo,situacion,evaluados,num_evaluados,total_evaluaciones,ultimo_acceso,nivel_acceso) VALUES (9010,'LICENCIATURAS','coordinacion.ingenierias ','INGENIERIA INDUSTRIAL Y EN SISTEMAS ORGANIZACIONALES','TOMAR DEL SND','CARRILLO TOVAR CHRISTIAN','','','MASCULINO','','',0,0,'','COORDINADOR');</v>
      </c>
    </row>
    <row r="12" spans="1:12" x14ac:dyDescent="0.35">
      <c r="A12">
        <v>9011</v>
      </c>
      <c r="B12" t="s">
        <v>3131</v>
      </c>
      <c r="C12" t="s">
        <v>3138</v>
      </c>
      <c r="D12" t="s">
        <v>3127</v>
      </c>
      <c r="E12" t="s">
        <v>1149</v>
      </c>
      <c r="F12" t="s">
        <v>3126</v>
      </c>
      <c r="I12" t="s">
        <v>2242</v>
      </c>
      <c r="K12" s="2" t="str">
        <f t="shared" si="0"/>
        <v>9011,'LICENCIATURAS','coordinacion.ingenierias ','INGENIERIA EN INTELIGENCIA ARTIFICIAL','TOMAR DEL SND','CARRILLO TOVAR CHRISTIAN','','','MASCULINO','','',0,0,'','COORDINADOR'</v>
      </c>
      <c r="L12" s="2" t="str">
        <f t="shared" si="1"/>
        <v>INSERT INTO participantes (id,nivel,correo,matricula,clave,nombre,carrera,grado,sexo,situacion,evaluados,num_evaluados,total_evaluaciones,ultimo_acceso,nivel_acceso) VALUES (9011,'LICENCIATURAS','coordinacion.ingenierias ','INGENIERIA EN INTELIGENCIA ARTIFICIAL','TOMAR DEL SND','CARRILLO TOVAR CHRISTIAN','','','MASCULINO','','',0,0,'','COORDINADOR');</v>
      </c>
    </row>
    <row r="13" spans="1:12" x14ac:dyDescent="0.35">
      <c r="A13">
        <v>9012</v>
      </c>
      <c r="B13" t="s">
        <v>3131</v>
      </c>
      <c r="C13" t="s">
        <v>3138</v>
      </c>
      <c r="D13" t="s">
        <v>3128</v>
      </c>
      <c r="E13" t="s">
        <v>1149</v>
      </c>
      <c r="F13" t="s">
        <v>3126</v>
      </c>
      <c r="I13" t="s">
        <v>2242</v>
      </c>
      <c r="K13" s="2" t="str">
        <f t="shared" si="0"/>
        <v>9012,'LICENCIATURAS','coordinacion.ingenierias ','INGENIERIA AUTOMOTRIZ','TOMAR DEL SND','CARRILLO TOVAR CHRISTIAN','','','MASCULINO','','',0,0,'','COORDINADOR'</v>
      </c>
      <c r="L13" s="2" t="str">
        <f t="shared" si="1"/>
        <v>INSERT INTO participantes (id,nivel,correo,matricula,clave,nombre,carrera,grado,sexo,situacion,evaluados,num_evaluados,total_evaluaciones,ultimo_acceso,nivel_acceso) VALUES (9012,'LICENCIATURAS','coordinacion.ingenierias ','INGENIERIA AUTOMOTRIZ','TOMAR DEL SND','CARRILLO TOVAR CHRISTIAN','','','MASCULINO','','',0,0,'','COORDINADOR');</v>
      </c>
    </row>
    <row r="14" spans="1:12" x14ac:dyDescent="0.35">
      <c r="A14">
        <v>9013</v>
      </c>
      <c r="B14" t="s">
        <v>3131</v>
      </c>
      <c r="C14" t="s">
        <v>3139</v>
      </c>
      <c r="D14" t="s">
        <v>1791</v>
      </c>
      <c r="E14" t="s">
        <v>1149</v>
      </c>
      <c r="F14" t="s">
        <v>3129</v>
      </c>
      <c r="I14" t="s">
        <v>2242</v>
      </c>
      <c r="K14" s="2" t="str">
        <f t="shared" si="0"/>
        <v>9013,'LICENCIATURAS','internacional','IDIOMAS','TOMAR DEL SND','ALANIZ OLGUIN CARLOS IVAN ','','','MASCULINO','','',0,0,'','COORDINADOR'</v>
      </c>
      <c r="L14" s="2" t="str">
        <f t="shared" si="1"/>
        <v>INSERT INTO participantes (id,nivel,correo,matricula,clave,nombre,carrera,grado,sexo,situacion,evaluados,num_evaluados,total_evaluaciones,ultimo_acceso,nivel_acceso) VALUES (9013,'LICENCIATURAS','internacional','IDIOMAS','TOMAR DEL SND','ALANIZ OLGUIN CARLOS IVAN ','','','MASCULINO','','',0,0,'','COORDINADOR');</v>
      </c>
    </row>
    <row r="15" spans="1:12" x14ac:dyDescent="0.35">
      <c r="A15">
        <v>9014</v>
      </c>
      <c r="B15" t="s">
        <v>3131</v>
      </c>
      <c r="C15" t="s">
        <v>3133</v>
      </c>
      <c r="D15" t="s">
        <v>1792</v>
      </c>
      <c r="E15" t="s">
        <v>1149</v>
      </c>
      <c r="F15" t="s">
        <v>3123</v>
      </c>
      <c r="I15" t="s">
        <v>2243</v>
      </c>
      <c r="K15" s="2" t="str">
        <f t="shared" si="0"/>
        <v>9014,'LICENCIATURAS','jefatura.materiassello ','MATERIAS INSTITUCIONALES','TOMAR DEL SND','OCEGUERA LOPEZ BEATRIZ ALEJANDRA','','','FEMENINO','','',0,0,'','COORDINADOR'</v>
      </c>
      <c r="L15" s="2" t="str">
        <f t="shared" si="1"/>
        <v>INSERT INTO participantes (id,nivel,correo,matricula,clave,nombre,carrera,grado,sexo,situacion,evaluados,num_evaluados,total_evaluaciones,ultimo_acceso,nivel_acceso) VALUES (9014,'LICENCIATURAS','jefatura.materiassello ','MATERIAS INSTITUCIONALES','TOMAR DEL SND','OCEGUERA LOPEZ BEATRIZ ALEJANDRA','','','FEMENINO','','',0,0,'','COORDINADOR');</v>
      </c>
    </row>
  </sheetData>
  <conditionalFormatting sqref="C1">
    <cfRule type="duplicateValues" dxfId="1" priority="2"/>
  </conditionalFormatting>
  <conditionalFormatting sqref="C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ALUMNOS-PARTICIPANTES</vt:lpstr>
      <vt:lpstr>DOCENTES-PARTICIPANTES</vt:lpstr>
      <vt:lpstr>MATERIAS</vt:lpstr>
      <vt:lpstr>GRUPOS</vt:lpstr>
      <vt:lpstr>DEPARTAMENTOS</vt:lpstr>
      <vt:lpstr>CARRERAS</vt:lpstr>
      <vt:lpstr>COORDINACIONES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MANUEL GARCIA ESCOBAR</dc:creator>
  <cp:lastModifiedBy>HECTOR MANUEL GARCIA ESCOBAR</cp:lastModifiedBy>
  <dcterms:created xsi:type="dcterms:W3CDTF">2026-10-02T15:04:50Z</dcterms:created>
  <dcterms:modified xsi:type="dcterms:W3CDTF">2026-10-02T17:16:48Z</dcterms:modified>
</cp:coreProperties>
</file>